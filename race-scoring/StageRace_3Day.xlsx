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Registration" state="visible" r:id="rId5"/>
    <sheet sheetId="3" name="Stage1" state="visible" r:id="rId6"/>
    <sheet sheetId="4" name="Stage2" state="visible" r:id="rId7"/>
    <sheet sheetId="5" name="Stage3" state="visible" r:id="rId8"/>
    <sheet sheetId="6" name="GC" state="visible" r:id="rId9"/>
    <sheet sheetId="7" name="Dashboard" state="visible" r:id="rId10"/>
  </sheets>
  <calcPr calcId="171027"/>
</workbook>
</file>

<file path=xl/sharedStrings.xml><?xml version="1.0" encoding="utf-8"?>
<sst xmlns="http://schemas.openxmlformats.org/spreadsheetml/2006/main" count="2839" uniqueCount="83">
  <si>
    <t>Stage Race Configuration</t>
  </si>
  <si>
    <t>FieldName</t>
  </si>
  <si>
    <t>BibStart</t>
  </si>
  <si>
    <t>BibEnd</t>
  </si>
  <si>
    <t>Place</t>
  </si>
  <si>
    <t>Stage1BonusSec</t>
  </si>
  <si>
    <t>Stage2BonusSec</t>
  </si>
  <si>
    <t>Stage3BonusSec</t>
  </si>
  <si>
    <t>Men Under 40</t>
  </si>
  <si>
    <t>Men 40+</t>
  </si>
  <si>
    <t>Men 50+</t>
  </si>
  <si>
    <t>Women</t>
  </si>
  <si>
    <t>TimeFormat</t>
  </si>
  <si>
    <t>hh:mm:ss</t>
  </si>
  <si>
    <t>NumStages</t>
  </si>
  <si>
    <t>Bib</t>
  </si>
  <si>
    <t>FirstName</t>
  </si>
  <si>
    <t>LastName</t>
  </si>
  <si>
    <t>Field</t>
  </si>
  <si>
    <t>Team</t>
  </si>
  <si>
    <t>LicenseID</t>
  </si>
  <si>
    <t>Status</t>
  </si>
  <si>
    <t/>
  </si>
  <si>
    <t>Active</t>
  </si>
  <si>
    <t>StageTime</t>
  </si>
  <si>
    <t>StageSeconds</t>
  </si>
  <si>
    <t>Position</t>
  </si>
  <si>
    <t>BonusSeconds</t>
  </si>
  <si>
    <t>NetSeconds</t>
  </si>
  <si>
    <t>NetTime</t>
  </si>
  <si>
    <t>Men Under 40 Results</t>
  </si>
  <si>
    <t>=FILTER(tblStage1, tblStage1[Field]="Men Under 40")</t>
  </si>
  <si>
    <t>Men 40+ Results</t>
  </si>
  <si>
    <t>=FILTER(tblStage1, tblStage1[Field]="Men 40+")</t>
  </si>
  <si>
    <t>Men 50+ Results</t>
  </si>
  <si>
    <t>=FILTER(tblStage1, tblStage1[Field]="Men 50+")</t>
  </si>
  <si>
    <t>Women Results</t>
  </si>
  <si>
    <t>=FILTER(tblStage1, tblStage1[Field]="Women")</t>
  </si>
  <si>
    <t>=FILTER(tblStage2, tblStage2[Field]="Men Under 40")</t>
  </si>
  <si>
    <t>=FILTER(tblStage2, tblStage2[Field]="Men 40+")</t>
  </si>
  <si>
    <t>=FILTER(tblStage2, tblStage2[Field]="Men 50+")</t>
  </si>
  <si>
    <t>=FILTER(tblStage2, tblStage2[Field]="Women")</t>
  </si>
  <si>
    <t>=FILTER(tblStage3, tblStage3[Field]="Men Under 40")</t>
  </si>
  <si>
    <t>=FILTER(tblStage3, tblStage3[Field]="Men 40+")</t>
  </si>
  <si>
    <t>=FILTER(tblStage3, tblStage3[Field]="Men 50+")</t>
  </si>
  <si>
    <t>=FILTER(tblStage3, tblStage3[Field]="Women")</t>
  </si>
  <si>
    <t>S1NetSec</t>
  </si>
  <si>
    <t>S2NetSec</t>
  </si>
  <si>
    <t>S3NetSec</t>
  </si>
  <si>
    <t>TotalSec</t>
  </si>
  <si>
    <t>TotalTime</t>
  </si>
  <si>
    <t>GCRank</t>
  </si>
  <si>
    <t>=FILTER(tblGC, tblGC[Field]="Men Under 40")</t>
  </si>
  <si>
    <t>=FILTER(tblGC, tblGC[Field]="Men 40+")</t>
  </si>
  <si>
    <t>=FILTER(tblGC, tblGC[Field]="Men 50+")</t>
  </si>
  <si>
    <t>=FILTER(tblGC, tblGC[Field]="Women")</t>
  </si>
  <si>
    <t>3-Day Stage Race Dashboard</t>
  </si>
  <si>
    <t>Field Summary</t>
  </si>
  <si>
    <t>Navigation</t>
  </si>
  <si>
    <t>Registered</t>
  </si>
  <si>
    <t>Go to Config</t>
  </si>
  <si>
    <t>Go to Registration</t>
  </si>
  <si>
    <t>Go to Stage1</t>
  </si>
  <si>
    <t>Go to Stage2</t>
  </si>
  <si>
    <t>Go to Stage3</t>
  </si>
  <si>
    <t>Go to GC</t>
  </si>
  <si>
    <t>Go to Dashboard</t>
  </si>
  <si>
    <t>Stage Leaders</t>
  </si>
  <si>
    <t>Stage</t>
  </si>
  <si>
    <t>Leader Bib</t>
  </si>
  <si>
    <t>Leader Name</t>
  </si>
  <si>
    <t>Net Time</t>
  </si>
  <si>
    <t>Stage1</t>
  </si>
  <si>
    <t>Stage2</t>
  </si>
  <si>
    <t>Stage3</t>
  </si>
  <si>
    <t>GC Leader</t>
  </si>
  <si>
    <t>Leader Time</t>
  </si>
  <si>
    <t>Warnings</t>
  </si>
  <si>
    <t>Bib range full</t>
  </si>
  <si>
    <t>Missing Stage1 times</t>
  </si>
  <si>
    <t>Missing Stage2 times</t>
  </si>
  <si>
    <t>Missing Stage3 times</t>
  </si>
  <si>
    <t>Duplicate bibs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</si>
</sst>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0" applyNumberForma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Fields" displayName="tblFields" ref="A3:A7" totalsRowShown="1" headerRowCount="1">
  <autoFilter ref="A3:A7">
    <filterColumn colId="0" hiddenButton="1"/>
  </autoFilter>
  <tableColumns count="1">
    <tableColumn id="1" name="FieldName" totalsRowLabel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BibRanges" displayName="tblBibRanges" ref="C3:E7" totalsRowShown="1" headerRowCount="1">
  <autoFilter ref="C3:E7">
    <filterColumn colId="0" hiddenButton="1"/>
    <filterColumn colId="1" hiddenButton="1"/>
    <filterColumn colId="2" hiddenButton="1"/>
  </autoFilter>
  <tableColumns count="3">
    <tableColumn id="1" name="FieldName" totalsRowLabel="Total"/>
    <tableColumn id="2" name="BibStart" totalsRowFunction="none"/>
    <tableColumn id="3" name="BibEnd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Bonus" displayName="tblBonus" ref="H3:K6" totalsRowShown="1" headerRowCount="1">
  <autoFilter ref="H3:K6">
    <filterColumn colId="0" hiddenButton="1"/>
    <filterColumn colId="1" hiddenButton="1"/>
    <filterColumn colId="2" hiddenButton="1"/>
    <filterColumn colId="3" hiddenButton="1"/>
  </autoFilter>
  <tableColumns count="4">
    <tableColumn id="1" name="Place" totalsRowLabel="Total"/>
    <tableColumn id="2" name="Stage1BonusSec" totalsRowFunction="none"/>
    <tableColumn id="3" name="Stage2BonusSec" totalsRowFunction="none"/>
    <tableColumn id="4" name="Stage3BonusSec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Reg" displayName="tblReg" ref="A1:G201" totalsRowShown="1" headerRowCount="1">
  <autoFilter ref="A1:G2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Bib" totalsRowLabel="Total"/>
    <tableColumn id="2" name="FirstName" totalsRowFunction="none"/>
    <tableColumn id="3" name="LastName" totalsRowFunction="none"/>
    <tableColumn id="4" name="Field" totalsRowFunction="none"/>
    <tableColumn id="5" name="Team" totalsRowFunction="none"/>
    <tableColumn id="6" name="LicenseID" totalsRowFunction="none"/>
    <tableColumn id="7" name="Status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Stage1" displayName="tblStage1" ref="A1:K251" totalsRowShown="1" headerRowCount="1">
  <autoFilter ref="A1:K2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Bib" totalsRowLabel="Total"/>
    <tableColumn id="2" name="Field" totalsRowFunction="none"/>
    <tableColumn id="3" name="FirstName" totalsRowFunction="none"/>
    <tableColumn id="4" name="LastName" totalsRowFunction="none"/>
    <tableColumn id="5" name="Team" totalsRowFunction="none"/>
    <tableColumn id="6" name="StageTime" totalsRowFunction="none"/>
    <tableColumn id="7" name="StageSeconds" totalsRowFunction="none"/>
    <tableColumn id="8" name="Position" totalsRowFunction="none"/>
    <tableColumn id="9" name="BonusSeconds" totalsRowFunction="none"/>
    <tableColumn id="10" name="NetSeconds" totalsRowFunction="none"/>
    <tableColumn id="11" name="NetTime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Stage2" displayName="tblStage2" ref="A1:K251" totalsRowShown="1" headerRowCount="1">
  <autoFilter ref="A1:K2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Bib" totalsRowLabel="Total"/>
    <tableColumn id="2" name="Field" totalsRowFunction="none"/>
    <tableColumn id="3" name="FirstName" totalsRowFunction="none"/>
    <tableColumn id="4" name="LastName" totalsRowFunction="none"/>
    <tableColumn id="5" name="Team" totalsRowFunction="none"/>
    <tableColumn id="6" name="StageTime" totalsRowFunction="none"/>
    <tableColumn id="7" name="StageSeconds" totalsRowFunction="none"/>
    <tableColumn id="8" name="Position" totalsRowFunction="none"/>
    <tableColumn id="9" name="BonusSeconds" totalsRowFunction="none"/>
    <tableColumn id="10" name="NetSeconds" totalsRowFunction="none"/>
    <tableColumn id="11" name="NetTime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Stage3" displayName="tblStage3" ref="A1:K251" totalsRowShown="1" headerRowCount="1">
  <autoFilter ref="A1:K2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Bib" totalsRowLabel="Total"/>
    <tableColumn id="2" name="Field" totalsRowFunction="none"/>
    <tableColumn id="3" name="FirstName" totalsRowFunction="none"/>
    <tableColumn id="4" name="LastName" totalsRowFunction="none"/>
    <tableColumn id="5" name="Team" totalsRowFunction="none"/>
    <tableColumn id="6" name="StageTime" totalsRowFunction="none"/>
    <tableColumn id="7" name="StageSeconds" totalsRowFunction="none"/>
    <tableColumn id="8" name="Position" totalsRowFunction="none"/>
    <tableColumn id="9" name="BonusSeconds" totalsRowFunction="none"/>
    <tableColumn id="10" name="NetSeconds" totalsRowFunction="none"/>
    <tableColumn id="11" name="NetTime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GC" displayName="tblGC" ref="A1:L201" totalsRowShown="1" headerRowCount="1">
  <autoFilter ref="A1:L2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Bib" totalsRowLabel="Total"/>
    <tableColumn id="2" name="Field" totalsRowFunction="none"/>
    <tableColumn id="3" name="FirstName" totalsRowFunction="none"/>
    <tableColumn id="4" name="LastName" totalsRowFunction="none"/>
    <tableColumn id="5" name="Team" totalsRowFunction="none"/>
    <tableColumn id="6" name="Status" totalsRowFunction="none"/>
    <tableColumn id="7" name="S1NetSec" totalsRowFunction="none"/>
    <tableColumn id="8" name="S2NetSec" totalsRowFunction="none"/>
    <tableColumn id="9" name="S3NetSec" totalsRowFunction="none"/>
    <tableColumn id="10" name="TotalSec" totalsRowFunction="none"/>
    <tableColumn id="11" name="TotalTime" totalsRowFunction="none"/>
    <tableColumn id="12" name="GCRank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Config&apos;!A1" TargetMode="External"/><Relationship Id="rId2" Type="http://schemas.openxmlformats.org/officeDocument/2006/relationships/hyperlink" Target="#&apos;Registration&apos;!A1" TargetMode="External"/><Relationship Id="rId3" Type="http://schemas.openxmlformats.org/officeDocument/2006/relationships/hyperlink" Target="#&apos;Stage1&apos;!A1" TargetMode="External"/><Relationship Id="rId4" Type="http://schemas.openxmlformats.org/officeDocument/2006/relationships/hyperlink" Target="#&apos;Stage2&apos;!A1" TargetMode="External"/><Relationship Id="rId5" Type="http://schemas.openxmlformats.org/officeDocument/2006/relationships/hyperlink" Target="#&apos;Stage3&apos;!A1" TargetMode="External"/><Relationship Id="rId6" Type="http://schemas.openxmlformats.org/officeDocument/2006/relationships/hyperlink" Target="#&apos;GC&apos;!A1" TargetMode="External"/><Relationship Id="rId7" Type="http://schemas.openxmlformats.org/officeDocument/2006/relationships/hyperlink" Target="#&apos;Dashboard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4" width="14" customWidth="1"/>
    <col min="5" max="5" width="18" customWidth="1"/>
    <col min="6" max="13" width="14" customWidth="1"/>
  </cols>
  <sheetData>
    <row r="1" spans="1:4" x14ac:dyDescent="0.25">
      <c r="A1" s="1" t="s">
        <v>0</v>
      </c>
      <c r="B1" s="1"/>
      <c r="C1" s="1"/>
      <c r="D1" s="1"/>
    </row>
    <row r="3" spans="1:11" x14ac:dyDescent="0.25">
      <c r="A3" t="s">
        <v>1</v>
      </c>
      <c r="C3" t="s">
        <v>1</v>
      </c>
      <c r="D3" t="s">
        <v>2</v>
      </c>
      <c r="E3" t="s">
        <v>3</v>
      </c>
      <c r="H3" t="s">
        <v>4</v>
      </c>
      <c r="I3" t="s">
        <v>5</v>
      </c>
      <c r="J3" t="s">
        <v>6</v>
      </c>
      <c r="K3" t="s">
        <v>7</v>
      </c>
    </row>
    <row r="4" spans="1:11" x14ac:dyDescent="0.25">
      <c r="A4" t="s">
        <v>8</v>
      </c>
      <c r="C4" t="s">
        <v>8</v>
      </c>
      <c r="D4">
        <v>1</v>
      </c>
      <c r="E4">
        <v>50</v>
      </c>
      <c r="H4">
        <v>1</v>
      </c>
      <c r="I4">
        <v>10</v>
      </c>
      <c r="J4">
        <v>10</v>
      </c>
      <c r="K4">
        <v>0</v>
      </c>
    </row>
    <row r="5" spans="1:11" x14ac:dyDescent="0.25">
      <c r="A5" t="s">
        <v>9</v>
      </c>
      <c r="C5" t="s">
        <v>9</v>
      </c>
      <c r="D5">
        <v>51</v>
      </c>
      <c r="E5">
        <v>100</v>
      </c>
      <c r="H5">
        <v>2</v>
      </c>
      <c r="I5">
        <v>6</v>
      </c>
      <c r="J5">
        <v>6</v>
      </c>
      <c r="K5">
        <v>0</v>
      </c>
    </row>
    <row r="6" spans="1:11" x14ac:dyDescent="0.25">
      <c r="A6" t="s">
        <v>10</v>
      </c>
      <c r="C6" t="s">
        <v>10</v>
      </c>
      <c r="D6">
        <v>101</v>
      </c>
      <c r="E6">
        <v>150</v>
      </c>
      <c r="H6">
        <v>3</v>
      </c>
      <c r="I6">
        <v>4</v>
      </c>
      <c r="J6">
        <v>4</v>
      </c>
      <c r="K6">
        <v>0</v>
      </c>
    </row>
    <row r="7" spans="1:5" x14ac:dyDescent="0.25">
      <c r="A7" t="s">
        <v>11</v>
      </c>
      <c r="C7" t="s">
        <v>11</v>
      </c>
      <c r="D7">
        <v>151</v>
      </c>
      <c r="E7">
        <v>200</v>
      </c>
    </row>
    <row r="10" spans="1:2" x14ac:dyDescent="0.25">
      <c r="A10" s="2" t="s">
        <v>12</v>
      </c>
      <c r="B10" t="s">
        <v>13</v>
      </c>
    </row>
    <row r="11" spans="1:2" x14ac:dyDescent="0.25">
      <c r="A11" s="2" t="s">
        <v>14</v>
      </c>
      <c r="B11">
        <v>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8" customWidth="1"/>
    <col min="6" max="13" width="14" customWidth="1"/>
  </cols>
  <sheetData>
    <row r="1" spans="1:7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23</v>
      </c>
    </row>
    <row r="3" spans="1:7" x14ac:dyDescent="0.25">
      <c r="A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23</v>
      </c>
    </row>
    <row r="4" spans="1:7" x14ac:dyDescent="0.25">
      <c r="A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23</v>
      </c>
    </row>
    <row r="5" spans="1:7" x14ac:dyDescent="0.25">
      <c r="A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23</v>
      </c>
    </row>
    <row r="6" spans="1:7" x14ac:dyDescent="0.25">
      <c r="A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23</v>
      </c>
    </row>
    <row r="7" spans="1:7" x14ac:dyDescent="0.25">
      <c r="A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23</v>
      </c>
    </row>
    <row r="8" spans="1:7" x14ac:dyDescent="0.25">
      <c r="A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23</v>
      </c>
    </row>
    <row r="9" spans="1:7" x14ac:dyDescent="0.25">
      <c r="A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23</v>
      </c>
    </row>
    <row r="10" spans="1:7" x14ac:dyDescent="0.25">
      <c r="A1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0" t="s">
        <v>22</v>
      </c>
      <c r="C10" t="s">
        <v>22</v>
      </c>
      <c r="D10" t="s">
        <v>22</v>
      </c>
      <c r="E10" t="s">
        <v>22</v>
      </c>
      <c r="F10" t="s">
        <v>22</v>
      </c>
      <c r="G10" t="s">
        <v>23</v>
      </c>
    </row>
    <row r="11" spans="1:7" x14ac:dyDescent="0.25">
      <c r="A1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23</v>
      </c>
    </row>
    <row r="12" spans="1:7" x14ac:dyDescent="0.25">
      <c r="A1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23</v>
      </c>
    </row>
    <row r="13" spans="1:7" x14ac:dyDescent="0.25">
      <c r="A1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3" t="s">
        <v>22</v>
      </c>
      <c r="C13" t="s">
        <v>22</v>
      </c>
      <c r="D13" t="s">
        <v>22</v>
      </c>
      <c r="E13" t="s">
        <v>22</v>
      </c>
      <c r="F13" t="s">
        <v>22</v>
      </c>
      <c r="G13" t="s">
        <v>23</v>
      </c>
    </row>
    <row r="14" spans="1:7" x14ac:dyDescent="0.25">
      <c r="A1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23</v>
      </c>
    </row>
    <row r="15" spans="1:7" x14ac:dyDescent="0.25">
      <c r="A1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23</v>
      </c>
    </row>
    <row r="16" spans="1:7" x14ac:dyDescent="0.25">
      <c r="A1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6" t="s">
        <v>22</v>
      </c>
      <c r="C16" t="s">
        <v>22</v>
      </c>
      <c r="D16" t="s">
        <v>22</v>
      </c>
      <c r="E16" t="s">
        <v>22</v>
      </c>
      <c r="F16" t="s">
        <v>22</v>
      </c>
      <c r="G16" t="s">
        <v>23</v>
      </c>
    </row>
    <row r="17" spans="1:7" x14ac:dyDescent="0.25">
      <c r="A1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23</v>
      </c>
    </row>
    <row r="18" spans="1:7" x14ac:dyDescent="0.25">
      <c r="A1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23</v>
      </c>
    </row>
    <row r="19" spans="1:7" x14ac:dyDescent="0.25">
      <c r="A1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9" t="s">
        <v>22</v>
      </c>
      <c r="C19" t="s">
        <v>22</v>
      </c>
      <c r="D19" t="s">
        <v>22</v>
      </c>
      <c r="E19" t="s">
        <v>22</v>
      </c>
      <c r="F19" t="s">
        <v>22</v>
      </c>
      <c r="G19" t="s">
        <v>23</v>
      </c>
    </row>
    <row r="20" spans="1:7" x14ac:dyDescent="0.25">
      <c r="A2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23</v>
      </c>
    </row>
    <row r="21" spans="1:7" x14ac:dyDescent="0.25">
      <c r="A2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23</v>
      </c>
    </row>
    <row r="22" spans="1:7" x14ac:dyDescent="0.25">
      <c r="A2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22" t="s">
        <v>22</v>
      </c>
      <c r="C22" t="s">
        <v>22</v>
      </c>
      <c r="D22" t="s">
        <v>22</v>
      </c>
      <c r="E22" t="s">
        <v>22</v>
      </c>
      <c r="F22" t="s">
        <v>22</v>
      </c>
      <c r="G22" t="s">
        <v>23</v>
      </c>
    </row>
    <row r="23" spans="1:7" x14ac:dyDescent="0.25">
      <c r="A2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23</v>
      </c>
    </row>
    <row r="24" spans="1:7" x14ac:dyDescent="0.25">
      <c r="A2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23</v>
      </c>
    </row>
    <row r="25" spans="1:7" x14ac:dyDescent="0.25">
      <c r="A2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25" t="s">
        <v>22</v>
      </c>
      <c r="C25" t="s">
        <v>22</v>
      </c>
      <c r="D25" t="s">
        <v>22</v>
      </c>
      <c r="E25" t="s">
        <v>22</v>
      </c>
      <c r="F25" t="s">
        <v>22</v>
      </c>
      <c r="G25" t="s">
        <v>23</v>
      </c>
    </row>
    <row r="26" spans="1:7" x14ac:dyDescent="0.25">
      <c r="A2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23</v>
      </c>
    </row>
    <row r="27" spans="1:7" x14ac:dyDescent="0.25">
      <c r="A2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23</v>
      </c>
    </row>
    <row r="28" spans="1:7" x14ac:dyDescent="0.25">
      <c r="A2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28" t="s">
        <v>22</v>
      </c>
      <c r="C28" t="s">
        <v>22</v>
      </c>
      <c r="D28" t="s">
        <v>22</v>
      </c>
      <c r="E28" t="s">
        <v>22</v>
      </c>
      <c r="F28" t="s">
        <v>22</v>
      </c>
      <c r="G28" t="s">
        <v>23</v>
      </c>
    </row>
    <row r="29" spans="1:7" x14ac:dyDescent="0.25">
      <c r="A2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23</v>
      </c>
    </row>
    <row r="30" spans="1:7" x14ac:dyDescent="0.25">
      <c r="A3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23</v>
      </c>
    </row>
    <row r="31" spans="1:7" x14ac:dyDescent="0.25">
      <c r="A3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31" t="s">
        <v>22</v>
      </c>
      <c r="C31" t="s">
        <v>22</v>
      </c>
      <c r="D31" t="s">
        <v>22</v>
      </c>
      <c r="E31" t="s">
        <v>22</v>
      </c>
      <c r="F31" t="s">
        <v>22</v>
      </c>
      <c r="G31" t="s">
        <v>23</v>
      </c>
    </row>
    <row r="32" spans="1:7" x14ac:dyDescent="0.25">
      <c r="A3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23</v>
      </c>
    </row>
    <row r="33" spans="1:7" x14ac:dyDescent="0.25">
      <c r="A3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23</v>
      </c>
    </row>
    <row r="34" spans="1:7" x14ac:dyDescent="0.25">
      <c r="A3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34" t="s">
        <v>22</v>
      </c>
      <c r="C34" t="s">
        <v>22</v>
      </c>
      <c r="D34" t="s">
        <v>22</v>
      </c>
      <c r="E34" t="s">
        <v>22</v>
      </c>
      <c r="F34" t="s">
        <v>22</v>
      </c>
      <c r="G34" t="s">
        <v>23</v>
      </c>
    </row>
    <row r="35" spans="1:7" x14ac:dyDescent="0.25">
      <c r="A3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23</v>
      </c>
    </row>
    <row r="36" spans="1:7" x14ac:dyDescent="0.25">
      <c r="A3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23</v>
      </c>
    </row>
    <row r="37" spans="1:7" x14ac:dyDescent="0.25">
      <c r="A3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37" t="s">
        <v>22</v>
      </c>
      <c r="C37" t="s">
        <v>22</v>
      </c>
      <c r="D37" t="s">
        <v>22</v>
      </c>
      <c r="E37" t="s">
        <v>22</v>
      </c>
      <c r="F37" t="s">
        <v>22</v>
      </c>
      <c r="G37" t="s">
        <v>23</v>
      </c>
    </row>
    <row r="38" spans="1:7" x14ac:dyDescent="0.25">
      <c r="A3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23</v>
      </c>
    </row>
    <row r="39" spans="1:7" x14ac:dyDescent="0.25">
      <c r="A3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23</v>
      </c>
    </row>
    <row r="40" spans="1:7" x14ac:dyDescent="0.25">
      <c r="A4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40" t="s">
        <v>22</v>
      </c>
      <c r="C40" t="s">
        <v>22</v>
      </c>
      <c r="D40" t="s">
        <v>22</v>
      </c>
      <c r="E40" t="s">
        <v>22</v>
      </c>
      <c r="F40" t="s">
        <v>22</v>
      </c>
      <c r="G40" t="s">
        <v>23</v>
      </c>
    </row>
    <row r="41" spans="1:7" x14ac:dyDescent="0.25">
      <c r="A4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23</v>
      </c>
    </row>
    <row r="42" spans="1:7" x14ac:dyDescent="0.25">
      <c r="A4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23</v>
      </c>
    </row>
    <row r="43" spans="1:7" x14ac:dyDescent="0.25">
      <c r="A4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43" t="s">
        <v>22</v>
      </c>
      <c r="C43" t="s">
        <v>22</v>
      </c>
      <c r="D43" t="s">
        <v>22</v>
      </c>
      <c r="E43" t="s">
        <v>22</v>
      </c>
      <c r="F43" t="s">
        <v>22</v>
      </c>
      <c r="G43" t="s">
        <v>23</v>
      </c>
    </row>
    <row r="44" spans="1:7" x14ac:dyDescent="0.25">
      <c r="A4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23</v>
      </c>
    </row>
    <row r="45" spans="1:7" x14ac:dyDescent="0.25">
      <c r="A4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23</v>
      </c>
    </row>
    <row r="46" spans="1:7" x14ac:dyDescent="0.25">
      <c r="A4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46" t="s">
        <v>22</v>
      </c>
      <c r="C46" t="s">
        <v>22</v>
      </c>
      <c r="D46" t="s">
        <v>22</v>
      </c>
      <c r="E46" t="s">
        <v>22</v>
      </c>
      <c r="F46" t="s">
        <v>22</v>
      </c>
      <c r="G46" t="s">
        <v>23</v>
      </c>
    </row>
    <row r="47" spans="1:7" x14ac:dyDescent="0.25">
      <c r="A4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23</v>
      </c>
    </row>
    <row r="48" spans="1:7" x14ac:dyDescent="0.25">
      <c r="A4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23</v>
      </c>
    </row>
    <row r="49" spans="1:7" x14ac:dyDescent="0.25">
      <c r="A4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49" t="s">
        <v>22</v>
      </c>
      <c r="C49" t="s">
        <v>22</v>
      </c>
      <c r="D49" t="s">
        <v>22</v>
      </c>
      <c r="E49" t="s">
        <v>22</v>
      </c>
      <c r="F49" t="s">
        <v>22</v>
      </c>
      <c r="G49" t="s">
        <v>23</v>
      </c>
    </row>
    <row r="50" spans="1:7" x14ac:dyDescent="0.25">
      <c r="A5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23</v>
      </c>
    </row>
    <row r="51" spans="1:7" x14ac:dyDescent="0.25">
      <c r="A5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23</v>
      </c>
    </row>
    <row r="52" spans="1:7" x14ac:dyDescent="0.25">
      <c r="A5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52" t="s">
        <v>22</v>
      </c>
      <c r="C52" t="s">
        <v>22</v>
      </c>
      <c r="D52" t="s">
        <v>22</v>
      </c>
      <c r="E52" t="s">
        <v>22</v>
      </c>
      <c r="F52" t="s">
        <v>22</v>
      </c>
      <c r="G52" t="s">
        <v>23</v>
      </c>
    </row>
    <row r="53" spans="1:7" x14ac:dyDescent="0.25">
      <c r="A5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23</v>
      </c>
    </row>
    <row r="54" spans="1:7" x14ac:dyDescent="0.25">
      <c r="A5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23</v>
      </c>
    </row>
    <row r="55" spans="1:7" x14ac:dyDescent="0.25">
      <c r="A5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55" t="s">
        <v>22</v>
      </c>
      <c r="C55" t="s">
        <v>22</v>
      </c>
      <c r="D55" t="s">
        <v>22</v>
      </c>
      <c r="E55" t="s">
        <v>22</v>
      </c>
      <c r="F55" t="s">
        <v>22</v>
      </c>
      <c r="G55" t="s">
        <v>23</v>
      </c>
    </row>
    <row r="56" spans="1:7" x14ac:dyDescent="0.25">
      <c r="A5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23</v>
      </c>
    </row>
    <row r="57" spans="1:7" x14ac:dyDescent="0.25">
      <c r="A5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23</v>
      </c>
    </row>
    <row r="58" spans="1:7" x14ac:dyDescent="0.25">
      <c r="A5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58" t="s">
        <v>22</v>
      </c>
      <c r="C58" t="s">
        <v>22</v>
      </c>
      <c r="D58" t="s">
        <v>22</v>
      </c>
      <c r="E58" t="s">
        <v>22</v>
      </c>
      <c r="F58" t="s">
        <v>22</v>
      </c>
      <c r="G58" t="s">
        <v>23</v>
      </c>
    </row>
    <row r="59" spans="1:7" x14ac:dyDescent="0.25">
      <c r="A5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23</v>
      </c>
    </row>
    <row r="60" spans="1:7" x14ac:dyDescent="0.25">
      <c r="A6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23</v>
      </c>
    </row>
    <row r="61" spans="1:7" x14ac:dyDescent="0.25">
      <c r="A6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61" t="s">
        <v>22</v>
      </c>
      <c r="C61" t="s">
        <v>22</v>
      </c>
      <c r="D61" t="s">
        <v>22</v>
      </c>
      <c r="E61" t="s">
        <v>22</v>
      </c>
      <c r="F61" t="s">
        <v>22</v>
      </c>
      <c r="G61" t="s">
        <v>23</v>
      </c>
    </row>
    <row r="62" spans="1:7" x14ac:dyDescent="0.25">
      <c r="A6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23</v>
      </c>
    </row>
    <row r="63" spans="1:7" x14ac:dyDescent="0.25">
      <c r="A6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23</v>
      </c>
    </row>
    <row r="64" spans="1:7" x14ac:dyDescent="0.25">
      <c r="A6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64" t="s">
        <v>22</v>
      </c>
      <c r="C64" t="s">
        <v>22</v>
      </c>
      <c r="D64" t="s">
        <v>22</v>
      </c>
      <c r="E64" t="s">
        <v>22</v>
      </c>
      <c r="F64" t="s">
        <v>22</v>
      </c>
      <c r="G64" t="s">
        <v>23</v>
      </c>
    </row>
    <row r="65" spans="1:7" x14ac:dyDescent="0.25">
      <c r="A6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23</v>
      </c>
    </row>
    <row r="66" spans="1:7" x14ac:dyDescent="0.25">
      <c r="A6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23</v>
      </c>
    </row>
    <row r="67" spans="1:7" x14ac:dyDescent="0.25">
      <c r="A6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67" t="s">
        <v>22</v>
      </c>
      <c r="C67" t="s">
        <v>22</v>
      </c>
      <c r="D67" t="s">
        <v>22</v>
      </c>
      <c r="E67" t="s">
        <v>22</v>
      </c>
      <c r="F67" t="s">
        <v>22</v>
      </c>
      <c r="G67" t="s">
        <v>23</v>
      </c>
    </row>
    <row r="68" spans="1:7" x14ac:dyDescent="0.25">
      <c r="A6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23</v>
      </c>
    </row>
    <row r="69" spans="1:7" x14ac:dyDescent="0.25">
      <c r="A6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23</v>
      </c>
    </row>
    <row r="70" spans="1:7" x14ac:dyDescent="0.25">
      <c r="A7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70" t="s">
        <v>22</v>
      </c>
      <c r="C70" t="s">
        <v>22</v>
      </c>
      <c r="D70" t="s">
        <v>22</v>
      </c>
      <c r="E70" t="s">
        <v>22</v>
      </c>
      <c r="F70" t="s">
        <v>22</v>
      </c>
      <c r="G70" t="s">
        <v>23</v>
      </c>
    </row>
    <row r="71" spans="1:7" x14ac:dyDescent="0.25">
      <c r="A7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23</v>
      </c>
    </row>
    <row r="72" spans="1:7" x14ac:dyDescent="0.25">
      <c r="A7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23</v>
      </c>
    </row>
    <row r="73" spans="1:7" x14ac:dyDescent="0.25">
      <c r="A7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73" t="s">
        <v>22</v>
      </c>
      <c r="C73" t="s">
        <v>22</v>
      </c>
      <c r="D73" t="s">
        <v>22</v>
      </c>
      <c r="E73" t="s">
        <v>22</v>
      </c>
      <c r="F73" t="s">
        <v>22</v>
      </c>
      <c r="G73" t="s">
        <v>23</v>
      </c>
    </row>
    <row r="74" spans="1:7" x14ac:dyDescent="0.25">
      <c r="A7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23</v>
      </c>
    </row>
    <row r="75" spans="1:7" x14ac:dyDescent="0.25">
      <c r="A7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23</v>
      </c>
    </row>
    <row r="76" spans="1:7" x14ac:dyDescent="0.25">
      <c r="A7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76" t="s">
        <v>22</v>
      </c>
      <c r="C76" t="s">
        <v>22</v>
      </c>
      <c r="D76" t="s">
        <v>22</v>
      </c>
      <c r="E76" t="s">
        <v>22</v>
      </c>
      <c r="F76" t="s">
        <v>22</v>
      </c>
      <c r="G76" t="s">
        <v>23</v>
      </c>
    </row>
    <row r="77" spans="1:7" x14ac:dyDescent="0.25">
      <c r="A7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23</v>
      </c>
    </row>
    <row r="78" spans="1:7" x14ac:dyDescent="0.25">
      <c r="A7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23</v>
      </c>
    </row>
    <row r="79" spans="1:7" x14ac:dyDescent="0.25">
      <c r="A7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79" t="s">
        <v>22</v>
      </c>
      <c r="C79" t="s">
        <v>22</v>
      </c>
      <c r="D79" t="s">
        <v>22</v>
      </c>
      <c r="E79" t="s">
        <v>22</v>
      </c>
      <c r="F79" t="s">
        <v>22</v>
      </c>
      <c r="G79" t="s">
        <v>23</v>
      </c>
    </row>
    <row r="80" spans="1:7" x14ac:dyDescent="0.25">
      <c r="A8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23</v>
      </c>
    </row>
    <row r="81" spans="1:7" x14ac:dyDescent="0.25">
      <c r="A8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23</v>
      </c>
    </row>
    <row r="82" spans="1:7" x14ac:dyDescent="0.25">
      <c r="A8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82" t="s">
        <v>22</v>
      </c>
      <c r="C82" t="s">
        <v>22</v>
      </c>
      <c r="D82" t="s">
        <v>22</v>
      </c>
      <c r="E82" t="s">
        <v>22</v>
      </c>
      <c r="F82" t="s">
        <v>22</v>
      </c>
      <c r="G82" t="s">
        <v>23</v>
      </c>
    </row>
    <row r="83" spans="1:7" x14ac:dyDescent="0.25">
      <c r="A8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23</v>
      </c>
    </row>
    <row r="84" spans="1:7" x14ac:dyDescent="0.25">
      <c r="A8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23</v>
      </c>
    </row>
    <row r="85" spans="1:7" x14ac:dyDescent="0.25">
      <c r="A8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85" t="s">
        <v>22</v>
      </c>
      <c r="C85" t="s">
        <v>22</v>
      </c>
      <c r="D85" t="s">
        <v>22</v>
      </c>
      <c r="E85" t="s">
        <v>22</v>
      </c>
      <c r="F85" t="s">
        <v>22</v>
      </c>
      <c r="G85" t="s">
        <v>23</v>
      </c>
    </row>
    <row r="86" spans="1:7" x14ac:dyDescent="0.25">
      <c r="A8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23</v>
      </c>
    </row>
    <row r="87" spans="1:7" x14ac:dyDescent="0.25">
      <c r="A8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23</v>
      </c>
    </row>
    <row r="88" spans="1:7" x14ac:dyDescent="0.25">
      <c r="A8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88" t="s">
        <v>22</v>
      </c>
      <c r="C88" t="s">
        <v>22</v>
      </c>
      <c r="D88" t="s">
        <v>22</v>
      </c>
      <c r="E88" t="s">
        <v>22</v>
      </c>
      <c r="F88" t="s">
        <v>22</v>
      </c>
      <c r="G88" t="s">
        <v>23</v>
      </c>
    </row>
    <row r="89" spans="1:7" x14ac:dyDescent="0.25">
      <c r="A8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23</v>
      </c>
    </row>
    <row r="90" spans="1:7" x14ac:dyDescent="0.25">
      <c r="A9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23</v>
      </c>
    </row>
    <row r="91" spans="1:7" x14ac:dyDescent="0.25">
      <c r="A9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91" t="s">
        <v>22</v>
      </c>
      <c r="C91" t="s">
        <v>22</v>
      </c>
      <c r="D91" t="s">
        <v>22</v>
      </c>
      <c r="E91" t="s">
        <v>22</v>
      </c>
      <c r="F91" t="s">
        <v>22</v>
      </c>
      <c r="G91" t="s">
        <v>23</v>
      </c>
    </row>
    <row r="92" spans="1:7" x14ac:dyDescent="0.25">
      <c r="A9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23</v>
      </c>
    </row>
    <row r="93" spans="1:7" x14ac:dyDescent="0.25">
      <c r="A9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23</v>
      </c>
    </row>
    <row r="94" spans="1:7" x14ac:dyDescent="0.25">
      <c r="A9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94" t="s">
        <v>22</v>
      </c>
      <c r="C94" t="s">
        <v>22</v>
      </c>
      <c r="D94" t="s">
        <v>22</v>
      </c>
      <c r="E94" t="s">
        <v>22</v>
      </c>
      <c r="F94" t="s">
        <v>22</v>
      </c>
      <c r="G94" t="s">
        <v>23</v>
      </c>
    </row>
    <row r="95" spans="1:7" x14ac:dyDescent="0.25">
      <c r="A9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23</v>
      </c>
    </row>
    <row r="96" spans="1:7" x14ac:dyDescent="0.25">
      <c r="A9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23</v>
      </c>
    </row>
    <row r="97" spans="1:7" x14ac:dyDescent="0.25">
      <c r="A9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97" t="s">
        <v>22</v>
      </c>
      <c r="C97" t="s">
        <v>22</v>
      </c>
      <c r="D97" t="s">
        <v>22</v>
      </c>
      <c r="E97" t="s">
        <v>22</v>
      </c>
      <c r="F97" t="s">
        <v>22</v>
      </c>
      <c r="G97" t="s">
        <v>23</v>
      </c>
    </row>
    <row r="98" spans="1:7" x14ac:dyDescent="0.25">
      <c r="A9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23</v>
      </c>
    </row>
    <row r="99" spans="1:7" x14ac:dyDescent="0.25">
      <c r="A9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23</v>
      </c>
    </row>
    <row r="100" spans="1:7" x14ac:dyDescent="0.25">
      <c r="A10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00" t="s">
        <v>22</v>
      </c>
      <c r="C100" t="s">
        <v>22</v>
      </c>
      <c r="D100" t="s">
        <v>22</v>
      </c>
      <c r="E100" t="s">
        <v>22</v>
      </c>
      <c r="F100" t="s">
        <v>22</v>
      </c>
      <c r="G100" t="s">
        <v>23</v>
      </c>
    </row>
    <row r="101" spans="1:7" x14ac:dyDescent="0.25">
      <c r="A10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23</v>
      </c>
    </row>
    <row r="102" spans="1:7" x14ac:dyDescent="0.25">
      <c r="A10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02" t="s">
        <v>22</v>
      </c>
      <c r="C102" t="s">
        <v>22</v>
      </c>
      <c r="D102" t="s">
        <v>22</v>
      </c>
      <c r="E102" t="s">
        <v>22</v>
      </c>
      <c r="F102" t="s">
        <v>22</v>
      </c>
      <c r="G102" t="s">
        <v>23</v>
      </c>
    </row>
    <row r="103" spans="1:7" x14ac:dyDescent="0.25">
      <c r="A10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03" t="s">
        <v>22</v>
      </c>
      <c r="C103" t="s">
        <v>22</v>
      </c>
      <c r="D103" t="s">
        <v>22</v>
      </c>
      <c r="E103" t="s">
        <v>22</v>
      </c>
      <c r="F103" t="s">
        <v>22</v>
      </c>
      <c r="G103" t="s">
        <v>23</v>
      </c>
    </row>
    <row r="104" spans="1:7" x14ac:dyDescent="0.25">
      <c r="A10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  <c r="G104" t="s">
        <v>23</v>
      </c>
    </row>
    <row r="105" spans="1:7" x14ac:dyDescent="0.25">
      <c r="A10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23</v>
      </c>
    </row>
    <row r="106" spans="1:7" x14ac:dyDescent="0.25">
      <c r="A10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06" t="s">
        <v>22</v>
      </c>
      <c r="C106" t="s">
        <v>22</v>
      </c>
      <c r="D106" t="s">
        <v>22</v>
      </c>
      <c r="E106" t="s">
        <v>22</v>
      </c>
      <c r="F106" t="s">
        <v>22</v>
      </c>
      <c r="G106" t="s">
        <v>23</v>
      </c>
    </row>
    <row r="107" spans="1:7" x14ac:dyDescent="0.25">
      <c r="A10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23</v>
      </c>
    </row>
    <row r="108" spans="1:7" x14ac:dyDescent="0.25">
      <c r="A10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08" t="s">
        <v>22</v>
      </c>
      <c r="C108" t="s">
        <v>22</v>
      </c>
      <c r="D108" t="s">
        <v>22</v>
      </c>
      <c r="E108" t="s">
        <v>22</v>
      </c>
      <c r="F108" t="s">
        <v>22</v>
      </c>
      <c r="G108" t="s">
        <v>23</v>
      </c>
    </row>
    <row r="109" spans="1:7" x14ac:dyDescent="0.25">
      <c r="A10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09" t="s">
        <v>22</v>
      </c>
      <c r="C109" t="s">
        <v>22</v>
      </c>
      <c r="D109" t="s">
        <v>22</v>
      </c>
      <c r="E109" t="s">
        <v>22</v>
      </c>
      <c r="F109" t="s">
        <v>22</v>
      </c>
      <c r="G109" t="s">
        <v>23</v>
      </c>
    </row>
    <row r="110" spans="1:7" x14ac:dyDescent="0.25">
      <c r="A11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10" t="s">
        <v>22</v>
      </c>
      <c r="C110" t="s">
        <v>22</v>
      </c>
      <c r="D110" t="s">
        <v>22</v>
      </c>
      <c r="E110" t="s">
        <v>22</v>
      </c>
      <c r="F110" t="s">
        <v>22</v>
      </c>
      <c r="G110" t="s">
        <v>23</v>
      </c>
    </row>
    <row r="111" spans="1:7" x14ac:dyDescent="0.25">
      <c r="A11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23</v>
      </c>
    </row>
    <row r="112" spans="1:7" x14ac:dyDescent="0.25">
      <c r="A11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12" t="s">
        <v>22</v>
      </c>
      <c r="C112" t="s">
        <v>22</v>
      </c>
      <c r="D112" t="s">
        <v>22</v>
      </c>
      <c r="E112" t="s">
        <v>22</v>
      </c>
      <c r="F112" t="s">
        <v>22</v>
      </c>
      <c r="G112" t="s">
        <v>23</v>
      </c>
    </row>
    <row r="113" spans="1:7" x14ac:dyDescent="0.25">
      <c r="A11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t="s">
        <v>23</v>
      </c>
    </row>
    <row r="114" spans="1:7" x14ac:dyDescent="0.25">
      <c r="A11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14" t="s">
        <v>22</v>
      </c>
      <c r="C114" t="s">
        <v>22</v>
      </c>
      <c r="D114" t="s">
        <v>22</v>
      </c>
      <c r="E114" t="s">
        <v>22</v>
      </c>
      <c r="F114" t="s">
        <v>22</v>
      </c>
      <c r="G114" t="s">
        <v>23</v>
      </c>
    </row>
    <row r="115" spans="1:7" x14ac:dyDescent="0.25">
      <c r="A11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15" t="s">
        <v>22</v>
      </c>
      <c r="C115" t="s">
        <v>22</v>
      </c>
      <c r="D115" t="s">
        <v>22</v>
      </c>
      <c r="E115" t="s">
        <v>22</v>
      </c>
      <c r="F115" t="s">
        <v>22</v>
      </c>
      <c r="G115" t="s">
        <v>23</v>
      </c>
    </row>
    <row r="116" spans="1:7" x14ac:dyDescent="0.25">
      <c r="A11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16" t="s">
        <v>22</v>
      </c>
      <c r="C116" t="s">
        <v>22</v>
      </c>
      <c r="D116" t="s">
        <v>22</v>
      </c>
      <c r="E116" t="s">
        <v>22</v>
      </c>
      <c r="F116" t="s">
        <v>22</v>
      </c>
      <c r="G116" t="s">
        <v>23</v>
      </c>
    </row>
    <row r="117" spans="1:7" x14ac:dyDescent="0.25">
      <c r="A11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17" t="s">
        <v>22</v>
      </c>
      <c r="C117" t="s">
        <v>22</v>
      </c>
      <c r="D117" t="s">
        <v>22</v>
      </c>
      <c r="E117" t="s">
        <v>22</v>
      </c>
      <c r="F117" t="s">
        <v>22</v>
      </c>
      <c r="G117" t="s">
        <v>23</v>
      </c>
    </row>
    <row r="118" spans="1:7" x14ac:dyDescent="0.25">
      <c r="A11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18" t="s">
        <v>22</v>
      </c>
      <c r="C118" t="s">
        <v>22</v>
      </c>
      <c r="D118" t="s">
        <v>22</v>
      </c>
      <c r="E118" t="s">
        <v>22</v>
      </c>
      <c r="F118" t="s">
        <v>22</v>
      </c>
      <c r="G118" t="s">
        <v>23</v>
      </c>
    </row>
    <row r="119" spans="1:7" x14ac:dyDescent="0.25">
      <c r="A11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19" t="s">
        <v>22</v>
      </c>
      <c r="C119" t="s">
        <v>22</v>
      </c>
      <c r="D119" t="s">
        <v>22</v>
      </c>
      <c r="E119" t="s">
        <v>22</v>
      </c>
      <c r="F119" t="s">
        <v>22</v>
      </c>
      <c r="G119" t="s">
        <v>23</v>
      </c>
    </row>
    <row r="120" spans="1:7" x14ac:dyDescent="0.25">
      <c r="A12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20" t="s">
        <v>22</v>
      </c>
      <c r="C120" t="s">
        <v>22</v>
      </c>
      <c r="D120" t="s">
        <v>22</v>
      </c>
      <c r="E120" t="s">
        <v>22</v>
      </c>
      <c r="F120" t="s">
        <v>22</v>
      </c>
      <c r="G120" t="s">
        <v>23</v>
      </c>
    </row>
    <row r="121" spans="1:7" x14ac:dyDescent="0.25">
      <c r="A12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21" t="s">
        <v>22</v>
      </c>
      <c r="C121" t="s">
        <v>22</v>
      </c>
      <c r="D121" t="s">
        <v>22</v>
      </c>
      <c r="E121" t="s">
        <v>22</v>
      </c>
      <c r="F121" t="s">
        <v>22</v>
      </c>
      <c r="G121" t="s">
        <v>23</v>
      </c>
    </row>
    <row r="122" spans="1:7" x14ac:dyDescent="0.25">
      <c r="A12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22" t="s">
        <v>22</v>
      </c>
      <c r="C122" t="s">
        <v>22</v>
      </c>
      <c r="D122" t="s">
        <v>22</v>
      </c>
      <c r="E122" t="s">
        <v>22</v>
      </c>
      <c r="F122" t="s">
        <v>22</v>
      </c>
      <c r="G122" t="s">
        <v>23</v>
      </c>
    </row>
    <row r="123" spans="1:7" x14ac:dyDescent="0.25">
      <c r="A12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23" t="s">
        <v>22</v>
      </c>
      <c r="C123" t="s">
        <v>22</v>
      </c>
      <c r="D123" t="s">
        <v>22</v>
      </c>
      <c r="E123" t="s">
        <v>22</v>
      </c>
      <c r="F123" t="s">
        <v>22</v>
      </c>
      <c r="G123" t="s">
        <v>23</v>
      </c>
    </row>
    <row r="124" spans="1:7" x14ac:dyDescent="0.25">
      <c r="A12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24" t="s">
        <v>22</v>
      </c>
      <c r="C124" t="s">
        <v>22</v>
      </c>
      <c r="D124" t="s">
        <v>22</v>
      </c>
      <c r="E124" t="s">
        <v>22</v>
      </c>
      <c r="F124" t="s">
        <v>22</v>
      </c>
      <c r="G124" t="s">
        <v>23</v>
      </c>
    </row>
    <row r="125" spans="1:7" x14ac:dyDescent="0.25">
      <c r="A12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23</v>
      </c>
    </row>
    <row r="126" spans="1:7" x14ac:dyDescent="0.25">
      <c r="A12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26" t="s">
        <v>22</v>
      </c>
      <c r="C126" t="s">
        <v>22</v>
      </c>
      <c r="D126" t="s">
        <v>22</v>
      </c>
      <c r="E126" t="s">
        <v>22</v>
      </c>
      <c r="F126" t="s">
        <v>22</v>
      </c>
      <c r="G126" t="s">
        <v>23</v>
      </c>
    </row>
    <row r="127" spans="1:7" x14ac:dyDescent="0.25">
      <c r="A12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27" t="s">
        <v>22</v>
      </c>
      <c r="C127" t="s">
        <v>22</v>
      </c>
      <c r="D127" t="s">
        <v>22</v>
      </c>
      <c r="E127" t="s">
        <v>22</v>
      </c>
      <c r="F127" t="s">
        <v>22</v>
      </c>
      <c r="G127" t="s">
        <v>23</v>
      </c>
    </row>
    <row r="128" spans="1:7" x14ac:dyDescent="0.25">
      <c r="A12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28" t="s">
        <v>22</v>
      </c>
      <c r="C128" t="s">
        <v>22</v>
      </c>
      <c r="D128" t="s">
        <v>22</v>
      </c>
      <c r="E128" t="s">
        <v>22</v>
      </c>
      <c r="F128" t="s">
        <v>22</v>
      </c>
      <c r="G128" t="s">
        <v>23</v>
      </c>
    </row>
    <row r="129" spans="1:7" x14ac:dyDescent="0.25">
      <c r="A12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t="s">
        <v>23</v>
      </c>
    </row>
    <row r="130" spans="1:7" x14ac:dyDescent="0.25">
      <c r="A13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30" t="s">
        <v>22</v>
      </c>
      <c r="C130" t="s">
        <v>22</v>
      </c>
      <c r="D130" t="s">
        <v>22</v>
      </c>
      <c r="E130" t="s">
        <v>22</v>
      </c>
      <c r="F130" t="s">
        <v>22</v>
      </c>
      <c r="G130" t="s">
        <v>23</v>
      </c>
    </row>
    <row r="131" spans="1:7" x14ac:dyDescent="0.25">
      <c r="A13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23</v>
      </c>
    </row>
    <row r="132" spans="1:7" x14ac:dyDescent="0.25">
      <c r="A13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32" t="s">
        <v>22</v>
      </c>
      <c r="C132" t="s">
        <v>22</v>
      </c>
      <c r="D132" t="s">
        <v>22</v>
      </c>
      <c r="E132" t="s">
        <v>22</v>
      </c>
      <c r="F132" t="s">
        <v>22</v>
      </c>
      <c r="G132" t="s">
        <v>23</v>
      </c>
    </row>
    <row r="133" spans="1:7" x14ac:dyDescent="0.25">
      <c r="A13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33" t="s">
        <v>22</v>
      </c>
      <c r="C133" t="s">
        <v>22</v>
      </c>
      <c r="D133" t="s">
        <v>22</v>
      </c>
      <c r="E133" t="s">
        <v>22</v>
      </c>
      <c r="F133" t="s">
        <v>22</v>
      </c>
      <c r="G133" t="s">
        <v>23</v>
      </c>
    </row>
    <row r="134" spans="1:7" x14ac:dyDescent="0.25">
      <c r="A13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34" t="s">
        <v>22</v>
      </c>
      <c r="C134" t="s">
        <v>22</v>
      </c>
      <c r="D134" t="s">
        <v>22</v>
      </c>
      <c r="E134" t="s">
        <v>22</v>
      </c>
      <c r="F134" t="s">
        <v>22</v>
      </c>
      <c r="G134" t="s">
        <v>23</v>
      </c>
    </row>
    <row r="135" spans="1:7" x14ac:dyDescent="0.25">
      <c r="A13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23</v>
      </c>
    </row>
    <row r="136" spans="1:7" x14ac:dyDescent="0.25">
      <c r="A13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36" t="s">
        <v>22</v>
      </c>
      <c r="C136" t="s">
        <v>22</v>
      </c>
      <c r="D136" t="s">
        <v>22</v>
      </c>
      <c r="E136" t="s">
        <v>22</v>
      </c>
      <c r="F136" t="s">
        <v>22</v>
      </c>
      <c r="G136" t="s">
        <v>23</v>
      </c>
    </row>
    <row r="137" spans="1:7" x14ac:dyDescent="0.25">
      <c r="A13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37" t="s">
        <v>22</v>
      </c>
      <c r="C137" t="s">
        <v>22</v>
      </c>
      <c r="D137" t="s">
        <v>22</v>
      </c>
      <c r="E137" t="s">
        <v>22</v>
      </c>
      <c r="F137" t="s">
        <v>22</v>
      </c>
      <c r="G137" t="s">
        <v>23</v>
      </c>
    </row>
    <row r="138" spans="1:7" x14ac:dyDescent="0.25">
      <c r="A13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38" t="s">
        <v>22</v>
      </c>
      <c r="C138" t="s">
        <v>22</v>
      </c>
      <c r="D138" t="s">
        <v>22</v>
      </c>
      <c r="E138" t="s">
        <v>22</v>
      </c>
      <c r="F138" t="s">
        <v>22</v>
      </c>
      <c r="G138" t="s">
        <v>23</v>
      </c>
    </row>
    <row r="139" spans="1:7" x14ac:dyDescent="0.25">
      <c r="A13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39" t="s">
        <v>22</v>
      </c>
      <c r="C139" t="s">
        <v>22</v>
      </c>
      <c r="D139" t="s">
        <v>22</v>
      </c>
      <c r="E139" t="s">
        <v>22</v>
      </c>
      <c r="F139" t="s">
        <v>22</v>
      </c>
      <c r="G139" t="s">
        <v>23</v>
      </c>
    </row>
    <row r="140" spans="1:7" x14ac:dyDescent="0.25">
      <c r="A14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40" t="s">
        <v>22</v>
      </c>
      <c r="C140" t="s">
        <v>22</v>
      </c>
      <c r="D140" t="s">
        <v>22</v>
      </c>
      <c r="E140" t="s">
        <v>22</v>
      </c>
      <c r="F140" t="s">
        <v>22</v>
      </c>
      <c r="G140" t="s">
        <v>23</v>
      </c>
    </row>
    <row r="141" spans="1:7" x14ac:dyDescent="0.25">
      <c r="A14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41" t="s">
        <v>22</v>
      </c>
      <c r="C141" t="s">
        <v>22</v>
      </c>
      <c r="D141" t="s">
        <v>22</v>
      </c>
      <c r="E141" t="s">
        <v>22</v>
      </c>
      <c r="F141" t="s">
        <v>22</v>
      </c>
      <c r="G141" t="s">
        <v>23</v>
      </c>
    </row>
    <row r="142" spans="1:7" x14ac:dyDescent="0.25">
      <c r="A14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42" t="s">
        <v>22</v>
      </c>
      <c r="C142" t="s">
        <v>22</v>
      </c>
      <c r="D142" t="s">
        <v>22</v>
      </c>
      <c r="E142" t="s">
        <v>22</v>
      </c>
      <c r="F142" t="s">
        <v>22</v>
      </c>
      <c r="G142" t="s">
        <v>23</v>
      </c>
    </row>
    <row r="143" spans="1:7" x14ac:dyDescent="0.25">
      <c r="A14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23</v>
      </c>
    </row>
    <row r="144" spans="1:7" x14ac:dyDescent="0.25">
      <c r="A14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44" t="s">
        <v>22</v>
      </c>
      <c r="C144" t="s">
        <v>22</v>
      </c>
      <c r="D144" t="s">
        <v>22</v>
      </c>
      <c r="E144" t="s">
        <v>22</v>
      </c>
      <c r="F144" t="s">
        <v>22</v>
      </c>
      <c r="G144" t="s">
        <v>23</v>
      </c>
    </row>
    <row r="145" spans="1:7" x14ac:dyDescent="0.25">
      <c r="A14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45" t="s">
        <v>22</v>
      </c>
      <c r="C145" t="s">
        <v>22</v>
      </c>
      <c r="D145" t="s">
        <v>22</v>
      </c>
      <c r="E145" t="s">
        <v>22</v>
      </c>
      <c r="F145" t="s">
        <v>22</v>
      </c>
      <c r="G145" t="s">
        <v>23</v>
      </c>
    </row>
    <row r="146" spans="1:7" x14ac:dyDescent="0.25">
      <c r="A14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46" t="s">
        <v>22</v>
      </c>
      <c r="C146" t="s">
        <v>22</v>
      </c>
      <c r="D146" t="s">
        <v>22</v>
      </c>
      <c r="E146" t="s">
        <v>22</v>
      </c>
      <c r="F146" t="s">
        <v>22</v>
      </c>
      <c r="G146" t="s">
        <v>23</v>
      </c>
    </row>
    <row r="147" spans="1:7" x14ac:dyDescent="0.25">
      <c r="A14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23</v>
      </c>
    </row>
    <row r="148" spans="1:7" x14ac:dyDescent="0.25">
      <c r="A14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48" t="s">
        <v>22</v>
      </c>
      <c r="C148" t="s">
        <v>22</v>
      </c>
      <c r="D148" t="s">
        <v>22</v>
      </c>
      <c r="E148" t="s">
        <v>22</v>
      </c>
      <c r="F148" t="s">
        <v>22</v>
      </c>
      <c r="G148" t="s">
        <v>23</v>
      </c>
    </row>
    <row r="149" spans="1:7" x14ac:dyDescent="0.25">
      <c r="A14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t="s">
        <v>23</v>
      </c>
    </row>
    <row r="150" spans="1:7" x14ac:dyDescent="0.25">
      <c r="A15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50" t="s">
        <v>22</v>
      </c>
      <c r="C150" t="s">
        <v>22</v>
      </c>
      <c r="D150" t="s">
        <v>22</v>
      </c>
      <c r="E150" t="s">
        <v>22</v>
      </c>
      <c r="F150" t="s">
        <v>22</v>
      </c>
      <c r="G150" t="s">
        <v>23</v>
      </c>
    </row>
    <row r="151" spans="1:7" x14ac:dyDescent="0.25">
      <c r="A15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51" t="s">
        <v>22</v>
      </c>
      <c r="C151" t="s">
        <v>22</v>
      </c>
      <c r="D151" t="s">
        <v>22</v>
      </c>
      <c r="E151" t="s">
        <v>22</v>
      </c>
      <c r="F151" t="s">
        <v>22</v>
      </c>
      <c r="G151" t="s">
        <v>23</v>
      </c>
    </row>
    <row r="152" spans="1:7" x14ac:dyDescent="0.25">
      <c r="A15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52" t="s">
        <v>22</v>
      </c>
      <c r="C152" t="s">
        <v>22</v>
      </c>
      <c r="D152" t="s">
        <v>22</v>
      </c>
      <c r="E152" t="s">
        <v>22</v>
      </c>
      <c r="F152" t="s">
        <v>22</v>
      </c>
      <c r="G152" t="s">
        <v>23</v>
      </c>
    </row>
    <row r="153" spans="1:7" x14ac:dyDescent="0.25">
      <c r="A15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53" t="s">
        <v>22</v>
      </c>
      <c r="C153" t="s">
        <v>22</v>
      </c>
      <c r="D153" t="s">
        <v>22</v>
      </c>
      <c r="E153" t="s">
        <v>22</v>
      </c>
      <c r="F153" t="s">
        <v>22</v>
      </c>
      <c r="G153" t="s">
        <v>23</v>
      </c>
    </row>
    <row r="154" spans="1:7" x14ac:dyDescent="0.25">
      <c r="A15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54" t="s">
        <v>22</v>
      </c>
      <c r="C154" t="s">
        <v>22</v>
      </c>
      <c r="D154" t="s">
        <v>22</v>
      </c>
      <c r="E154" t="s">
        <v>22</v>
      </c>
      <c r="F154" t="s">
        <v>22</v>
      </c>
      <c r="G154" t="s">
        <v>23</v>
      </c>
    </row>
    <row r="155" spans="1:7" x14ac:dyDescent="0.25">
      <c r="A15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55" t="s">
        <v>22</v>
      </c>
      <c r="C155" t="s">
        <v>22</v>
      </c>
      <c r="D155" t="s">
        <v>22</v>
      </c>
      <c r="E155" t="s">
        <v>22</v>
      </c>
      <c r="F155" t="s">
        <v>22</v>
      </c>
      <c r="G155" t="s">
        <v>23</v>
      </c>
    </row>
    <row r="156" spans="1:7" x14ac:dyDescent="0.25">
      <c r="A15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23</v>
      </c>
    </row>
    <row r="157" spans="1:7" x14ac:dyDescent="0.25">
      <c r="A15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57" t="s">
        <v>22</v>
      </c>
      <c r="C157" t="s">
        <v>22</v>
      </c>
      <c r="D157" t="s">
        <v>22</v>
      </c>
      <c r="E157" t="s">
        <v>22</v>
      </c>
      <c r="F157" t="s">
        <v>22</v>
      </c>
      <c r="G157" t="s">
        <v>23</v>
      </c>
    </row>
    <row r="158" spans="1:7" x14ac:dyDescent="0.25">
      <c r="A15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23</v>
      </c>
    </row>
    <row r="159" spans="1:7" x14ac:dyDescent="0.25">
      <c r="A15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23</v>
      </c>
    </row>
    <row r="160" spans="1:7" x14ac:dyDescent="0.25">
      <c r="A16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60" t="s">
        <v>22</v>
      </c>
      <c r="C160" t="s">
        <v>22</v>
      </c>
      <c r="D160" t="s">
        <v>22</v>
      </c>
      <c r="E160" t="s">
        <v>22</v>
      </c>
      <c r="F160" t="s">
        <v>22</v>
      </c>
      <c r="G160" t="s">
        <v>23</v>
      </c>
    </row>
    <row r="161" spans="1:7" x14ac:dyDescent="0.25">
      <c r="A16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61" t="s">
        <v>22</v>
      </c>
      <c r="C161" t="s">
        <v>22</v>
      </c>
      <c r="D161" t="s">
        <v>22</v>
      </c>
      <c r="E161" t="s">
        <v>22</v>
      </c>
      <c r="F161" t="s">
        <v>22</v>
      </c>
      <c r="G161" t="s">
        <v>23</v>
      </c>
    </row>
    <row r="162" spans="1:7" x14ac:dyDescent="0.25">
      <c r="A16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62" t="s">
        <v>22</v>
      </c>
      <c r="C162" t="s">
        <v>22</v>
      </c>
      <c r="D162" t="s">
        <v>22</v>
      </c>
      <c r="E162" t="s">
        <v>22</v>
      </c>
      <c r="F162" t="s">
        <v>22</v>
      </c>
      <c r="G162" t="s">
        <v>23</v>
      </c>
    </row>
    <row r="163" spans="1:7" x14ac:dyDescent="0.25">
      <c r="A16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63" t="s">
        <v>22</v>
      </c>
      <c r="C163" t="s">
        <v>22</v>
      </c>
      <c r="D163" t="s">
        <v>22</v>
      </c>
      <c r="E163" t="s">
        <v>22</v>
      </c>
      <c r="F163" t="s">
        <v>22</v>
      </c>
      <c r="G163" t="s">
        <v>23</v>
      </c>
    </row>
    <row r="164" spans="1:7" x14ac:dyDescent="0.25">
      <c r="A16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23</v>
      </c>
    </row>
    <row r="165" spans="1:7" x14ac:dyDescent="0.25">
      <c r="A16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65" t="s">
        <v>22</v>
      </c>
      <c r="C165" t="s">
        <v>22</v>
      </c>
      <c r="D165" t="s">
        <v>22</v>
      </c>
      <c r="E165" t="s">
        <v>22</v>
      </c>
      <c r="F165" t="s">
        <v>22</v>
      </c>
      <c r="G165" t="s">
        <v>23</v>
      </c>
    </row>
    <row r="166" spans="1:7" x14ac:dyDescent="0.25">
      <c r="A16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66" t="s">
        <v>22</v>
      </c>
      <c r="C166" t="s">
        <v>22</v>
      </c>
      <c r="D166" t="s">
        <v>22</v>
      </c>
      <c r="E166" t="s">
        <v>22</v>
      </c>
      <c r="F166" t="s">
        <v>22</v>
      </c>
      <c r="G166" t="s">
        <v>23</v>
      </c>
    </row>
    <row r="167" spans="1:7" x14ac:dyDescent="0.25">
      <c r="A16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t="s">
        <v>23</v>
      </c>
    </row>
    <row r="168" spans="1:7" x14ac:dyDescent="0.25">
      <c r="A16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68" t="s">
        <v>22</v>
      </c>
      <c r="C168" t="s">
        <v>22</v>
      </c>
      <c r="D168" t="s">
        <v>22</v>
      </c>
      <c r="E168" t="s">
        <v>22</v>
      </c>
      <c r="F168" t="s">
        <v>22</v>
      </c>
      <c r="G168" t="s">
        <v>23</v>
      </c>
    </row>
    <row r="169" spans="1:7" x14ac:dyDescent="0.25">
      <c r="A16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69" t="s">
        <v>22</v>
      </c>
      <c r="C169" t="s">
        <v>22</v>
      </c>
      <c r="D169" t="s">
        <v>22</v>
      </c>
      <c r="E169" t="s">
        <v>22</v>
      </c>
      <c r="F169" t="s">
        <v>22</v>
      </c>
      <c r="G169" t="s">
        <v>23</v>
      </c>
    </row>
    <row r="170" spans="1:7" x14ac:dyDescent="0.25">
      <c r="A17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70" t="s">
        <v>22</v>
      </c>
      <c r="C170" t="s">
        <v>22</v>
      </c>
      <c r="D170" t="s">
        <v>22</v>
      </c>
      <c r="E170" t="s">
        <v>22</v>
      </c>
      <c r="F170" t="s">
        <v>22</v>
      </c>
      <c r="G170" t="s">
        <v>23</v>
      </c>
    </row>
    <row r="171" spans="1:7" x14ac:dyDescent="0.25">
      <c r="A17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71" t="s">
        <v>22</v>
      </c>
      <c r="C171" t="s">
        <v>22</v>
      </c>
      <c r="D171" t="s">
        <v>22</v>
      </c>
      <c r="E171" t="s">
        <v>22</v>
      </c>
      <c r="F171" t="s">
        <v>22</v>
      </c>
      <c r="G171" t="s">
        <v>23</v>
      </c>
    </row>
    <row r="172" spans="1:7" x14ac:dyDescent="0.25">
      <c r="A17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72" t="s">
        <v>22</v>
      </c>
      <c r="C172" t="s">
        <v>22</v>
      </c>
      <c r="D172" t="s">
        <v>22</v>
      </c>
      <c r="E172" t="s">
        <v>22</v>
      </c>
      <c r="F172" t="s">
        <v>22</v>
      </c>
      <c r="G172" t="s">
        <v>23</v>
      </c>
    </row>
    <row r="173" spans="1:7" x14ac:dyDescent="0.25">
      <c r="A17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73" t="s">
        <v>22</v>
      </c>
      <c r="C173" t="s">
        <v>22</v>
      </c>
      <c r="D173" t="s">
        <v>22</v>
      </c>
      <c r="E173" t="s">
        <v>22</v>
      </c>
      <c r="F173" t="s">
        <v>22</v>
      </c>
      <c r="G173" t="s">
        <v>23</v>
      </c>
    </row>
    <row r="174" spans="1:7" x14ac:dyDescent="0.25">
      <c r="A17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74" t="s">
        <v>22</v>
      </c>
      <c r="C174" t="s">
        <v>22</v>
      </c>
      <c r="D174" t="s">
        <v>22</v>
      </c>
      <c r="E174" t="s">
        <v>22</v>
      </c>
      <c r="F174" t="s">
        <v>22</v>
      </c>
      <c r="G174" t="s">
        <v>23</v>
      </c>
    </row>
    <row r="175" spans="1:7" x14ac:dyDescent="0.25">
      <c r="A17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75" t="s">
        <v>22</v>
      </c>
      <c r="C175" t="s">
        <v>22</v>
      </c>
      <c r="D175" t="s">
        <v>22</v>
      </c>
      <c r="E175" t="s">
        <v>22</v>
      </c>
      <c r="F175" t="s">
        <v>22</v>
      </c>
      <c r="G175" t="s">
        <v>23</v>
      </c>
    </row>
    <row r="176" spans="1:7" x14ac:dyDescent="0.25">
      <c r="A17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76" t="s">
        <v>22</v>
      </c>
      <c r="C176" t="s">
        <v>22</v>
      </c>
      <c r="D176" t="s">
        <v>22</v>
      </c>
      <c r="E176" t="s">
        <v>22</v>
      </c>
      <c r="F176" t="s">
        <v>22</v>
      </c>
      <c r="G176" t="s">
        <v>23</v>
      </c>
    </row>
    <row r="177" spans="1:7" x14ac:dyDescent="0.25">
      <c r="A17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23</v>
      </c>
    </row>
    <row r="178" spans="1:7" x14ac:dyDescent="0.25">
      <c r="A17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78" t="s">
        <v>22</v>
      </c>
      <c r="C178" t="s">
        <v>22</v>
      </c>
      <c r="D178" t="s">
        <v>22</v>
      </c>
      <c r="E178" t="s">
        <v>22</v>
      </c>
      <c r="F178" t="s">
        <v>22</v>
      </c>
      <c r="G178" t="s">
        <v>23</v>
      </c>
    </row>
    <row r="179" spans="1:7" x14ac:dyDescent="0.25">
      <c r="A17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23</v>
      </c>
    </row>
    <row r="180" spans="1:7" x14ac:dyDescent="0.25">
      <c r="A18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80" t="s">
        <v>22</v>
      </c>
      <c r="C180" t="s">
        <v>22</v>
      </c>
      <c r="D180" t="s">
        <v>22</v>
      </c>
      <c r="E180" t="s">
        <v>22</v>
      </c>
      <c r="F180" t="s">
        <v>22</v>
      </c>
      <c r="G180" t="s">
        <v>23</v>
      </c>
    </row>
    <row r="181" spans="1:7" x14ac:dyDescent="0.25">
      <c r="A18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81" t="s">
        <v>22</v>
      </c>
      <c r="C181" t="s">
        <v>22</v>
      </c>
      <c r="D181" t="s">
        <v>22</v>
      </c>
      <c r="E181" t="s">
        <v>22</v>
      </c>
      <c r="F181" t="s">
        <v>22</v>
      </c>
      <c r="G181" t="s">
        <v>23</v>
      </c>
    </row>
    <row r="182" spans="1:7" x14ac:dyDescent="0.25">
      <c r="A18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82" t="s">
        <v>22</v>
      </c>
      <c r="C182" t="s">
        <v>22</v>
      </c>
      <c r="D182" t="s">
        <v>22</v>
      </c>
      <c r="E182" t="s">
        <v>22</v>
      </c>
      <c r="F182" t="s">
        <v>22</v>
      </c>
      <c r="G182" t="s">
        <v>23</v>
      </c>
    </row>
    <row r="183" spans="1:7" x14ac:dyDescent="0.25">
      <c r="A18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23</v>
      </c>
    </row>
    <row r="184" spans="1:7" x14ac:dyDescent="0.25">
      <c r="A18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84" t="s">
        <v>22</v>
      </c>
      <c r="C184" t="s">
        <v>22</v>
      </c>
      <c r="D184" t="s">
        <v>22</v>
      </c>
      <c r="E184" t="s">
        <v>22</v>
      </c>
      <c r="F184" t="s">
        <v>22</v>
      </c>
      <c r="G184" t="s">
        <v>23</v>
      </c>
    </row>
    <row r="185" spans="1:7" x14ac:dyDescent="0.25">
      <c r="A18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23</v>
      </c>
    </row>
    <row r="186" spans="1:7" x14ac:dyDescent="0.25">
      <c r="A18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23</v>
      </c>
    </row>
    <row r="187" spans="1:7" x14ac:dyDescent="0.25">
      <c r="A18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87" t="s">
        <v>22</v>
      </c>
      <c r="C187" t="s">
        <v>22</v>
      </c>
      <c r="D187" t="s">
        <v>22</v>
      </c>
      <c r="E187" t="s">
        <v>22</v>
      </c>
      <c r="F187" t="s">
        <v>22</v>
      </c>
      <c r="G187" t="s">
        <v>23</v>
      </c>
    </row>
    <row r="188" spans="1:7" x14ac:dyDescent="0.25">
      <c r="A18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88" t="s">
        <v>22</v>
      </c>
      <c r="C188" t="s">
        <v>22</v>
      </c>
      <c r="D188" t="s">
        <v>22</v>
      </c>
      <c r="E188" t="s">
        <v>22</v>
      </c>
      <c r="F188" t="s">
        <v>22</v>
      </c>
      <c r="G188" t="s">
        <v>23</v>
      </c>
    </row>
    <row r="189" spans="1:7" x14ac:dyDescent="0.25">
      <c r="A18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89" t="s">
        <v>22</v>
      </c>
      <c r="C189" t="s">
        <v>22</v>
      </c>
      <c r="D189" t="s">
        <v>22</v>
      </c>
      <c r="E189" t="s">
        <v>22</v>
      </c>
      <c r="F189" t="s">
        <v>22</v>
      </c>
      <c r="G189" t="s">
        <v>23</v>
      </c>
    </row>
    <row r="190" spans="1:7" x14ac:dyDescent="0.25">
      <c r="A19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90" t="s">
        <v>22</v>
      </c>
      <c r="C190" t="s">
        <v>22</v>
      </c>
      <c r="D190" t="s">
        <v>22</v>
      </c>
      <c r="E190" t="s">
        <v>22</v>
      </c>
      <c r="F190" t="s">
        <v>22</v>
      </c>
      <c r="G190" t="s">
        <v>23</v>
      </c>
    </row>
    <row r="191" spans="1:7" x14ac:dyDescent="0.25">
      <c r="A19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23</v>
      </c>
    </row>
    <row r="192" spans="1:7" x14ac:dyDescent="0.25">
      <c r="A192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92" t="s">
        <v>22</v>
      </c>
      <c r="C192" t="s">
        <v>22</v>
      </c>
      <c r="D192" t="s">
        <v>22</v>
      </c>
      <c r="E192" t="s">
        <v>22</v>
      </c>
      <c r="F192" t="s">
        <v>22</v>
      </c>
      <c r="G192" t="s">
        <v>23</v>
      </c>
    </row>
    <row r="193" spans="1:7" x14ac:dyDescent="0.25">
      <c r="A193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93" t="s">
        <v>22</v>
      </c>
      <c r="C193" t="s">
        <v>22</v>
      </c>
      <c r="D193" t="s">
        <v>22</v>
      </c>
      <c r="E193" t="s">
        <v>22</v>
      </c>
      <c r="F193" t="s">
        <v>22</v>
      </c>
      <c r="G193" t="s">
        <v>23</v>
      </c>
    </row>
    <row r="194" spans="1:7" x14ac:dyDescent="0.25">
      <c r="A194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94" t="s">
        <v>22</v>
      </c>
      <c r="C194" t="s">
        <v>22</v>
      </c>
      <c r="D194" t="s">
        <v>22</v>
      </c>
      <c r="E194" t="s">
        <v>22</v>
      </c>
      <c r="F194" t="s">
        <v>22</v>
      </c>
      <c r="G194" t="s">
        <v>23</v>
      </c>
    </row>
    <row r="195" spans="1:7" x14ac:dyDescent="0.25">
      <c r="A195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95" t="s">
        <v>22</v>
      </c>
      <c r="C195" t="s">
        <v>22</v>
      </c>
      <c r="D195" t="s">
        <v>22</v>
      </c>
      <c r="E195" t="s">
        <v>22</v>
      </c>
      <c r="F195" t="s">
        <v>22</v>
      </c>
      <c r="G195" t="s">
        <v>23</v>
      </c>
    </row>
    <row r="196" spans="1:7" x14ac:dyDescent="0.25">
      <c r="A196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96" t="s">
        <v>22</v>
      </c>
      <c r="C196" t="s">
        <v>22</v>
      </c>
      <c r="D196" t="s">
        <v>22</v>
      </c>
      <c r="E196" t="s">
        <v>22</v>
      </c>
      <c r="F196" t="s">
        <v>22</v>
      </c>
      <c r="G196" t="s">
        <v>23</v>
      </c>
    </row>
    <row r="197" spans="1:7" x14ac:dyDescent="0.25">
      <c r="A197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97" t="s">
        <v>22</v>
      </c>
      <c r="C197" t="s">
        <v>22</v>
      </c>
      <c r="D197" t="s">
        <v>22</v>
      </c>
      <c r="E197" t="s">
        <v>22</v>
      </c>
      <c r="F197" t="s">
        <v>22</v>
      </c>
      <c r="G197" t="s">
        <v>23</v>
      </c>
    </row>
    <row r="198" spans="1:7" x14ac:dyDescent="0.25">
      <c r="A198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98" t="s">
        <v>22</v>
      </c>
      <c r="C198" t="s">
        <v>22</v>
      </c>
      <c r="D198" t="s">
        <v>22</v>
      </c>
      <c r="E198" t="s">
        <v>22</v>
      </c>
      <c r="F198" t="s">
        <v>22</v>
      </c>
      <c r="G198" t="s">
        <v>23</v>
      </c>
    </row>
    <row r="199" spans="1:7" x14ac:dyDescent="0.25">
      <c r="A199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199" t="s">
        <v>22</v>
      </c>
      <c r="C199" t="s">
        <v>22</v>
      </c>
      <c r="D199" t="s">
        <v>22</v>
      </c>
      <c r="E199" t="s">
        <v>22</v>
      </c>
      <c r="F199" t="s">
        <v>22</v>
      </c>
      <c r="G199" t="s">
        <v>23</v>
      </c>
    </row>
    <row r="200" spans="1:7" x14ac:dyDescent="0.25">
      <c r="A200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200" t="s">
        <v>22</v>
      </c>
      <c r="C200" t="s">
        <v>22</v>
      </c>
      <c r="D200" t="s">
        <v>22</v>
      </c>
      <c r="E200" t="s">
        <v>22</v>
      </c>
      <c r="F200" t="s">
        <v>22</v>
      </c>
      <c r="G200" t="s">
        <v>23</v>
      </c>
    </row>
    <row r="201" spans="1:7" x14ac:dyDescent="0.25">
      <c r="A201">
        <f>LET(thisField,[@Field],starts,Config!tblBibRanges[FieldName],startCol,Config!tblBibRanges[BibStart],endCol,Config!tblBibRanges[BibEnd],bibStart,XLOOKUP(thisField,starts,startCol),bibEnd,XLOOKUP(thisField,starts,endCol),sameFieldBib,FILTER(tblReg[Bib],tblReg[Field]=thisField),nextBib,IF(COUNTA(sameFieldBib)=0,bibStart,MAX(sameFieldBib)+1),IF(nextBib&gt;bibEnd,"RANGE FULL",nextBib))</f>
      </c>
      <c r="B201" t="s">
        <v>22</v>
      </c>
      <c r="C201" t="s">
        <v>22</v>
      </c>
      <c r="D201" t="s">
        <v>22</v>
      </c>
      <c r="E201" t="s">
        <v>22</v>
      </c>
      <c r="F201" t="s">
        <v>22</v>
      </c>
      <c r="G201" t="s">
        <v>23</v>
      </c>
    </row>
  </sheetData>
  <dataValidations count="4">
    <dataValidation type="list" allowBlank="1" sqref="D10:D201">
      <formula1>=tblFields[FieldName]</formula1>
    </dataValidation>
    <dataValidation type="list" allowBlank="1" sqref="D2:D201">
      <formula1>=tblFields[FieldName]</formula1>
    </dataValidation>
    <dataValidation type="list" sqref="G10:G201">
      <formula1>"Active,DNS,DNF,DSQ"</formula1>
    </dataValidation>
    <dataValidation type="list" sqref="G2:G201">
      <formula1>"Active,DNS,DNF,DSQ"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8" customWidth="1"/>
    <col min="6" max="13" width="14" customWidth="1"/>
  </cols>
  <sheetData>
    <row r="1" spans="1:11" x14ac:dyDescent="0.25">
      <c r="A1" t="s">
        <v>15</v>
      </c>
      <c r="B1" t="s">
        <v>18</v>
      </c>
      <c r="C1" t="s">
        <v>16</v>
      </c>
      <c r="D1" t="s">
        <v>17</v>
      </c>
      <c r="E1" t="s">
        <v>19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22</v>
      </c>
      <c r="B2">
        <f>IF([@Bib]="","",XLOOKUP([@Bib],tblReg[Bib],tblReg[Field],""))</f>
      </c>
      <c r="C2">
        <f>IF([@Bib]="","",XLOOKUP([@Bib],tblReg[Bib],tblReg[FirstName],""))</f>
      </c>
      <c r="D2">
        <f>IF([@Bib]="","",XLOOKUP([@Bib],tblReg[Bib],tblReg[LastName],""))</f>
      </c>
      <c r="E2">
        <f>IF([@Bib]="","",XLOOKUP([@Bib],tblReg[Bib],tblReg[Team],""))</f>
      </c>
      <c r="F2" s="3" t="s">
        <v>22</v>
      </c>
      <c r="G2">
        <f>IF([@StageTime]="","",HOUR([@StageTime])*3600 + MINUTE([@StageTime])*60 + SECOND([@StageTime]))</f>
      </c>
      <c r="H2">
        <f>IF([@StageSeconds]="","",RANK([@StageSeconds],tblStage1[StageSeconds],1))</f>
      </c>
      <c r="I2">
        <f>IF([@Position]="",0,XLOOKUP([@Position],Config!tblBonus[Place],Config!tblBonus[Stage1BonusSec],0))</f>
      </c>
      <c r="J2">
        <f>IF([@StageSeconds]="","",[@StageSeconds]-[@BonusSeconds])</f>
      </c>
      <c r="K2" s="3">
        <f>IF([@NetSeconds]="","",[@NetSeconds]/86400)</f>
      </c>
    </row>
    <row r="3" spans="1:11" x14ac:dyDescent="0.25">
      <c r="A3" t="s">
        <v>22</v>
      </c>
      <c r="B3">
        <f>IF([@Bib]="","",XLOOKUP([@Bib],tblReg[Bib],tblReg[Field],""))</f>
      </c>
      <c r="C3">
        <f>IF([@Bib]="","",XLOOKUP([@Bib],tblReg[Bib],tblReg[FirstName],""))</f>
      </c>
      <c r="D3">
        <f>IF([@Bib]="","",XLOOKUP([@Bib],tblReg[Bib],tblReg[LastName],""))</f>
      </c>
      <c r="E3">
        <f>IF([@Bib]="","",XLOOKUP([@Bib],tblReg[Bib],tblReg[Team],""))</f>
      </c>
      <c r="F3" s="3" t="s">
        <v>22</v>
      </c>
      <c r="G3">
        <f>IF([@StageTime]="","",HOUR([@StageTime])*3600 + MINUTE([@StageTime])*60 + SECOND([@StageTime]))</f>
      </c>
      <c r="H3">
        <f>IF([@StageSeconds]="","",RANK([@StageSeconds],tblStage1[StageSeconds],1))</f>
      </c>
      <c r="I3">
        <f>IF([@Position]="",0,XLOOKUP([@Position],Config!tblBonus[Place],Config!tblBonus[Stage1BonusSec],0))</f>
      </c>
      <c r="J3">
        <f>IF([@StageSeconds]="","",[@StageSeconds]-[@BonusSeconds])</f>
      </c>
      <c r="K3" s="3">
        <f>IF([@NetSeconds]="","",[@NetSeconds]/86400)</f>
      </c>
    </row>
    <row r="4" spans="1:11" x14ac:dyDescent="0.25">
      <c r="A4" t="s">
        <v>22</v>
      </c>
      <c r="B4">
        <f>IF([@Bib]="","",XLOOKUP([@Bib],tblReg[Bib],tblReg[Field],""))</f>
      </c>
      <c r="C4">
        <f>IF([@Bib]="","",XLOOKUP([@Bib],tblReg[Bib],tblReg[FirstName],""))</f>
      </c>
      <c r="D4">
        <f>IF([@Bib]="","",XLOOKUP([@Bib],tblReg[Bib],tblReg[LastName],""))</f>
      </c>
      <c r="E4">
        <f>IF([@Bib]="","",XLOOKUP([@Bib],tblReg[Bib],tblReg[Team],""))</f>
      </c>
      <c r="F4" s="3" t="s">
        <v>22</v>
      </c>
      <c r="G4">
        <f>IF([@StageTime]="","",HOUR([@StageTime])*3600 + MINUTE([@StageTime])*60 + SECOND([@StageTime]))</f>
      </c>
      <c r="H4">
        <f>IF([@StageSeconds]="","",RANK([@StageSeconds],tblStage1[StageSeconds],1))</f>
      </c>
      <c r="I4">
        <f>IF([@Position]="",0,XLOOKUP([@Position],Config!tblBonus[Place],Config!tblBonus[Stage1BonusSec],0))</f>
      </c>
      <c r="J4">
        <f>IF([@StageSeconds]="","",[@StageSeconds]-[@BonusSeconds])</f>
      </c>
      <c r="K4" s="3">
        <f>IF([@NetSeconds]="","",[@NetSeconds]/86400)</f>
      </c>
    </row>
    <row r="5" spans="1:11" x14ac:dyDescent="0.25">
      <c r="A5" t="s">
        <v>22</v>
      </c>
      <c r="B5">
        <f>IF([@Bib]="","",XLOOKUP([@Bib],tblReg[Bib],tblReg[Field],""))</f>
      </c>
      <c r="C5">
        <f>IF([@Bib]="","",XLOOKUP([@Bib],tblReg[Bib],tblReg[FirstName],""))</f>
      </c>
      <c r="D5">
        <f>IF([@Bib]="","",XLOOKUP([@Bib],tblReg[Bib],tblReg[LastName],""))</f>
      </c>
      <c r="E5">
        <f>IF([@Bib]="","",XLOOKUP([@Bib],tblReg[Bib],tblReg[Team],""))</f>
      </c>
      <c r="F5" s="3" t="s">
        <v>22</v>
      </c>
      <c r="G5">
        <f>IF([@StageTime]="","",HOUR([@StageTime])*3600 + MINUTE([@StageTime])*60 + SECOND([@StageTime]))</f>
      </c>
      <c r="H5">
        <f>IF([@StageSeconds]="","",RANK([@StageSeconds],tblStage1[StageSeconds],1))</f>
      </c>
      <c r="I5">
        <f>IF([@Position]="",0,XLOOKUP([@Position],Config!tblBonus[Place],Config!tblBonus[Stage1BonusSec],0))</f>
      </c>
      <c r="J5">
        <f>IF([@StageSeconds]="","",[@StageSeconds]-[@BonusSeconds])</f>
      </c>
      <c r="K5" s="3">
        <f>IF([@NetSeconds]="","",[@NetSeconds]/86400)</f>
      </c>
    </row>
    <row r="6" spans="1:11" x14ac:dyDescent="0.25">
      <c r="A6" t="s">
        <v>22</v>
      </c>
      <c r="B6">
        <f>IF([@Bib]="","",XLOOKUP([@Bib],tblReg[Bib],tblReg[Field],""))</f>
      </c>
      <c r="C6">
        <f>IF([@Bib]="","",XLOOKUP([@Bib],tblReg[Bib],tblReg[FirstName],""))</f>
      </c>
      <c r="D6">
        <f>IF([@Bib]="","",XLOOKUP([@Bib],tblReg[Bib],tblReg[LastName],""))</f>
      </c>
      <c r="E6">
        <f>IF([@Bib]="","",XLOOKUP([@Bib],tblReg[Bib],tblReg[Team],""))</f>
      </c>
      <c r="F6" s="3" t="s">
        <v>22</v>
      </c>
      <c r="G6">
        <f>IF([@StageTime]="","",HOUR([@StageTime])*3600 + MINUTE([@StageTime])*60 + SECOND([@StageTime]))</f>
      </c>
      <c r="H6">
        <f>IF([@StageSeconds]="","",RANK([@StageSeconds],tblStage1[StageSeconds],1))</f>
      </c>
      <c r="I6">
        <f>IF([@Position]="",0,XLOOKUP([@Position],Config!tblBonus[Place],Config!tblBonus[Stage1BonusSec],0))</f>
      </c>
      <c r="J6">
        <f>IF([@StageSeconds]="","",[@StageSeconds]-[@BonusSeconds])</f>
      </c>
      <c r="K6" s="3">
        <f>IF([@NetSeconds]="","",[@NetSeconds]/86400)</f>
      </c>
    </row>
    <row r="7" spans="1:11" x14ac:dyDescent="0.25">
      <c r="A7" t="s">
        <v>22</v>
      </c>
      <c r="B7">
        <f>IF([@Bib]="","",XLOOKUP([@Bib],tblReg[Bib],tblReg[Field],""))</f>
      </c>
      <c r="C7">
        <f>IF([@Bib]="","",XLOOKUP([@Bib],tblReg[Bib],tblReg[FirstName],""))</f>
      </c>
      <c r="D7">
        <f>IF([@Bib]="","",XLOOKUP([@Bib],tblReg[Bib],tblReg[LastName],""))</f>
      </c>
      <c r="E7">
        <f>IF([@Bib]="","",XLOOKUP([@Bib],tblReg[Bib],tblReg[Team],""))</f>
      </c>
      <c r="F7" s="3" t="s">
        <v>22</v>
      </c>
      <c r="G7">
        <f>IF([@StageTime]="","",HOUR([@StageTime])*3600 + MINUTE([@StageTime])*60 + SECOND([@StageTime]))</f>
      </c>
      <c r="H7">
        <f>IF([@StageSeconds]="","",RANK([@StageSeconds],tblStage1[StageSeconds],1))</f>
      </c>
      <c r="I7">
        <f>IF([@Position]="",0,XLOOKUP([@Position],Config!tblBonus[Place],Config!tblBonus[Stage1BonusSec],0))</f>
      </c>
      <c r="J7">
        <f>IF([@StageSeconds]="","",[@StageSeconds]-[@BonusSeconds])</f>
      </c>
      <c r="K7" s="3">
        <f>IF([@NetSeconds]="","",[@NetSeconds]/86400)</f>
      </c>
    </row>
    <row r="8" spans="1:11" x14ac:dyDescent="0.25">
      <c r="A8" t="s">
        <v>22</v>
      </c>
      <c r="B8">
        <f>IF([@Bib]="","",XLOOKUP([@Bib],tblReg[Bib],tblReg[Field],""))</f>
      </c>
      <c r="C8">
        <f>IF([@Bib]="","",XLOOKUP([@Bib],tblReg[Bib],tblReg[FirstName],""))</f>
      </c>
      <c r="D8">
        <f>IF([@Bib]="","",XLOOKUP([@Bib],tblReg[Bib],tblReg[LastName],""))</f>
      </c>
      <c r="E8">
        <f>IF([@Bib]="","",XLOOKUP([@Bib],tblReg[Bib],tblReg[Team],""))</f>
      </c>
      <c r="F8" s="3" t="s">
        <v>22</v>
      </c>
      <c r="G8">
        <f>IF([@StageTime]="","",HOUR([@StageTime])*3600 + MINUTE([@StageTime])*60 + SECOND([@StageTime]))</f>
      </c>
      <c r="H8">
        <f>IF([@StageSeconds]="","",RANK([@StageSeconds],tblStage1[StageSeconds],1))</f>
      </c>
      <c r="I8">
        <f>IF([@Position]="",0,XLOOKUP([@Position],Config!tblBonus[Place],Config!tblBonus[Stage1BonusSec],0))</f>
      </c>
      <c r="J8">
        <f>IF([@StageSeconds]="","",[@StageSeconds]-[@BonusSeconds])</f>
      </c>
      <c r="K8" s="3">
        <f>IF([@NetSeconds]="","",[@NetSeconds]/86400)</f>
      </c>
    </row>
    <row r="9" spans="1:11" x14ac:dyDescent="0.25">
      <c r="A9" t="s">
        <v>22</v>
      </c>
      <c r="B9">
        <f>IF([@Bib]="","",XLOOKUP([@Bib],tblReg[Bib],tblReg[Field],""))</f>
      </c>
      <c r="C9">
        <f>IF([@Bib]="","",XLOOKUP([@Bib],tblReg[Bib],tblReg[FirstName],""))</f>
      </c>
      <c r="D9">
        <f>IF([@Bib]="","",XLOOKUP([@Bib],tblReg[Bib],tblReg[LastName],""))</f>
      </c>
      <c r="E9">
        <f>IF([@Bib]="","",XLOOKUP([@Bib],tblReg[Bib],tblReg[Team],""))</f>
      </c>
      <c r="F9" s="3" t="s">
        <v>22</v>
      </c>
      <c r="G9">
        <f>IF([@StageTime]="","",HOUR([@StageTime])*3600 + MINUTE([@StageTime])*60 + SECOND([@StageTime]))</f>
      </c>
      <c r="H9">
        <f>IF([@StageSeconds]="","",RANK([@StageSeconds],tblStage1[StageSeconds],1))</f>
      </c>
      <c r="I9">
        <f>IF([@Position]="",0,XLOOKUP([@Position],Config!tblBonus[Place],Config!tblBonus[Stage1BonusSec],0))</f>
      </c>
      <c r="J9">
        <f>IF([@StageSeconds]="","",[@StageSeconds]-[@BonusSeconds])</f>
      </c>
      <c r="K9" s="3">
        <f>IF([@NetSeconds]="","",[@NetSeconds]/86400)</f>
      </c>
    </row>
    <row r="10" spans="1:11" x14ac:dyDescent="0.25">
      <c r="A10" t="s">
        <v>22</v>
      </c>
      <c r="B10">
        <f>IF([@Bib]="","",XLOOKUP([@Bib],tblReg[Bib],tblReg[Field],""))</f>
      </c>
      <c r="C10">
        <f>IF([@Bib]="","",XLOOKUP([@Bib],tblReg[Bib],tblReg[FirstName],""))</f>
      </c>
      <c r="D10">
        <f>IF([@Bib]="","",XLOOKUP([@Bib],tblReg[Bib],tblReg[LastName],""))</f>
      </c>
      <c r="E10">
        <f>IF([@Bib]="","",XLOOKUP([@Bib],tblReg[Bib],tblReg[Team],""))</f>
      </c>
      <c r="F10" s="3" t="s">
        <v>22</v>
      </c>
      <c r="G10">
        <f>IF([@StageTime]="","",HOUR([@StageTime])*3600 + MINUTE([@StageTime])*60 + SECOND([@StageTime]))</f>
      </c>
      <c r="H10">
        <f>IF([@StageSeconds]="","",RANK([@StageSeconds],tblStage1[StageSeconds],1))</f>
      </c>
      <c r="I10">
        <f>IF([@Position]="",0,XLOOKUP([@Position],Config!tblBonus[Place],Config!tblBonus[Stage1BonusSec],0))</f>
      </c>
      <c r="J10">
        <f>IF([@StageSeconds]="","",[@StageSeconds]-[@BonusSeconds])</f>
      </c>
      <c r="K10" s="3">
        <f>IF([@NetSeconds]="","",[@NetSeconds]/86400)</f>
      </c>
    </row>
    <row r="11" spans="1:11" x14ac:dyDescent="0.25">
      <c r="A11" t="s">
        <v>22</v>
      </c>
      <c r="B11">
        <f>IF([@Bib]="","",XLOOKUP([@Bib],tblReg[Bib],tblReg[Field],""))</f>
      </c>
      <c r="C11">
        <f>IF([@Bib]="","",XLOOKUP([@Bib],tblReg[Bib],tblReg[FirstName],""))</f>
      </c>
      <c r="D11">
        <f>IF([@Bib]="","",XLOOKUP([@Bib],tblReg[Bib],tblReg[LastName],""))</f>
      </c>
      <c r="E11">
        <f>IF([@Bib]="","",XLOOKUP([@Bib],tblReg[Bib],tblReg[Team],""))</f>
      </c>
      <c r="F11" s="3" t="s">
        <v>22</v>
      </c>
      <c r="G11">
        <f>IF([@StageTime]="","",HOUR([@StageTime])*3600 + MINUTE([@StageTime])*60 + SECOND([@StageTime]))</f>
      </c>
      <c r="H11">
        <f>IF([@StageSeconds]="","",RANK([@StageSeconds],tblStage1[StageSeconds],1))</f>
      </c>
      <c r="I11">
        <f>IF([@Position]="",0,XLOOKUP([@Position],Config!tblBonus[Place],Config!tblBonus[Stage1BonusSec],0))</f>
      </c>
      <c r="J11">
        <f>IF([@StageSeconds]="","",[@StageSeconds]-[@BonusSeconds])</f>
      </c>
      <c r="K11" s="3">
        <f>IF([@NetSeconds]="","",[@NetSeconds]/86400)</f>
      </c>
    </row>
    <row r="12" spans="1:11" x14ac:dyDescent="0.25">
      <c r="A12" t="s">
        <v>22</v>
      </c>
      <c r="B12">
        <f>IF([@Bib]="","",XLOOKUP([@Bib],tblReg[Bib],tblReg[Field],""))</f>
      </c>
      <c r="C12">
        <f>IF([@Bib]="","",XLOOKUP([@Bib],tblReg[Bib],tblReg[FirstName],""))</f>
      </c>
      <c r="D12">
        <f>IF([@Bib]="","",XLOOKUP([@Bib],tblReg[Bib],tblReg[LastName],""))</f>
      </c>
      <c r="E12">
        <f>IF([@Bib]="","",XLOOKUP([@Bib],tblReg[Bib],tblReg[Team],""))</f>
      </c>
      <c r="F12" s="3" t="s">
        <v>22</v>
      </c>
      <c r="G12">
        <f>IF([@StageTime]="","",HOUR([@StageTime])*3600 + MINUTE([@StageTime])*60 + SECOND([@StageTime]))</f>
      </c>
      <c r="H12">
        <f>IF([@StageSeconds]="","",RANK([@StageSeconds],tblStage1[StageSeconds],1))</f>
      </c>
      <c r="I12">
        <f>IF([@Position]="",0,XLOOKUP([@Position],Config!tblBonus[Place],Config!tblBonus[Stage1BonusSec],0))</f>
      </c>
      <c r="J12">
        <f>IF([@StageSeconds]="","",[@StageSeconds]-[@BonusSeconds])</f>
      </c>
      <c r="K12" s="3">
        <f>IF([@NetSeconds]="","",[@NetSeconds]/86400)</f>
      </c>
    </row>
    <row r="13" spans="1:11" x14ac:dyDescent="0.25">
      <c r="A13" t="s">
        <v>22</v>
      </c>
      <c r="B13">
        <f>IF([@Bib]="","",XLOOKUP([@Bib],tblReg[Bib],tblReg[Field],""))</f>
      </c>
      <c r="C13">
        <f>IF([@Bib]="","",XLOOKUP([@Bib],tblReg[Bib],tblReg[FirstName],""))</f>
      </c>
      <c r="D13">
        <f>IF([@Bib]="","",XLOOKUP([@Bib],tblReg[Bib],tblReg[LastName],""))</f>
      </c>
      <c r="E13">
        <f>IF([@Bib]="","",XLOOKUP([@Bib],tblReg[Bib],tblReg[Team],""))</f>
      </c>
      <c r="F13" s="3" t="s">
        <v>22</v>
      </c>
      <c r="G13">
        <f>IF([@StageTime]="","",HOUR([@StageTime])*3600 + MINUTE([@StageTime])*60 + SECOND([@StageTime]))</f>
      </c>
      <c r="H13">
        <f>IF([@StageSeconds]="","",RANK([@StageSeconds],tblStage1[StageSeconds],1))</f>
      </c>
      <c r="I13">
        <f>IF([@Position]="",0,XLOOKUP([@Position],Config!tblBonus[Place],Config!tblBonus[Stage1BonusSec],0))</f>
      </c>
      <c r="J13">
        <f>IF([@StageSeconds]="","",[@StageSeconds]-[@BonusSeconds])</f>
      </c>
      <c r="K13" s="3">
        <f>IF([@NetSeconds]="","",[@NetSeconds]/86400)</f>
      </c>
    </row>
    <row r="14" spans="1:11" x14ac:dyDescent="0.25">
      <c r="A14" t="s">
        <v>22</v>
      </c>
      <c r="B14">
        <f>IF([@Bib]="","",XLOOKUP([@Bib],tblReg[Bib],tblReg[Field],""))</f>
      </c>
      <c r="C14">
        <f>IF([@Bib]="","",XLOOKUP([@Bib],tblReg[Bib],tblReg[FirstName],""))</f>
      </c>
      <c r="D14">
        <f>IF([@Bib]="","",XLOOKUP([@Bib],tblReg[Bib],tblReg[LastName],""))</f>
      </c>
      <c r="E14">
        <f>IF([@Bib]="","",XLOOKUP([@Bib],tblReg[Bib],tblReg[Team],""))</f>
      </c>
      <c r="F14" s="3" t="s">
        <v>22</v>
      </c>
      <c r="G14">
        <f>IF([@StageTime]="","",HOUR([@StageTime])*3600 + MINUTE([@StageTime])*60 + SECOND([@StageTime]))</f>
      </c>
      <c r="H14">
        <f>IF([@StageSeconds]="","",RANK([@StageSeconds],tblStage1[StageSeconds],1))</f>
      </c>
      <c r="I14">
        <f>IF([@Position]="",0,XLOOKUP([@Position],Config!tblBonus[Place],Config!tblBonus[Stage1BonusSec],0))</f>
      </c>
      <c r="J14">
        <f>IF([@StageSeconds]="","",[@StageSeconds]-[@BonusSeconds])</f>
      </c>
      <c r="K14" s="3">
        <f>IF([@NetSeconds]="","",[@NetSeconds]/86400)</f>
      </c>
    </row>
    <row r="15" spans="1:11" x14ac:dyDescent="0.25">
      <c r="A15" t="s">
        <v>22</v>
      </c>
      <c r="B15">
        <f>IF([@Bib]="","",XLOOKUP([@Bib],tblReg[Bib],tblReg[Field],""))</f>
      </c>
      <c r="C15">
        <f>IF([@Bib]="","",XLOOKUP([@Bib],tblReg[Bib],tblReg[FirstName],""))</f>
      </c>
      <c r="D15">
        <f>IF([@Bib]="","",XLOOKUP([@Bib],tblReg[Bib],tblReg[LastName],""))</f>
      </c>
      <c r="E15">
        <f>IF([@Bib]="","",XLOOKUP([@Bib],tblReg[Bib],tblReg[Team],""))</f>
      </c>
      <c r="F15" s="3" t="s">
        <v>22</v>
      </c>
      <c r="G15">
        <f>IF([@StageTime]="","",HOUR([@StageTime])*3600 + MINUTE([@StageTime])*60 + SECOND([@StageTime]))</f>
      </c>
      <c r="H15">
        <f>IF([@StageSeconds]="","",RANK([@StageSeconds],tblStage1[StageSeconds],1))</f>
      </c>
      <c r="I15">
        <f>IF([@Position]="",0,XLOOKUP([@Position],Config!tblBonus[Place],Config!tblBonus[Stage1BonusSec],0))</f>
      </c>
      <c r="J15">
        <f>IF([@StageSeconds]="","",[@StageSeconds]-[@BonusSeconds])</f>
      </c>
      <c r="K15" s="3">
        <f>IF([@NetSeconds]="","",[@NetSeconds]/86400)</f>
      </c>
    </row>
    <row r="16" spans="1:11" x14ac:dyDescent="0.25">
      <c r="A16" t="s">
        <v>22</v>
      </c>
      <c r="B16">
        <f>IF([@Bib]="","",XLOOKUP([@Bib],tblReg[Bib],tblReg[Field],""))</f>
      </c>
      <c r="C16">
        <f>IF([@Bib]="","",XLOOKUP([@Bib],tblReg[Bib],tblReg[FirstName],""))</f>
      </c>
      <c r="D16">
        <f>IF([@Bib]="","",XLOOKUP([@Bib],tblReg[Bib],tblReg[LastName],""))</f>
      </c>
      <c r="E16">
        <f>IF([@Bib]="","",XLOOKUP([@Bib],tblReg[Bib],tblReg[Team],""))</f>
      </c>
      <c r="F16" s="3" t="s">
        <v>22</v>
      </c>
      <c r="G16">
        <f>IF([@StageTime]="","",HOUR([@StageTime])*3600 + MINUTE([@StageTime])*60 + SECOND([@StageTime]))</f>
      </c>
      <c r="H16">
        <f>IF([@StageSeconds]="","",RANK([@StageSeconds],tblStage1[StageSeconds],1))</f>
      </c>
      <c r="I16">
        <f>IF([@Position]="",0,XLOOKUP([@Position],Config!tblBonus[Place],Config!tblBonus[Stage1BonusSec],0))</f>
      </c>
      <c r="J16">
        <f>IF([@StageSeconds]="","",[@StageSeconds]-[@BonusSeconds])</f>
      </c>
      <c r="K16" s="3">
        <f>IF([@NetSeconds]="","",[@NetSeconds]/86400)</f>
      </c>
    </row>
    <row r="17" spans="1:11" x14ac:dyDescent="0.25">
      <c r="A17" t="s">
        <v>22</v>
      </c>
      <c r="B17">
        <f>IF([@Bib]="","",XLOOKUP([@Bib],tblReg[Bib],tblReg[Field],""))</f>
      </c>
      <c r="C17">
        <f>IF([@Bib]="","",XLOOKUP([@Bib],tblReg[Bib],tblReg[FirstName],""))</f>
      </c>
      <c r="D17">
        <f>IF([@Bib]="","",XLOOKUP([@Bib],tblReg[Bib],tblReg[LastName],""))</f>
      </c>
      <c r="E17">
        <f>IF([@Bib]="","",XLOOKUP([@Bib],tblReg[Bib],tblReg[Team],""))</f>
      </c>
      <c r="F17" s="3" t="s">
        <v>22</v>
      </c>
      <c r="G17">
        <f>IF([@StageTime]="","",HOUR([@StageTime])*3600 + MINUTE([@StageTime])*60 + SECOND([@StageTime]))</f>
      </c>
      <c r="H17">
        <f>IF([@StageSeconds]="","",RANK([@StageSeconds],tblStage1[StageSeconds],1))</f>
      </c>
      <c r="I17">
        <f>IF([@Position]="",0,XLOOKUP([@Position],Config!tblBonus[Place],Config!tblBonus[Stage1BonusSec],0))</f>
      </c>
      <c r="J17">
        <f>IF([@StageSeconds]="","",[@StageSeconds]-[@BonusSeconds])</f>
      </c>
      <c r="K17" s="3">
        <f>IF([@NetSeconds]="","",[@NetSeconds]/86400)</f>
      </c>
    </row>
    <row r="18" spans="1:11" x14ac:dyDescent="0.25">
      <c r="A18" t="s">
        <v>22</v>
      </c>
      <c r="B18">
        <f>IF([@Bib]="","",XLOOKUP([@Bib],tblReg[Bib],tblReg[Field],""))</f>
      </c>
      <c r="C18">
        <f>IF([@Bib]="","",XLOOKUP([@Bib],tblReg[Bib],tblReg[FirstName],""))</f>
      </c>
      <c r="D18">
        <f>IF([@Bib]="","",XLOOKUP([@Bib],tblReg[Bib],tblReg[LastName],""))</f>
      </c>
      <c r="E18">
        <f>IF([@Bib]="","",XLOOKUP([@Bib],tblReg[Bib],tblReg[Team],""))</f>
      </c>
      <c r="F18" s="3" t="s">
        <v>22</v>
      </c>
      <c r="G18">
        <f>IF([@StageTime]="","",HOUR([@StageTime])*3600 + MINUTE([@StageTime])*60 + SECOND([@StageTime]))</f>
      </c>
      <c r="H18">
        <f>IF([@StageSeconds]="","",RANK([@StageSeconds],tblStage1[StageSeconds],1))</f>
      </c>
      <c r="I18">
        <f>IF([@Position]="",0,XLOOKUP([@Position],Config!tblBonus[Place],Config!tblBonus[Stage1BonusSec],0))</f>
      </c>
      <c r="J18">
        <f>IF([@StageSeconds]="","",[@StageSeconds]-[@BonusSeconds])</f>
      </c>
      <c r="K18" s="3">
        <f>IF([@NetSeconds]="","",[@NetSeconds]/86400)</f>
      </c>
    </row>
    <row r="19" spans="1:11" x14ac:dyDescent="0.25">
      <c r="A19" t="s">
        <v>22</v>
      </c>
      <c r="B19">
        <f>IF([@Bib]="","",XLOOKUP([@Bib],tblReg[Bib],tblReg[Field],""))</f>
      </c>
      <c r="C19">
        <f>IF([@Bib]="","",XLOOKUP([@Bib],tblReg[Bib],tblReg[FirstName],""))</f>
      </c>
      <c r="D19">
        <f>IF([@Bib]="","",XLOOKUP([@Bib],tblReg[Bib],tblReg[LastName],""))</f>
      </c>
      <c r="E19">
        <f>IF([@Bib]="","",XLOOKUP([@Bib],tblReg[Bib],tblReg[Team],""))</f>
      </c>
      <c r="F19" s="3" t="s">
        <v>22</v>
      </c>
      <c r="G19">
        <f>IF([@StageTime]="","",HOUR([@StageTime])*3600 + MINUTE([@StageTime])*60 + SECOND([@StageTime]))</f>
      </c>
      <c r="H19">
        <f>IF([@StageSeconds]="","",RANK([@StageSeconds],tblStage1[StageSeconds],1))</f>
      </c>
      <c r="I19">
        <f>IF([@Position]="",0,XLOOKUP([@Position],Config!tblBonus[Place],Config!tblBonus[Stage1BonusSec],0))</f>
      </c>
      <c r="J19">
        <f>IF([@StageSeconds]="","",[@StageSeconds]-[@BonusSeconds])</f>
      </c>
      <c r="K19" s="3">
        <f>IF([@NetSeconds]="","",[@NetSeconds]/86400)</f>
      </c>
    </row>
    <row r="20" spans="1:11" x14ac:dyDescent="0.25">
      <c r="A20" t="s">
        <v>22</v>
      </c>
      <c r="B20">
        <f>IF([@Bib]="","",XLOOKUP([@Bib],tblReg[Bib],tblReg[Field],""))</f>
      </c>
      <c r="C20">
        <f>IF([@Bib]="","",XLOOKUP([@Bib],tblReg[Bib],tblReg[FirstName],""))</f>
      </c>
      <c r="D20">
        <f>IF([@Bib]="","",XLOOKUP([@Bib],tblReg[Bib],tblReg[LastName],""))</f>
      </c>
      <c r="E20">
        <f>IF([@Bib]="","",XLOOKUP([@Bib],tblReg[Bib],tblReg[Team],""))</f>
      </c>
      <c r="F20" s="3" t="s">
        <v>22</v>
      </c>
      <c r="G20">
        <f>IF([@StageTime]="","",HOUR([@StageTime])*3600 + MINUTE([@StageTime])*60 + SECOND([@StageTime]))</f>
      </c>
      <c r="H20">
        <f>IF([@StageSeconds]="","",RANK([@StageSeconds],tblStage1[StageSeconds],1))</f>
      </c>
      <c r="I20">
        <f>IF([@Position]="",0,XLOOKUP([@Position],Config!tblBonus[Place],Config!tblBonus[Stage1BonusSec],0))</f>
      </c>
      <c r="J20">
        <f>IF([@StageSeconds]="","",[@StageSeconds]-[@BonusSeconds])</f>
      </c>
      <c r="K20" s="3">
        <f>IF([@NetSeconds]="","",[@NetSeconds]/86400)</f>
      </c>
    </row>
    <row r="21" spans="1:11" x14ac:dyDescent="0.25">
      <c r="A21" t="s">
        <v>22</v>
      </c>
      <c r="B21">
        <f>IF([@Bib]="","",XLOOKUP([@Bib],tblReg[Bib],tblReg[Field],""))</f>
      </c>
      <c r="C21">
        <f>IF([@Bib]="","",XLOOKUP([@Bib],tblReg[Bib],tblReg[FirstName],""))</f>
      </c>
      <c r="D21">
        <f>IF([@Bib]="","",XLOOKUP([@Bib],tblReg[Bib],tblReg[LastName],""))</f>
      </c>
      <c r="E21">
        <f>IF([@Bib]="","",XLOOKUP([@Bib],tblReg[Bib],tblReg[Team],""))</f>
      </c>
      <c r="F21" s="3" t="s">
        <v>22</v>
      </c>
      <c r="G21">
        <f>IF([@StageTime]="","",HOUR([@StageTime])*3600 + MINUTE([@StageTime])*60 + SECOND([@StageTime]))</f>
      </c>
      <c r="H21">
        <f>IF([@StageSeconds]="","",RANK([@StageSeconds],tblStage1[StageSeconds],1))</f>
      </c>
      <c r="I21">
        <f>IF([@Position]="",0,XLOOKUP([@Position],Config!tblBonus[Place],Config!tblBonus[Stage1BonusSec],0))</f>
      </c>
      <c r="J21">
        <f>IF([@StageSeconds]="","",[@StageSeconds]-[@BonusSeconds])</f>
      </c>
      <c r="K21" s="3">
        <f>IF([@NetSeconds]="","",[@NetSeconds]/86400)</f>
      </c>
    </row>
    <row r="22" spans="1:11" x14ac:dyDescent="0.25">
      <c r="A22" t="s">
        <v>22</v>
      </c>
      <c r="B22">
        <f>IF([@Bib]="","",XLOOKUP([@Bib],tblReg[Bib],tblReg[Field],""))</f>
      </c>
      <c r="C22">
        <f>IF([@Bib]="","",XLOOKUP([@Bib],tblReg[Bib],tblReg[FirstName],""))</f>
      </c>
      <c r="D22">
        <f>IF([@Bib]="","",XLOOKUP([@Bib],tblReg[Bib],tblReg[LastName],""))</f>
      </c>
      <c r="E22">
        <f>IF([@Bib]="","",XLOOKUP([@Bib],tblReg[Bib],tblReg[Team],""))</f>
      </c>
      <c r="F22" s="3" t="s">
        <v>22</v>
      </c>
      <c r="G22">
        <f>IF([@StageTime]="","",HOUR([@StageTime])*3600 + MINUTE([@StageTime])*60 + SECOND([@StageTime]))</f>
      </c>
      <c r="H22">
        <f>IF([@StageSeconds]="","",RANK([@StageSeconds],tblStage1[StageSeconds],1))</f>
      </c>
      <c r="I22">
        <f>IF([@Position]="",0,XLOOKUP([@Position],Config!tblBonus[Place],Config!tblBonus[Stage1BonusSec],0))</f>
      </c>
      <c r="J22">
        <f>IF([@StageSeconds]="","",[@StageSeconds]-[@BonusSeconds])</f>
      </c>
      <c r="K22" s="3">
        <f>IF([@NetSeconds]="","",[@NetSeconds]/86400)</f>
      </c>
    </row>
    <row r="23" spans="1:11" x14ac:dyDescent="0.25">
      <c r="A23" t="s">
        <v>22</v>
      </c>
      <c r="B23">
        <f>IF([@Bib]="","",XLOOKUP([@Bib],tblReg[Bib],tblReg[Field],""))</f>
      </c>
      <c r="C23">
        <f>IF([@Bib]="","",XLOOKUP([@Bib],tblReg[Bib],tblReg[FirstName],""))</f>
      </c>
      <c r="D23">
        <f>IF([@Bib]="","",XLOOKUP([@Bib],tblReg[Bib],tblReg[LastName],""))</f>
      </c>
      <c r="E23">
        <f>IF([@Bib]="","",XLOOKUP([@Bib],tblReg[Bib],tblReg[Team],""))</f>
      </c>
      <c r="F23" s="3" t="s">
        <v>22</v>
      </c>
      <c r="G23">
        <f>IF([@StageTime]="","",HOUR([@StageTime])*3600 + MINUTE([@StageTime])*60 + SECOND([@StageTime]))</f>
      </c>
      <c r="H23">
        <f>IF([@StageSeconds]="","",RANK([@StageSeconds],tblStage1[StageSeconds],1))</f>
      </c>
      <c r="I23">
        <f>IF([@Position]="",0,XLOOKUP([@Position],Config!tblBonus[Place],Config!tblBonus[Stage1BonusSec],0))</f>
      </c>
      <c r="J23">
        <f>IF([@StageSeconds]="","",[@StageSeconds]-[@BonusSeconds])</f>
      </c>
      <c r="K23" s="3">
        <f>IF([@NetSeconds]="","",[@NetSeconds]/86400)</f>
      </c>
    </row>
    <row r="24" spans="1:11" x14ac:dyDescent="0.25">
      <c r="A24" t="s">
        <v>22</v>
      </c>
      <c r="B24">
        <f>IF([@Bib]="","",XLOOKUP([@Bib],tblReg[Bib],tblReg[Field],""))</f>
      </c>
      <c r="C24">
        <f>IF([@Bib]="","",XLOOKUP([@Bib],tblReg[Bib],tblReg[FirstName],""))</f>
      </c>
      <c r="D24">
        <f>IF([@Bib]="","",XLOOKUP([@Bib],tblReg[Bib],tblReg[LastName],""))</f>
      </c>
      <c r="E24">
        <f>IF([@Bib]="","",XLOOKUP([@Bib],tblReg[Bib],tblReg[Team],""))</f>
      </c>
      <c r="F24" s="3" t="s">
        <v>22</v>
      </c>
      <c r="G24">
        <f>IF([@StageTime]="","",HOUR([@StageTime])*3600 + MINUTE([@StageTime])*60 + SECOND([@StageTime]))</f>
      </c>
      <c r="H24">
        <f>IF([@StageSeconds]="","",RANK([@StageSeconds],tblStage1[StageSeconds],1))</f>
      </c>
      <c r="I24">
        <f>IF([@Position]="",0,XLOOKUP([@Position],Config!tblBonus[Place],Config!tblBonus[Stage1BonusSec],0))</f>
      </c>
      <c r="J24">
        <f>IF([@StageSeconds]="","",[@StageSeconds]-[@BonusSeconds])</f>
      </c>
      <c r="K24" s="3">
        <f>IF([@NetSeconds]="","",[@NetSeconds]/86400)</f>
      </c>
    </row>
    <row r="25" spans="1:11" x14ac:dyDescent="0.25">
      <c r="A25" t="s">
        <v>22</v>
      </c>
      <c r="B25">
        <f>IF([@Bib]="","",XLOOKUP([@Bib],tblReg[Bib],tblReg[Field],""))</f>
      </c>
      <c r="C25">
        <f>IF([@Bib]="","",XLOOKUP([@Bib],tblReg[Bib],tblReg[FirstName],""))</f>
      </c>
      <c r="D25">
        <f>IF([@Bib]="","",XLOOKUP([@Bib],tblReg[Bib],tblReg[LastName],""))</f>
      </c>
      <c r="E25">
        <f>IF([@Bib]="","",XLOOKUP([@Bib],tblReg[Bib],tblReg[Team],""))</f>
      </c>
      <c r="F25" s="3" t="s">
        <v>22</v>
      </c>
      <c r="G25">
        <f>IF([@StageTime]="","",HOUR([@StageTime])*3600 + MINUTE([@StageTime])*60 + SECOND([@StageTime]))</f>
      </c>
      <c r="H25">
        <f>IF([@StageSeconds]="","",RANK([@StageSeconds],tblStage1[StageSeconds],1))</f>
      </c>
      <c r="I25">
        <f>IF([@Position]="",0,XLOOKUP([@Position],Config!tblBonus[Place],Config!tblBonus[Stage1BonusSec],0))</f>
      </c>
      <c r="J25">
        <f>IF([@StageSeconds]="","",[@StageSeconds]-[@BonusSeconds])</f>
      </c>
      <c r="K25" s="3">
        <f>IF([@NetSeconds]="","",[@NetSeconds]/86400)</f>
      </c>
    </row>
    <row r="26" spans="1:11" x14ac:dyDescent="0.25">
      <c r="A26" t="s">
        <v>22</v>
      </c>
      <c r="B26">
        <f>IF([@Bib]="","",XLOOKUP([@Bib],tblReg[Bib],tblReg[Field],""))</f>
      </c>
      <c r="C26">
        <f>IF([@Bib]="","",XLOOKUP([@Bib],tblReg[Bib],tblReg[FirstName],""))</f>
      </c>
      <c r="D26">
        <f>IF([@Bib]="","",XLOOKUP([@Bib],tblReg[Bib],tblReg[LastName],""))</f>
      </c>
      <c r="E26">
        <f>IF([@Bib]="","",XLOOKUP([@Bib],tblReg[Bib],tblReg[Team],""))</f>
      </c>
      <c r="F26" s="3" t="s">
        <v>22</v>
      </c>
      <c r="G26">
        <f>IF([@StageTime]="","",HOUR([@StageTime])*3600 + MINUTE([@StageTime])*60 + SECOND([@StageTime]))</f>
      </c>
      <c r="H26">
        <f>IF([@StageSeconds]="","",RANK([@StageSeconds],tblStage1[StageSeconds],1))</f>
      </c>
      <c r="I26">
        <f>IF([@Position]="",0,XLOOKUP([@Position],Config!tblBonus[Place],Config!tblBonus[Stage1BonusSec],0))</f>
      </c>
      <c r="J26">
        <f>IF([@StageSeconds]="","",[@StageSeconds]-[@BonusSeconds])</f>
      </c>
      <c r="K26" s="3">
        <f>IF([@NetSeconds]="","",[@NetSeconds]/86400)</f>
      </c>
    </row>
    <row r="27" spans="1:11" x14ac:dyDescent="0.25">
      <c r="A27" t="s">
        <v>22</v>
      </c>
      <c r="B27">
        <f>IF([@Bib]="","",XLOOKUP([@Bib],tblReg[Bib],tblReg[Field],""))</f>
      </c>
      <c r="C27">
        <f>IF([@Bib]="","",XLOOKUP([@Bib],tblReg[Bib],tblReg[FirstName],""))</f>
      </c>
      <c r="D27">
        <f>IF([@Bib]="","",XLOOKUP([@Bib],tblReg[Bib],tblReg[LastName],""))</f>
      </c>
      <c r="E27">
        <f>IF([@Bib]="","",XLOOKUP([@Bib],tblReg[Bib],tblReg[Team],""))</f>
      </c>
      <c r="F27" s="3" t="s">
        <v>22</v>
      </c>
      <c r="G27">
        <f>IF([@StageTime]="","",HOUR([@StageTime])*3600 + MINUTE([@StageTime])*60 + SECOND([@StageTime]))</f>
      </c>
      <c r="H27">
        <f>IF([@StageSeconds]="","",RANK([@StageSeconds],tblStage1[StageSeconds],1))</f>
      </c>
      <c r="I27">
        <f>IF([@Position]="",0,XLOOKUP([@Position],Config!tblBonus[Place],Config!tblBonus[Stage1BonusSec],0))</f>
      </c>
      <c r="J27">
        <f>IF([@StageSeconds]="","",[@StageSeconds]-[@BonusSeconds])</f>
      </c>
      <c r="K27" s="3">
        <f>IF([@NetSeconds]="","",[@NetSeconds]/86400)</f>
      </c>
    </row>
    <row r="28" spans="1:11" x14ac:dyDescent="0.25">
      <c r="A28" t="s">
        <v>22</v>
      </c>
      <c r="B28">
        <f>IF([@Bib]="","",XLOOKUP([@Bib],tblReg[Bib],tblReg[Field],""))</f>
      </c>
      <c r="C28">
        <f>IF([@Bib]="","",XLOOKUP([@Bib],tblReg[Bib],tblReg[FirstName],""))</f>
      </c>
      <c r="D28">
        <f>IF([@Bib]="","",XLOOKUP([@Bib],tblReg[Bib],tblReg[LastName],""))</f>
      </c>
      <c r="E28">
        <f>IF([@Bib]="","",XLOOKUP([@Bib],tblReg[Bib],tblReg[Team],""))</f>
      </c>
      <c r="F28" s="3" t="s">
        <v>22</v>
      </c>
      <c r="G28">
        <f>IF([@StageTime]="","",HOUR([@StageTime])*3600 + MINUTE([@StageTime])*60 + SECOND([@StageTime]))</f>
      </c>
      <c r="H28">
        <f>IF([@StageSeconds]="","",RANK([@StageSeconds],tblStage1[StageSeconds],1))</f>
      </c>
      <c r="I28">
        <f>IF([@Position]="",0,XLOOKUP([@Position],Config!tblBonus[Place],Config!tblBonus[Stage1BonusSec],0))</f>
      </c>
      <c r="J28">
        <f>IF([@StageSeconds]="","",[@StageSeconds]-[@BonusSeconds])</f>
      </c>
      <c r="K28" s="3">
        <f>IF([@NetSeconds]="","",[@NetSeconds]/86400)</f>
      </c>
    </row>
    <row r="29" spans="1:11" x14ac:dyDescent="0.25">
      <c r="A29" t="s">
        <v>22</v>
      </c>
      <c r="B29">
        <f>IF([@Bib]="","",XLOOKUP([@Bib],tblReg[Bib],tblReg[Field],""))</f>
      </c>
      <c r="C29">
        <f>IF([@Bib]="","",XLOOKUP([@Bib],tblReg[Bib],tblReg[FirstName],""))</f>
      </c>
      <c r="D29">
        <f>IF([@Bib]="","",XLOOKUP([@Bib],tblReg[Bib],tblReg[LastName],""))</f>
      </c>
      <c r="E29">
        <f>IF([@Bib]="","",XLOOKUP([@Bib],tblReg[Bib],tblReg[Team],""))</f>
      </c>
      <c r="F29" s="3" t="s">
        <v>22</v>
      </c>
      <c r="G29">
        <f>IF([@StageTime]="","",HOUR([@StageTime])*3600 + MINUTE([@StageTime])*60 + SECOND([@StageTime]))</f>
      </c>
      <c r="H29">
        <f>IF([@StageSeconds]="","",RANK([@StageSeconds],tblStage1[StageSeconds],1))</f>
      </c>
      <c r="I29">
        <f>IF([@Position]="",0,XLOOKUP([@Position],Config!tblBonus[Place],Config!tblBonus[Stage1BonusSec],0))</f>
      </c>
      <c r="J29">
        <f>IF([@StageSeconds]="","",[@StageSeconds]-[@BonusSeconds])</f>
      </c>
      <c r="K29" s="3">
        <f>IF([@NetSeconds]="","",[@NetSeconds]/86400)</f>
      </c>
    </row>
    <row r="30" spans="1:11" x14ac:dyDescent="0.25">
      <c r="A30" t="s">
        <v>22</v>
      </c>
      <c r="B30">
        <f>IF([@Bib]="","",XLOOKUP([@Bib],tblReg[Bib],tblReg[Field],""))</f>
      </c>
      <c r="C30">
        <f>IF([@Bib]="","",XLOOKUP([@Bib],tblReg[Bib],tblReg[FirstName],""))</f>
      </c>
      <c r="D30">
        <f>IF([@Bib]="","",XLOOKUP([@Bib],tblReg[Bib],tblReg[LastName],""))</f>
      </c>
      <c r="E30">
        <f>IF([@Bib]="","",XLOOKUP([@Bib],tblReg[Bib],tblReg[Team],""))</f>
      </c>
      <c r="F30" s="3" t="s">
        <v>22</v>
      </c>
      <c r="G30">
        <f>IF([@StageTime]="","",HOUR([@StageTime])*3600 + MINUTE([@StageTime])*60 + SECOND([@StageTime]))</f>
      </c>
      <c r="H30">
        <f>IF([@StageSeconds]="","",RANK([@StageSeconds],tblStage1[StageSeconds],1))</f>
      </c>
      <c r="I30">
        <f>IF([@Position]="",0,XLOOKUP([@Position],Config!tblBonus[Place],Config!tblBonus[Stage1BonusSec],0))</f>
      </c>
      <c r="J30">
        <f>IF([@StageSeconds]="","",[@StageSeconds]-[@BonusSeconds])</f>
      </c>
      <c r="K30" s="3">
        <f>IF([@NetSeconds]="","",[@NetSeconds]/86400)</f>
      </c>
    </row>
    <row r="31" spans="1:11" x14ac:dyDescent="0.25">
      <c r="A31" t="s">
        <v>22</v>
      </c>
      <c r="B31">
        <f>IF([@Bib]="","",XLOOKUP([@Bib],tblReg[Bib],tblReg[Field],""))</f>
      </c>
      <c r="C31">
        <f>IF([@Bib]="","",XLOOKUP([@Bib],tblReg[Bib],tblReg[FirstName],""))</f>
      </c>
      <c r="D31">
        <f>IF([@Bib]="","",XLOOKUP([@Bib],tblReg[Bib],tblReg[LastName],""))</f>
      </c>
      <c r="E31">
        <f>IF([@Bib]="","",XLOOKUP([@Bib],tblReg[Bib],tblReg[Team],""))</f>
      </c>
      <c r="F31" s="3" t="s">
        <v>22</v>
      </c>
      <c r="G31">
        <f>IF([@StageTime]="","",HOUR([@StageTime])*3600 + MINUTE([@StageTime])*60 + SECOND([@StageTime]))</f>
      </c>
      <c r="H31">
        <f>IF([@StageSeconds]="","",RANK([@StageSeconds],tblStage1[StageSeconds],1))</f>
      </c>
      <c r="I31">
        <f>IF([@Position]="",0,XLOOKUP([@Position],Config!tblBonus[Place],Config!tblBonus[Stage1BonusSec],0))</f>
      </c>
      <c r="J31">
        <f>IF([@StageSeconds]="","",[@StageSeconds]-[@BonusSeconds])</f>
      </c>
      <c r="K31" s="3">
        <f>IF([@NetSeconds]="","",[@NetSeconds]/86400)</f>
      </c>
    </row>
    <row r="32" spans="1:11" x14ac:dyDescent="0.25">
      <c r="A32" t="s">
        <v>22</v>
      </c>
      <c r="B32">
        <f>IF([@Bib]="","",XLOOKUP([@Bib],tblReg[Bib],tblReg[Field],""))</f>
      </c>
      <c r="C32">
        <f>IF([@Bib]="","",XLOOKUP([@Bib],tblReg[Bib],tblReg[FirstName],""))</f>
      </c>
      <c r="D32">
        <f>IF([@Bib]="","",XLOOKUP([@Bib],tblReg[Bib],tblReg[LastName],""))</f>
      </c>
      <c r="E32">
        <f>IF([@Bib]="","",XLOOKUP([@Bib],tblReg[Bib],tblReg[Team],""))</f>
      </c>
      <c r="F32" s="3" t="s">
        <v>22</v>
      </c>
      <c r="G32">
        <f>IF([@StageTime]="","",HOUR([@StageTime])*3600 + MINUTE([@StageTime])*60 + SECOND([@StageTime]))</f>
      </c>
      <c r="H32">
        <f>IF([@StageSeconds]="","",RANK([@StageSeconds],tblStage1[StageSeconds],1))</f>
      </c>
      <c r="I32">
        <f>IF([@Position]="",0,XLOOKUP([@Position],Config!tblBonus[Place],Config!tblBonus[Stage1BonusSec],0))</f>
      </c>
      <c r="J32">
        <f>IF([@StageSeconds]="","",[@StageSeconds]-[@BonusSeconds])</f>
      </c>
      <c r="K32" s="3">
        <f>IF([@NetSeconds]="","",[@NetSeconds]/86400)</f>
      </c>
    </row>
    <row r="33" spans="1:11" x14ac:dyDescent="0.25">
      <c r="A33" t="s">
        <v>22</v>
      </c>
      <c r="B33">
        <f>IF([@Bib]="","",XLOOKUP([@Bib],tblReg[Bib],tblReg[Field],""))</f>
      </c>
      <c r="C33">
        <f>IF([@Bib]="","",XLOOKUP([@Bib],tblReg[Bib],tblReg[FirstName],""))</f>
      </c>
      <c r="D33">
        <f>IF([@Bib]="","",XLOOKUP([@Bib],tblReg[Bib],tblReg[LastName],""))</f>
      </c>
      <c r="E33">
        <f>IF([@Bib]="","",XLOOKUP([@Bib],tblReg[Bib],tblReg[Team],""))</f>
      </c>
      <c r="F33" s="3" t="s">
        <v>22</v>
      </c>
      <c r="G33">
        <f>IF([@StageTime]="","",HOUR([@StageTime])*3600 + MINUTE([@StageTime])*60 + SECOND([@StageTime]))</f>
      </c>
      <c r="H33">
        <f>IF([@StageSeconds]="","",RANK([@StageSeconds],tblStage1[StageSeconds],1))</f>
      </c>
      <c r="I33">
        <f>IF([@Position]="",0,XLOOKUP([@Position],Config!tblBonus[Place],Config!tblBonus[Stage1BonusSec],0))</f>
      </c>
      <c r="J33">
        <f>IF([@StageSeconds]="","",[@StageSeconds]-[@BonusSeconds])</f>
      </c>
      <c r="K33" s="3">
        <f>IF([@NetSeconds]="","",[@NetSeconds]/86400)</f>
      </c>
    </row>
    <row r="34" spans="1:11" x14ac:dyDescent="0.25">
      <c r="A34" t="s">
        <v>22</v>
      </c>
      <c r="B34">
        <f>IF([@Bib]="","",XLOOKUP([@Bib],tblReg[Bib],tblReg[Field],""))</f>
      </c>
      <c r="C34">
        <f>IF([@Bib]="","",XLOOKUP([@Bib],tblReg[Bib],tblReg[FirstName],""))</f>
      </c>
      <c r="D34">
        <f>IF([@Bib]="","",XLOOKUP([@Bib],tblReg[Bib],tblReg[LastName],""))</f>
      </c>
      <c r="E34">
        <f>IF([@Bib]="","",XLOOKUP([@Bib],tblReg[Bib],tblReg[Team],""))</f>
      </c>
      <c r="F34" s="3" t="s">
        <v>22</v>
      </c>
      <c r="G34">
        <f>IF([@StageTime]="","",HOUR([@StageTime])*3600 + MINUTE([@StageTime])*60 + SECOND([@StageTime]))</f>
      </c>
      <c r="H34">
        <f>IF([@StageSeconds]="","",RANK([@StageSeconds],tblStage1[StageSeconds],1))</f>
      </c>
      <c r="I34">
        <f>IF([@Position]="",0,XLOOKUP([@Position],Config!tblBonus[Place],Config!tblBonus[Stage1BonusSec],0))</f>
      </c>
      <c r="J34">
        <f>IF([@StageSeconds]="","",[@StageSeconds]-[@BonusSeconds])</f>
      </c>
      <c r="K34" s="3">
        <f>IF([@NetSeconds]="","",[@NetSeconds]/86400)</f>
      </c>
    </row>
    <row r="35" spans="1:11" x14ac:dyDescent="0.25">
      <c r="A35" t="s">
        <v>22</v>
      </c>
      <c r="B35">
        <f>IF([@Bib]="","",XLOOKUP([@Bib],tblReg[Bib],tblReg[Field],""))</f>
      </c>
      <c r="C35">
        <f>IF([@Bib]="","",XLOOKUP([@Bib],tblReg[Bib],tblReg[FirstName],""))</f>
      </c>
      <c r="D35">
        <f>IF([@Bib]="","",XLOOKUP([@Bib],tblReg[Bib],tblReg[LastName],""))</f>
      </c>
      <c r="E35">
        <f>IF([@Bib]="","",XLOOKUP([@Bib],tblReg[Bib],tblReg[Team],""))</f>
      </c>
      <c r="F35" s="3" t="s">
        <v>22</v>
      </c>
      <c r="G35">
        <f>IF([@StageTime]="","",HOUR([@StageTime])*3600 + MINUTE([@StageTime])*60 + SECOND([@StageTime]))</f>
      </c>
      <c r="H35">
        <f>IF([@StageSeconds]="","",RANK([@StageSeconds],tblStage1[StageSeconds],1))</f>
      </c>
      <c r="I35">
        <f>IF([@Position]="",0,XLOOKUP([@Position],Config!tblBonus[Place],Config!tblBonus[Stage1BonusSec],0))</f>
      </c>
      <c r="J35">
        <f>IF([@StageSeconds]="","",[@StageSeconds]-[@BonusSeconds])</f>
      </c>
      <c r="K35" s="3">
        <f>IF([@NetSeconds]="","",[@NetSeconds]/86400)</f>
      </c>
    </row>
    <row r="36" spans="1:11" x14ac:dyDescent="0.25">
      <c r="A36" t="s">
        <v>22</v>
      </c>
      <c r="B36">
        <f>IF([@Bib]="","",XLOOKUP([@Bib],tblReg[Bib],tblReg[Field],""))</f>
      </c>
      <c r="C36">
        <f>IF([@Bib]="","",XLOOKUP([@Bib],tblReg[Bib],tblReg[FirstName],""))</f>
      </c>
      <c r="D36">
        <f>IF([@Bib]="","",XLOOKUP([@Bib],tblReg[Bib],tblReg[LastName],""))</f>
      </c>
      <c r="E36">
        <f>IF([@Bib]="","",XLOOKUP([@Bib],tblReg[Bib],tblReg[Team],""))</f>
      </c>
      <c r="F36" s="3" t="s">
        <v>22</v>
      </c>
      <c r="G36">
        <f>IF([@StageTime]="","",HOUR([@StageTime])*3600 + MINUTE([@StageTime])*60 + SECOND([@StageTime]))</f>
      </c>
      <c r="H36">
        <f>IF([@StageSeconds]="","",RANK([@StageSeconds],tblStage1[StageSeconds],1))</f>
      </c>
      <c r="I36">
        <f>IF([@Position]="",0,XLOOKUP([@Position],Config!tblBonus[Place],Config!tblBonus[Stage1BonusSec],0))</f>
      </c>
      <c r="J36">
        <f>IF([@StageSeconds]="","",[@StageSeconds]-[@BonusSeconds])</f>
      </c>
      <c r="K36" s="3">
        <f>IF([@NetSeconds]="","",[@NetSeconds]/86400)</f>
      </c>
    </row>
    <row r="37" spans="1:11" x14ac:dyDescent="0.25">
      <c r="A37" t="s">
        <v>22</v>
      </c>
      <c r="B37">
        <f>IF([@Bib]="","",XLOOKUP([@Bib],tblReg[Bib],tblReg[Field],""))</f>
      </c>
      <c r="C37">
        <f>IF([@Bib]="","",XLOOKUP([@Bib],tblReg[Bib],tblReg[FirstName],""))</f>
      </c>
      <c r="D37">
        <f>IF([@Bib]="","",XLOOKUP([@Bib],tblReg[Bib],tblReg[LastName],""))</f>
      </c>
      <c r="E37">
        <f>IF([@Bib]="","",XLOOKUP([@Bib],tblReg[Bib],tblReg[Team],""))</f>
      </c>
      <c r="F37" s="3" t="s">
        <v>22</v>
      </c>
      <c r="G37">
        <f>IF([@StageTime]="","",HOUR([@StageTime])*3600 + MINUTE([@StageTime])*60 + SECOND([@StageTime]))</f>
      </c>
      <c r="H37">
        <f>IF([@StageSeconds]="","",RANK([@StageSeconds],tblStage1[StageSeconds],1))</f>
      </c>
      <c r="I37">
        <f>IF([@Position]="",0,XLOOKUP([@Position],Config!tblBonus[Place],Config!tblBonus[Stage1BonusSec],0))</f>
      </c>
      <c r="J37">
        <f>IF([@StageSeconds]="","",[@StageSeconds]-[@BonusSeconds])</f>
      </c>
      <c r="K37" s="3">
        <f>IF([@NetSeconds]="","",[@NetSeconds]/86400)</f>
      </c>
    </row>
    <row r="38" spans="1:11" x14ac:dyDescent="0.25">
      <c r="A38" t="s">
        <v>22</v>
      </c>
      <c r="B38">
        <f>IF([@Bib]="","",XLOOKUP([@Bib],tblReg[Bib],tblReg[Field],""))</f>
      </c>
      <c r="C38">
        <f>IF([@Bib]="","",XLOOKUP([@Bib],tblReg[Bib],tblReg[FirstName],""))</f>
      </c>
      <c r="D38">
        <f>IF([@Bib]="","",XLOOKUP([@Bib],tblReg[Bib],tblReg[LastName],""))</f>
      </c>
      <c r="E38">
        <f>IF([@Bib]="","",XLOOKUP([@Bib],tblReg[Bib],tblReg[Team],""))</f>
      </c>
      <c r="F38" s="3" t="s">
        <v>22</v>
      </c>
      <c r="G38">
        <f>IF([@StageTime]="","",HOUR([@StageTime])*3600 + MINUTE([@StageTime])*60 + SECOND([@StageTime]))</f>
      </c>
      <c r="H38">
        <f>IF([@StageSeconds]="","",RANK([@StageSeconds],tblStage1[StageSeconds],1))</f>
      </c>
      <c r="I38">
        <f>IF([@Position]="",0,XLOOKUP([@Position],Config!tblBonus[Place],Config!tblBonus[Stage1BonusSec],0))</f>
      </c>
      <c r="J38">
        <f>IF([@StageSeconds]="","",[@StageSeconds]-[@BonusSeconds])</f>
      </c>
      <c r="K38" s="3">
        <f>IF([@NetSeconds]="","",[@NetSeconds]/86400)</f>
      </c>
    </row>
    <row r="39" spans="1:11" x14ac:dyDescent="0.25">
      <c r="A39" t="s">
        <v>22</v>
      </c>
      <c r="B39">
        <f>IF([@Bib]="","",XLOOKUP([@Bib],tblReg[Bib],tblReg[Field],""))</f>
      </c>
      <c r="C39">
        <f>IF([@Bib]="","",XLOOKUP([@Bib],tblReg[Bib],tblReg[FirstName],""))</f>
      </c>
      <c r="D39">
        <f>IF([@Bib]="","",XLOOKUP([@Bib],tblReg[Bib],tblReg[LastName],""))</f>
      </c>
      <c r="E39">
        <f>IF([@Bib]="","",XLOOKUP([@Bib],tblReg[Bib],tblReg[Team],""))</f>
      </c>
      <c r="F39" s="3" t="s">
        <v>22</v>
      </c>
      <c r="G39">
        <f>IF([@StageTime]="","",HOUR([@StageTime])*3600 + MINUTE([@StageTime])*60 + SECOND([@StageTime]))</f>
      </c>
      <c r="H39">
        <f>IF([@StageSeconds]="","",RANK([@StageSeconds],tblStage1[StageSeconds],1))</f>
      </c>
      <c r="I39">
        <f>IF([@Position]="",0,XLOOKUP([@Position],Config!tblBonus[Place],Config!tblBonus[Stage1BonusSec],0))</f>
      </c>
      <c r="J39">
        <f>IF([@StageSeconds]="","",[@StageSeconds]-[@BonusSeconds])</f>
      </c>
      <c r="K39" s="3">
        <f>IF([@NetSeconds]="","",[@NetSeconds]/86400)</f>
      </c>
    </row>
    <row r="40" spans="1:11" x14ac:dyDescent="0.25">
      <c r="A40" t="s">
        <v>22</v>
      </c>
      <c r="B40">
        <f>IF([@Bib]="","",XLOOKUP([@Bib],tblReg[Bib],tblReg[Field],""))</f>
      </c>
      <c r="C40">
        <f>IF([@Bib]="","",XLOOKUP([@Bib],tblReg[Bib],tblReg[FirstName],""))</f>
      </c>
      <c r="D40">
        <f>IF([@Bib]="","",XLOOKUP([@Bib],tblReg[Bib],tblReg[LastName],""))</f>
      </c>
      <c r="E40">
        <f>IF([@Bib]="","",XLOOKUP([@Bib],tblReg[Bib],tblReg[Team],""))</f>
      </c>
      <c r="F40" s="3" t="s">
        <v>22</v>
      </c>
      <c r="G40">
        <f>IF([@StageTime]="","",HOUR([@StageTime])*3600 + MINUTE([@StageTime])*60 + SECOND([@StageTime]))</f>
      </c>
      <c r="H40">
        <f>IF([@StageSeconds]="","",RANK([@StageSeconds],tblStage1[StageSeconds],1))</f>
      </c>
      <c r="I40">
        <f>IF([@Position]="",0,XLOOKUP([@Position],Config!tblBonus[Place],Config!tblBonus[Stage1BonusSec],0))</f>
      </c>
      <c r="J40">
        <f>IF([@StageSeconds]="","",[@StageSeconds]-[@BonusSeconds])</f>
      </c>
      <c r="K40" s="3">
        <f>IF([@NetSeconds]="","",[@NetSeconds]/86400)</f>
      </c>
    </row>
    <row r="41" spans="1:11" x14ac:dyDescent="0.25">
      <c r="A41" t="s">
        <v>22</v>
      </c>
      <c r="B41">
        <f>IF([@Bib]="","",XLOOKUP([@Bib],tblReg[Bib],tblReg[Field],""))</f>
      </c>
      <c r="C41">
        <f>IF([@Bib]="","",XLOOKUP([@Bib],tblReg[Bib],tblReg[FirstName],""))</f>
      </c>
      <c r="D41">
        <f>IF([@Bib]="","",XLOOKUP([@Bib],tblReg[Bib],tblReg[LastName],""))</f>
      </c>
      <c r="E41">
        <f>IF([@Bib]="","",XLOOKUP([@Bib],tblReg[Bib],tblReg[Team],""))</f>
      </c>
      <c r="F41" s="3" t="s">
        <v>22</v>
      </c>
      <c r="G41">
        <f>IF([@StageTime]="","",HOUR([@StageTime])*3600 + MINUTE([@StageTime])*60 + SECOND([@StageTime]))</f>
      </c>
      <c r="H41">
        <f>IF([@StageSeconds]="","",RANK([@StageSeconds],tblStage1[StageSeconds],1))</f>
      </c>
      <c r="I41">
        <f>IF([@Position]="",0,XLOOKUP([@Position],Config!tblBonus[Place],Config!tblBonus[Stage1BonusSec],0))</f>
      </c>
      <c r="J41">
        <f>IF([@StageSeconds]="","",[@StageSeconds]-[@BonusSeconds])</f>
      </c>
      <c r="K41" s="3">
        <f>IF([@NetSeconds]="","",[@NetSeconds]/86400)</f>
      </c>
    </row>
    <row r="42" spans="1:11" x14ac:dyDescent="0.25">
      <c r="A42" t="s">
        <v>22</v>
      </c>
      <c r="B42">
        <f>IF([@Bib]="","",XLOOKUP([@Bib],tblReg[Bib],tblReg[Field],""))</f>
      </c>
      <c r="C42">
        <f>IF([@Bib]="","",XLOOKUP([@Bib],tblReg[Bib],tblReg[FirstName],""))</f>
      </c>
      <c r="D42">
        <f>IF([@Bib]="","",XLOOKUP([@Bib],tblReg[Bib],tblReg[LastName],""))</f>
      </c>
      <c r="E42">
        <f>IF([@Bib]="","",XLOOKUP([@Bib],tblReg[Bib],tblReg[Team],""))</f>
      </c>
      <c r="F42" s="3" t="s">
        <v>22</v>
      </c>
      <c r="G42">
        <f>IF([@StageTime]="","",HOUR([@StageTime])*3600 + MINUTE([@StageTime])*60 + SECOND([@StageTime]))</f>
      </c>
      <c r="H42">
        <f>IF([@StageSeconds]="","",RANK([@StageSeconds],tblStage1[StageSeconds],1))</f>
      </c>
      <c r="I42">
        <f>IF([@Position]="",0,XLOOKUP([@Position],Config!tblBonus[Place],Config!tblBonus[Stage1BonusSec],0))</f>
      </c>
      <c r="J42">
        <f>IF([@StageSeconds]="","",[@StageSeconds]-[@BonusSeconds])</f>
      </c>
      <c r="K42" s="3">
        <f>IF([@NetSeconds]="","",[@NetSeconds]/86400)</f>
      </c>
    </row>
    <row r="43" spans="1:11" x14ac:dyDescent="0.25">
      <c r="A43" t="s">
        <v>22</v>
      </c>
      <c r="B43">
        <f>IF([@Bib]="","",XLOOKUP([@Bib],tblReg[Bib],tblReg[Field],""))</f>
      </c>
      <c r="C43">
        <f>IF([@Bib]="","",XLOOKUP([@Bib],tblReg[Bib],tblReg[FirstName],""))</f>
      </c>
      <c r="D43">
        <f>IF([@Bib]="","",XLOOKUP([@Bib],tblReg[Bib],tblReg[LastName],""))</f>
      </c>
      <c r="E43">
        <f>IF([@Bib]="","",XLOOKUP([@Bib],tblReg[Bib],tblReg[Team],""))</f>
      </c>
      <c r="F43" s="3" t="s">
        <v>22</v>
      </c>
      <c r="G43">
        <f>IF([@StageTime]="","",HOUR([@StageTime])*3600 + MINUTE([@StageTime])*60 + SECOND([@StageTime]))</f>
      </c>
      <c r="H43">
        <f>IF([@StageSeconds]="","",RANK([@StageSeconds],tblStage1[StageSeconds],1))</f>
      </c>
      <c r="I43">
        <f>IF([@Position]="",0,XLOOKUP([@Position],Config!tblBonus[Place],Config!tblBonus[Stage1BonusSec],0))</f>
      </c>
      <c r="J43">
        <f>IF([@StageSeconds]="","",[@StageSeconds]-[@BonusSeconds])</f>
      </c>
      <c r="K43" s="3">
        <f>IF([@NetSeconds]="","",[@NetSeconds]/86400)</f>
      </c>
    </row>
    <row r="44" spans="1:11" x14ac:dyDescent="0.25">
      <c r="A44" t="s">
        <v>22</v>
      </c>
      <c r="B44">
        <f>IF([@Bib]="","",XLOOKUP([@Bib],tblReg[Bib],tblReg[Field],""))</f>
      </c>
      <c r="C44">
        <f>IF([@Bib]="","",XLOOKUP([@Bib],tblReg[Bib],tblReg[FirstName],""))</f>
      </c>
      <c r="D44">
        <f>IF([@Bib]="","",XLOOKUP([@Bib],tblReg[Bib],tblReg[LastName],""))</f>
      </c>
      <c r="E44">
        <f>IF([@Bib]="","",XLOOKUP([@Bib],tblReg[Bib],tblReg[Team],""))</f>
      </c>
      <c r="F44" s="3" t="s">
        <v>22</v>
      </c>
      <c r="G44">
        <f>IF([@StageTime]="","",HOUR([@StageTime])*3600 + MINUTE([@StageTime])*60 + SECOND([@StageTime]))</f>
      </c>
      <c r="H44">
        <f>IF([@StageSeconds]="","",RANK([@StageSeconds],tblStage1[StageSeconds],1))</f>
      </c>
      <c r="I44">
        <f>IF([@Position]="",0,XLOOKUP([@Position],Config!tblBonus[Place],Config!tblBonus[Stage1BonusSec],0))</f>
      </c>
      <c r="J44">
        <f>IF([@StageSeconds]="","",[@StageSeconds]-[@BonusSeconds])</f>
      </c>
      <c r="K44" s="3">
        <f>IF([@NetSeconds]="","",[@NetSeconds]/86400)</f>
      </c>
    </row>
    <row r="45" spans="1:11" x14ac:dyDescent="0.25">
      <c r="A45" t="s">
        <v>22</v>
      </c>
      <c r="B45">
        <f>IF([@Bib]="","",XLOOKUP([@Bib],tblReg[Bib],tblReg[Field],""))</f>
      </c>
      <c r="C45">
        <f>IF([@Bib]="","",XLOOKUP([@Bib],tblReg[Bib],tblReg[FirstName],""))</f>
      </c>
      <c r="D45">
        <f>IF([@Bib]="","",XLOOKUP([@Bib],tblReg[Bib],tblReg[LastName],""))</f>
      </c>
      <c r="E45">
        <f>IF([@Bib]="","",XLOOKUP([@Bib],tblReg[Bib],tblReg[Team],""))</f>
      </c>
      <c r="F45" s="3" t="s">
        <v>22</v>
      </c>
      <c r="G45">
        <f>IF([@StageTime]="","",HOUR([@StageTime])*3600 + MINUTE([@StageTime])*60 + SECOND([@StageTime]))</f>
      </c>
      <c r="H45">
        <f>IF([@StageSeconds]="","",RANK([@StageSeconds],tblStage1[StageSeconds],1))</f>
      </c>
      <c r="I45">
        <f>IF([@Position]="",0,XLOOKUP([@Position],Config!tblBonus[Place],Config!tblBonus[Stage1BonusSec],0))</f>
      </c>
      <c r="J45">
        <f>IF([@StageSeconds]="","",[@StageSeconds]-[@BonusSeconds])</f>
      </c>
      <c r="K45" s="3">
        <f>IF([@NetSeconds]="","",[@NetSeconds]/86400)</f>
      </c>
    </row>
    <row r="46" spans="1:11" x14ac:dyDescent="0.25">
      <c r="A46" t="s">
        <v>22</v>
      </c>
      <c r="B46">
        <f>IF([@Bib]="","",XLOOKUP([@Bib],tblReg[Bib],tblReg[Field],""))</f>
      </c>
      <c r="C46">
        <f>IF([@Bib]="","",XLOOKUP([@Bib],tblReg[Bib],tblReg[FirstName],""))</f>
      </c>
      <c r="D46">
        <f>IF([@Bib]="","",XLOOKUP([@Bib],tblReg[Bib],tblReg[LastName],""))</f>
      </c>
      <c r="E46">
        <f>IF([@Bib]="","",XLOOKUP([@Bib],tblReg[Bib],tblReg[Team],""))</f>
      </c>
      <c r="F46" s="3" t="s">
        <v>22</v>
      </c>
      <c r="G46">
        <f>IF([@StageTime]="","",HOUR([@StageTime])*3600 + MINUTE([@StageTime])*60 + SECOND([@StageTime]))</f>
      </c>
      <c r="H46">
        <f>IF([@StageSeconds]="","",RANK([@StageSeconds],tblStage1[StageSeconds],1))</f>
      </c>
      <c r="I46">
        <f>IF([@Position]="",0,XLOOKUP([@Position],Config!tblBonus[Place],Config!tblBonus[Stage1BonusSec],0))</f>
      </c>
      <c r="J46">
        <f>IF([@StageSeconds]="","",[@StageSeconds]-[@BonusSeconds])</f>
      </c>
      <c r="K46" s="3">
        <f>IF([@NetSeconds]="","",[@NetSeconds]/86400)</f>
      </c>
    </row>
    <row r="47" spans="1:11" x14ac:dyDescent="0.25">
      <c r="A47" t="s">
        <v>22</v>
      </c>
      <c r="B47">
        <f>IF([@Bib]="","",XLOOKUP([@Bib],tblReg[Bib],tblReg[Field],""))</f>
      </c>
      <c r="C47">
        <f>IF([@Bib]="","",XLOOKUP([@Bib],tblReg[Bib],tblReg[FirstName],""))</f>
      </c>
      <c r="D47">
        <f>IF([@Bib]="","",XLOOKUP([@Bib],tblReg[Bib],tblReg[LastName],""))</f>
      </c>
      <c r="E47">
        <f>IF([@Bib]="","",XLOOKUP([@Bib],tblReg[Bib],tblReg[Team],""))</f>
      </c>
      <c r="F47" s="3" t="s">
        <v>22</v>
      </c>
      <c r="G47">
        <f>IF([@StageTime]="","",HOUR([@StageTime])*3600 + MINUTE([@StageTime])*60 + SECOND([@StageTime]))</f>
      </c>
      <c r="H47">
        <f>IF([@StageSeconds]="","",RANK([@StageSeconds],tblStage1[StageSeconds],1))</f>
      </c>
      <c r="I47">
        <f>IF([@Position]="",0,XLOOKUP([@Position],Config!tblBonus[Place],Config!tblBonus[Stage1BonusSec],0))</f>
      </c>
      <c r="J47">
        <f>IF([@StageSeconds]="","",[@StageSeconds]-[@BonusSeconds])</f>
      </c>
      <c r="K47" s="3">
        <f>IF([@NetSeconds]="","",[@NetSeconds]/86400)</f>
      </c>
    </row>
    <row r="48" spans="1:11" x14ac:dyDescent="0.25">
      <c r="A48" t="s">
        <v>22</v>
      </c>
      <c r="B48">
        <f>IF([@Bib]="","",XLOOKUP([@Bib],tblReg[Bib],tblReg[Field],""))</f>
      </c>
      <c r="C48">
        <f>IF([@Bib]="","",XLOOKUP([@Bib],tblReg[Bib],tblReg[FirstName],""))</f>
      </c>
      <c r="D48">
        <f>IF([@Bib]="","",XLOOKUP([@Bib],tblReg[Bib],tblReg[LastName],""))</f>
      </c>
      <c r="E48">
        <f>IF([@Bib]="","",XLOOKUP([@Bib],tblReg[Bib],tblReg[Team],""))</f>
      </c>
      <c r="F48" s="3" t="s">
        <v>22</v>
      </c>
      <c r="G48">
        <f>IF([@StageTime]="","",HOUR([@StageTime])*3600 + MINUTE([@StageTime])*60 + SECOND([@StageTime]))</f>
      </c>
      <c r="H48">
        <f>IF([@StageSeconds]="","",RANK([@StageSeconds],tblStage1[StageSeconds],1))</f>
      </c>
      <c r="I48">
        <f>IF([@Position]="",0,XLOOKUP([@Position],Config!tblBonus[Place],Config!tblBonus[Stage1BonusSec],0))</f>
      </c>
      <c r="J48">
        <f>IF([@StageSeconds]="","",[@StageSeconds]-[@BonusSeconds])</f>
      </c>
      <c r="K48" s="3">
        <f>IF([@NetSeconds]="","",[@NetSeconds]/86400)</f>
      </c>
    </row>
    <row r="49" spans="1:11" x14ac:dyDescent="0.25">
      <c r="A49" t="s">
        <v>22</v>
      </c>
      <c r="B49">
        <f>IF([@Bib]="","",XLOOKUP([@Bib],tblReg[Bib],tblReg[Field],""))</f>
      </c>
      <c r="C49">
        <f>IF([@Bib]="","",XLOOKUP([@Bib],tblReg[Bib],tblReg[FirstName],""))</f>
      </c>
      <c r="D49">
        <f>IF([@Bib]="","",XLOOKUP([@Bib],tblReg[Bib],tblReg[LastName],""))</f>
      </c>
      <c r="E49">
        <f>IF([@Bib]="","",XLOOKUP([@Bib],tblReg[Bib],tblReg[Team],""))</f>
      </c>
      <c r="F49" s="3" t="s">
        <v>22</v>
      </c>
      <c r="G49">
        <f>IF([@StageTime]="","",HOUR([@StageTime])*3600 + MINUTE([@StageTime])*60 + SECOND([@StageTime]))</f>
      </c>
      <c r="H49">
        <f>IF([@StageSeconds]="","",RANK([@StageSeconds],tblStage1[StageSeconds],1))</f>
      </c>
      <c r="I49">
        <f>IF([@Position]="",0,XLOOKUP([@Position],Config!tblBonus[Place],Config!tblBonus[Stage1BonusSec],0))</f>
      </c>
      <c r="J49">
        <f>IF([@StageSeconds]="","",[@StageSeconds]-[@BonusSeconds])</f>
      </c>
      <c r="K49" s="3">
        <f>IF([@NetSeconds]="","",[@NetSeconds]/86400)</f>
      </c>
    </row>
    <row r="50" spans="1:11" x14ac:dyDescent="0.25">
      <c r="A50" t="s">
        <v>22</v>
      </c>
      <c r="B50">
        <f>IF([@Bib]="","",XLOOKUP([@Bib],tblReg[Bib],tblReg[Field],""))</f>
      </c>
      <c r="C50">
        <f>IF([@Bib]="","",XLOOKUP([@Bib],tblReg[Bib],tblReg[FirstName],""))</f>
      </c>
      <c r="D50">
        <f>IF([@Bib]="","",XLOOKUP([@Bib],tblReg[Bib],tblReg[LastName],""))</f>
      </c>
      <c r="E50">
        <f>IF([@Bib]="","",XLOOKUP([@Bib],tblReg[Bib],tblReg[Team],""))</f>
      </c>
      <c r="F50" s="3" t="s">
        <v>22</v>
      </c>
      <c r="G50">
        <f>IF([@StageTime]="","",HOUR([@StageTime])*3600 + MINUTE([@StageTime])*60 + SECOND([@StageTime]))</f>
      </c>
      <c r="H50">
        <f>IF([@StageSeconds]="","",RANK([@StageSeconds],tblStage1[StageSeconds],1))</f>
      </c>
      <c r="I50">
        <f>IF([@Position]="",0,XLOOKUP([@Position],Config!tblBonus[Place],Config!tblBonus[Stage1BonusSec],0))</f>
      </c>
      <c r="J50">
        <f>IF([@StageSeconds]="","",[@StageSeconds]-[@BonusSeconds])</f>
      </c>
      <c r="K50" s="3">
        <f>IF([@NetSeconds]="","",[@NetSeconds]/86400)</f>
      </c>
    </row>
    <row r="51" spans="1:11" x14ac:dyDescent="0.25">
      <c r="A51" t="s">
        <v>22</v>
      </c>
      <c r="B51">
        <f>IF([@Bib]="","",XLOOKUP([@Bib],tblReg[Bib],tblReg[Field],""))</f>
      </c>
      <c r="C51">
        <f>IF([@Bib]="","",XLOOKUP([@Bib],tblReg[Bib],tblReg[FirstName],""))</f>
      </c>
      <c r="D51">
        <f>IF([@Bib]="","",XLOOKUP([@Bib],tblReg[Bib],tblReg[LastName],""))</f>
      </c>
      <c r="E51">
        <f>IF([@Bib]="","",XLOOKUP([@Bib],tblReg[Bib],tblReg[Team],""))</f>
      </c>
      <c r="F51" s="3" t="s">
        <v>22</v>
      </c>
      <c r="G51">
        <f>IF([@StageTime]="","",HOUR([@StageTime])*3600 + MINUTE([@StageTime])*60 + SECOND([@StageTime]))</f>
      </c>
      <c r="H51">
        <f>IF([@StageSeconds]="","",RANK([@StageSeconds],tblStage1[StageSeconds],1))</f>
      </c>
      <c r="I51">
        <f>IF([@Position]="",0,XLOOKUP([@Position],Config!tblBonus[Place],Config!tblBonus[Stage1BonusSec],0))</f>
      </c>
      <c r="J51">
        <f>IF([@StageSeconds]="","",[@StageSeconds]-[@BonusSeconds])</f>
      </c>
      <c r="K51" s="3">
        <f>IF([@NetSeconds]="","",[@NetSeconds]/86400)</f>
      </c>
    </row>
    <row r="52" spans="1:11" x14ac:dyDescent="0.25">
      <c r="A52" t="s">
        <v>22</v>
      </c>
      <c r="B52">
        <f>IF([@Bib]="","",XLOOKUP([@Bib],tblReg[Bib],tblReg[Field],""))</f>
      </c>
      <c r="C52">
        <f>IF([@Bib]="","",XLOOKUP([@Bib],tblReg[Bib],tblReg[FirstName],""))</f>
      </c>
      <c r="D52">
        <f>IF([@Bib]="","",XLOOKUP([@Bib],tblReg[Bib],tblReg[LastName],""))</f>
      </c>
      <c r="E52">
        <f>IF([@Bib]="","",XLOOKUP([@Bib],tblReg[Bib],tblReg[Team],""))</f>
      </c>
      <c r="F52" s="3" t="s">
        <v>22</v>
      </c>
      <c r="G52">
        <f>IF([@StageTime]="","",HOUR([@StageTime])*3600 + MINUTE([@StageTime])*60 + SECOND([@StageTime]))</f>
      </c>
      <c r="H52">
        <f>IF([@StageSeconds]="","",RANK([@StageSeconds],tblStage1[StageSeconds],1))</f>
      </c>
      <c r="I52">
        <f>IF([@Position]="",0,XLOOKUP([@Position],Config!tblBonus[Place],Config!tblBonus[Stage1BonusSec],0))</f>
      </c>
      <c r="J52">
        <f>IF([@StageSeconds]="","",[@StageSeconds]-[@BonusSeconds])</f>
      </c>
      <c r="K52" s="3">
        <f>IF([@NetSeconds]="","",[@NetSeconds]/86400)</f>
      </c>
    </row>
    <row r="53" spans="1:11" x14ac:dyDescent="0.25">
      <c r="A53" t="s">
        <v>22</v>
      </c>
      <c r="B53">
        <f>IF([@Bib]="","",XLOOKUP([@Bib],tblReg[Bib],tblReg[Field],""))</f>
      </c>
      <c r="C53">
        <f>IF([@Bib]="","",XLOOKUP([@Bib],tblReg[Bib],tblReg[FirstName],""))</f>
      </c>
      <c r="D53">
        <f>IF([@Bib]="","",XLOOKUP([@Bib],tblReg[Bib],tblReg[LastName],""))</f>
      </c>
      <c r="E53">
        <f>IF([@Bib]="","",XLOOKUP([@Bib],tblReg[Bib],tblReg[Team],""))</f>
      </c>
      <c r="F53" s="3" t="s">
        <v>22</v>
      </c>
      <c r="G53">
        <f>IF([@StageTime]="","",HOUR([@StageTime])*3600 + MINUTE([@StageTime])*60 + SECOND([@StageTime]))</f>
      </c>
      <c r="H53">
        <f>IF([@StageSeconds]="","",RANK([@StageSeconds],tblStage1[StageSeconds],1))</f>
      </c>
      <c r="I53">
        <f>IF([@Position]="",0,XLOOKUP([@Position],Config!tblBonus[Place],Config!tblBonus[Stage1BonusSec],0))</f>
      </c>
      <c r="J53">
        <f>IF([@StageSeconds]="","",[@StageSeconds]-[@BonusSeconds])</f>
      </c>
      <c r="K53" s="3">
        <f>IF([@NetSeconds]="","",[@NetSeconds]/86400)</f>
      </c>
    </row>
    <row r="54" spans="1:11" x14ac:dyDescent="0.25">
      <c r="A54" t="s">
        <v>22</v>
      </c>
      <c r="B54">
        <f>IF([@Bib]="","",XLOOKUP([@Bib],tblReg[Bib],tblReg[Field],""))</f>
      </c>
      <c r="C54">
        <f>IF([@Bib]="","",XLOOKUP([@Bib],tblReg[Bib],tblReg[FirstName],""))</f>
      </c>
      <c r="D54">
        <f>IF([@Bib]="","",XLOOKUP([@Bib],tblReg[Bib],tblReg[LastName],""))</f>
      </c>
      <c r="E54">
        <f>IF([@Bib]="","",XLOOKUP([@Bib],tblReg[Bib],tblReg[Team],""))</f>
      </c>
      <c r="F54" s="3" t="s">
        <v>22</v>
      </c>
      <c r="G54">
        <f>IF([@StageTime]="","",HOUR([@StageTime])*3600 + MINUTE([@StageTime])*60 + SECOND([@StageTime]))</f>
      </c>
      <c r="H54">
        <f>IF([@StageSeconds]="","",RANK([@StageSeconds],tblStage1[StageSeconds],1))</f>
      </c>
      <c r="I54">
        <f>IF([@Position]="",0,XLOOKUP([@Position],Config!tblBonus[Place],Config!tblBonus[Stage1BonusSec],0))</f>
      </c>
      <c r="J54">
        <f>IF([@StageSeconds]="","",[@StageSeconds]-[@BonusSeconds])</f>
      </c>
      <c r="K54" s="3">
        <f>IF([@NetSeconds]="","",[@NetSeconds]/86400)</f>
      </c>
    </row>
    <row r="55" spans="1:11" x14ac:dyDescent="0.25">
      <c r="A55" t="s">
        <v>22</v>
      </c>
      <c r="B55">
        <f>IF([@Bib]="","",XLOOKUP([@Bib],tblReg[Bib],tblReg[Field],""))</f>
      </c>
      <c r="C55">
        <f>IF([@Bib]="","",XLOOKUP([@Bib],tblReg[Bib],tblReg[FirstName],""))</f>
      </c>
      <c r="D55">
        <f>IF([@Bib]="","",XLOOKUP([@Bib],tblReg[Bib],tblReg[LastName],""))</f>
      </c>
      <c r="E55">
        <f>IF([@Bib]="","",XLOOKUP([@Bib],tblReg[Bib],tblReg[Team],""))</f>
      </c>
      <c r="F55" s="3" t="s">
        <v>22</v>
      </c>
      <c r="G55">
        <f>IF([@StageTime]="","",HOUR([@StageTime])*3600 + MINUTE([@StageTime])*60 + SECOND([@StageTime]))</f>
      </c>
      <c r="H55">
        <f>IF([@StageSeconds]="","",RANK([@StageSeconds],tblStage1[StageSeconds],1))</f>
      </c>
      <c r="I55">
        <f>IF([@Position]="",0,XLOOKUP([@Position],Config!tblBonus[Place],Config!tblBonus[Stage1BonusSec],0))</f>
      </c>
      <c r="J55">
        <f>IF([@StageSeconds]="","",[@StageSeconds]-[@BonusSeconds])</f>
      </c>
      <c r="K55" s="3">
        <f>IF([@NetSeconds]="","",[@NetSeconds]/86400)</f>
      </c>
    </row>
    <row r="56" spans="1:11" x14ac:dyDescent="0.25">
      <c r="A56" t="s">
        <v>22</v>
      </c>
      <c r="B56">
        <f>IF([@Bib]="","",XLOOKUP([@Bib],tblReg[Bib],tblReg[Field],""))</f>
      </c>
      <c r="C56">
        <f>IF([@Bib]="","",XLOOKUP([@Bib],tblReg[Bib],tblReg[FirstName],""))</f>
      </c>
      <c r="D56">
        <f>IF([@Bib]="","",XLOOKUP([@Bib],tblReg[Bib],tblReg[LastName],""))</f>
      </c>
      <c r="E56">
        <f>IF([@Bib]="","",XLOOKUP([@Bib],tblReg[Bib],tblReg[Team],""))</f>
      </c>
      <c r="F56" s="3" t="s">
        <v>22</v>
      </c>
      <c r="G56">
        <f>IF([@StageTime]="","",HOUR([@StageTime])*3600 + MINUTE([@StageTime])*60 + SECOND([@StageTime]))</f>
      </c>
      <c r="H56">
        <f>IF([@StageSeconds]="","",RANK([@StageSeconds],tblStage1[StageSeconds],1))</f>
      </c>
      <c r="I56">
        <f>IF([@Position]="",0,XLOOKUP([@Position],Config!tblBonus[Place],Config!tblBonus[Stage1BonusSec],0))</f>
      </c>
      <c r="J56">
        <f>IF([@StageSeconds]="","",[@StageSeconds]-[@BonusSeconds])</f>
      </c>
      <c r="K56" s="3">
        <f>IF([@NetSeconds]="","",[@NetSeconds]/86400)</f>
      </c>
    </row>
    <row r="57" spans="1:11" x14ac:dyDescent="0.25">
      <c r="A57" t="s">
        <v>22</v>
      </c>
      <c r="B57">
        <f>IF([@Bib]="","",XLOOKUP([@Bib],tblReg[Bib],tblReg[Field],""))</f>
      </c>
      <c r="C57">
        <f>IF([@Bib]="","",XLOOKUP([@Bib],tblReg[Bib],tblReg[FirstName],""))</f>
      </c>
      <c r="D57">
        <f>IF([@Bib]="","",XLOOKUP([@Bib],tblReg[Bib],tblReg[LastName],""))</f>
      </c>
      <c r="E57">
        <f>IF([@Bib]="","",XLOOKUP([@Bib],tblReg[Bib],tblReg[Team],""))</f>
      </c>
      <c r="F57" s="3" t="s">
        <v>22</v>
      </c>
      <c r="G57">
        <f>IF([@StageTime]="","",HOUR([@StageTime])*3600 + MINUTE([@StageTime])*60 + SECOND([@StageTime]))</f>
      </c>
      <c r="H57">
        <f>IF([@StageSeconds]="","",RANK([@StageSeconds],tblStage1[StageSeconds],1))</f>
      </c>
      <c r="I57">
        <f>IF([@Position]="",0,XLOOKUP([@Position],Config!tblBonus[Place],Config!tblBonus[Stage1BonusSec],0))</f>
      </c>
      <c r="J57">
        <f>IF([@StageSeconds]="","",[@StageSeconds]-[@BonusSeconds])</f>
      </c>
      <c r="K57" s="3">
        <f>IF([@NetSeconds]="","",[@NetSeconds]/86400)</f>
      </c>
    </row>
    <row r="58" spans="1:11" x14ac:dyDescent="0.25">
      <c r="A58" t="s">
        <v>22</v>
      </c>
      <c r="B58">
        <f>IF([@Bib]="","",XLOOKUP([@Bib],tblReg[Bib],tblReg[Field],""))</f>
      </c>
      <c r="C58">
        <f>IF([@Bib]="","",XLOOKUP([@Bib],tblReg[Bib],tblReg[FirstName],""))</f>
      </c>
      <c r="D58">
        <f>IF([@Bib]="","",XLOOKUP([@Bib],tblReg[Bib],tblReg[LastName],""))</f>
      </c>
      <c r="E58">
        <f>IF([@Bib]="","",XLOOKUP([@Bib],tblReg[Bib],tblReg[Team],""))</f>
      </c>
      <c r="F58" s="3" t="s">
        <v>22</v>
      </c>
      <c r="G58">
        <f>IF([@StageTime]="","",HOUR([@StageTime])*3600 + MINUTE([@StageTime])*60 + SECOND([@StageTime]))</f>
      </c>
      <c r="H58">
        <f>IF([@StageSeconds]="","",RANK([@StageSeconds],tblStage1[StageSeconds],1))</f>
      </c>
      <c r="I58">
        <f>IF([@Position]="",0,XLOOKUP([@Position],Config!tblBonus[Place],Config!tblBonus[Stage1BonusSec],0))</f>
      </c>
      <c r="J58">
        <f>IF([@StageSeconds]="","",[@StageSeconds]-[@BonusSeconds])</f>
      </c>
      <c r="K58" s="3">
        <f>IF([@NetSeconds]="","",[@NetSeconds]/86400)</f>
      </c>
    </row>
    <row r="59" spans="1:11" x14ac:dyDescent="0.25">
      <c r="A59" t="s">
        <v>22</v>
      </c>
      <c r="B59">
        <f>IF([@Bib]="","",XLOOKUP([@Bib],tblReg[Bib],tblReg[Field],""))</f>
      </c>
      <c r="C59">
        <f>IF([@Bib]="","",XLOOKUP([@Bib],tblReg[Bib],tblReg[FirstName],""))</f>
      </c>
      <c r="D59">
        <f>IF([@Bib]="","",XLOOKUP([@Bib],tblReg[Bib],tblReg[LastName],""))</f>
      </c>
      <c r="E59">
        <f>IF([@Bib]="","",XLOOKUP([@Bib],tblReg[Bib],tblReg[Team],""))</f>
      </c>
      <c r="F59" s="3" t="s">
        <v>22</v>
      </c>
      <c r="G59">
        <f>IF([@StageTime]="","",HOUR([@StageTime])*3600 + MINUTE([@StageTime])*60 + SECOND([@StageTime]))</f>
      </c>
      <c r="H59">
        <f>IF([@StageSeconds]="","",RANK([@StageSeconds],tblStage1[StageSeconds],1))</f>
      </c>
      <c r="I59">
        <f>IF([@Position]="",0,XLOOKUP([@Position],Config!tblBonus[Place],Config!tblBonus[Stage1BonusSec],0))</f>
      </c>
      <c r="J59">
        <f>IF([@StageSeconds]="","",[@StageSeconds]-[@BonusSeconds])</f>
      </c>
      <c r="K59" s="3">
        <f>IF([@NetSeconds]="","",[@NetSeconds]/86400)</f>
      </c>
    </row>
    <row r="60" spans="1:11" x14ac:dyDescent="0.25">
      <c r="A60" t="s">
        <v>22</v>
      </c>
      <c r="B60">
        <f>IF([@Bib]="","",XLOOKUP([@Bib],tblReg[Bib],tblReg[Field],""))</f>
      </c>
      <c r="C60">
        <f>IF([@Bib]="","",XLOOKUP([@Bib],tblReg[Bib],tblReg[FirstName],""))</f>
      </c>
      <c r="D60">
        <f>IF([@Bib]="","",XLOOKUP([@Bib],tblReg[Bib],tblReg[LastName],""))</f>
      </c>
      <c r="E60">
        <f>IF([@Bib]="","",XLOOKUP([@Bib],tblReg[Bib],tblReg[Team],""))</f>
      </c>
      <c r="F60" s="3" t="s">
        <v>22</v>
      </c>
      <c r="G60">
        <f>IF([@StageTime]="","",HOUR([@StageTime])*3600 + MINUTE([@StageTime])*60 + SECOND([@StageTime]))</f>
      </c>
      <c r="H60">
        <f>IF([@StageSeconds]="","",RANK([@StageSeconds],tblStage1[StageSeconds],1))</f>
      </c>
      <c r="I60">
        <f>IF([@Position]="",0,XLOOKUP([@Position],Config!tblBonus[Place],Config!tblBonus[Stage1BonusSec],0))</f>
      </c>
      <c r="J60">
        <f>IF([@StageSeconds]="","",[@StageSeconds]-[@BonusSeconds])</f>
      </c>
      <c r="K60" s="3">
        <f>IF([@NetSeconds]="","",[@NetSeconds]/86400)</f>
      </c>
    </row>
    <row r="61" spans="1:11" x14ac:dyDescent="0.25">
      <c r="A61" t="s">
        <v>22</v>
      </c>
      <c r="B61">
        <f>IF([@Bib]="","",XLOOKUP([@Bib],tblReg[Bib],tblReg[Field],""))</f>
      </c>
      <c r="C61">
        <f>IF([@Bib]="","",XLOOKUP([@Bib],tblReg[Bib],tblReg[FirstName],""))</f>
      </c>
      <c r="D61">
        <f>IF([@Bib]="","",XLOOKUP([@Bib],tblReg[Bib],tblReg[LastName],""))</f>
      </c>
      <c r="E61">
        <f>IF([@Bib]="","",XLOOKUP([@Bib],tblReg[Bib],tblReg[Team],""))</f>
      </c>
      <c r="F61" s="3" t="s">
        <v>22</v>
      </c>
      <c r="G61">
        <f>IF([@StageTime]="","",HOUR([@StageTime])*3600 + MINUTE([@StageTime])*60 + SECOND([@StageTime]))</f>
      </c>
      <c r="H61">
        <f>IF([@StageSeconds]="","",RANK([@StageSeconds],tblStage1[StageSeconds],1))</f>
      </c>
      <c r="I61">
        <f>IF([@Position]="",0,XLOOKUP([@Position],Config!tblBonus[Place],Config!tblBonus[Stage1BonusSec],0))</f>
      </c>
      <c r="J61">
        <f>IF([@StageSeconds]="","",[@StageSeconds]-[@BonusSeconds])</f>
      </c>
      <c r="K61" s="3">
        <f>IF([@NetSeconds]="","",[@NetSeconds]/86400)</f>
      </c>
    </row>
    <row r="62" spans="1:11" x14ac:dyDescent="0.25">
      <c r="A62" t="s">
        <v>22</v>
      </c>
      <c r="B62">
        <f>IF([@Bib]="","",XLOOKUP([@Bib],tblReg[Bib],tblReg[Field],""))</f>
      </c>
      <c r="C62">
        <f>IF([@Bib]="","",XLOOKUP([@Bib],tblReg[Bib],tblReg[FirstName],""))</f>
      </c>
      <c r="D62">
        <f>IF([@Bib]="","",XLOOKUP([@Bib],tblReg[Bib],tblReg[LastName],""))</f>
      </c>
      <c r="E62">
        <f>IF([@Bib]="","",XLOOKUP([@Bib],tblReg[Bib],tblReg[Team],""))</f>
      </c>
      <c r="F62" s="3" t="s">
        <v>22</v>
      </c>
      <c r="G62">
        <f>IF([@StageTime]="","",HOUR([@StageTime])*3600 + MINUTE([@StageTime])*60 + SECOND([@StageTime]))</f>
      </c>
      <c r="H62">
        <f>IF([@StageSeconds]="","",RANK([@StageSeconds],tblStage1[StageSeconds],1))</f>
      </c>
      <c r="I62">
        <f>IF([@Position]="",0,XLOOKUP([@Position],Config!tblBonus[Place],Config!tblBonus[Stage1BonusSec],0))</f>
      </c>
      <c r="J62">
        <f>IF([@StageSeconds]="","",[@StageSeconds]-[@BonusSeconds])</f>
      </c>
      <c r="K62" s="3">
        <f>IF([@NetSeconds]="","",[@NetSeconds]/86400)</f>
      </c>
    </row>
    <row r="63" spans="1:11" x14ac:dyDescent="0.25">
      <c r="A63" t="s">
        <v>22</v>
      </c>
      <c r="B63">
        <f>IF([@Bib]="","",XLOOKUP([@Bib],tblReg[Bib],tblReg[Field],""))</f>
      </c>
      <c r="C63">
        <f>IF([@Bib]="","",XLOOKUP([@Bib],tblReg[Bib],tblReg[FirstName],""))</f>
      </c>
      <c r="D63">
        <f>IF([@Bib]="","",XLOOKUP([@Bib],tblReg[Bib],tblReg[LastName],""))</f>
      </c>
      <c r="E63">
        <f>IF([@Bib]="","",XLOOKUP([@Bib],tblReg[Bib],tblReg[Team],""))</f>
      </c>
      <c r="F63" s="3" t="s">
        <v>22</v>
      </c>
      <c r="G63">
        <f>IF([@StageTime]="","",HOUR([@StageTime])*3600 + MINUTE([@StageTime])*60 + SECOND([@StageTime]))</f>
      </c>
      <c r="H63">
        <f>IF([@StageSeconds]="","",RANK([@StageSeconds],tblStage1[StageSeconds],1))</f>
      </c>
      <c r="I63">
        <f>IF([@Position]="",0,XLOOKUP([@Position],Config!tblBonus[Place],Config!tblBonus[Stage1BonusSec],0))</f>
      </c>
      <c r="J63">
        <f>IF([@StageSeconds]="","",[@StageSeconds]-[@BonusSeconds])</f>
      </c>
      <c r="K63" s="3">
        <f>IF([@NetSeconds]="","",[@NetSeconds]/86400)</f>
      </c>
    </row>
    <row r="64" spans="1:11" x14ac:dyDescent="0.25">
      <c r="A64" t="s">
        <v>22</v>
      </c>
      <c r="B64">
        <f>IF([@Bib]="","",XLOOKUP([@Bib],tblReg[Bib],tblReg[Field],""))</f>
      </c>
      <c r="C64">
        <f>IF([@Bib]="","",XLOOKUP([@Bib],tblReg[Bib],tblReg[FirstName],""))</f>
      </c>
      <c r="D64">
        <f>IF([@Bib]="","",XLOOKUP([@Bib],tblReg[Bib],tblReg[LastName],""))</f>
      </c>
      <c r="E64">
        <f>IF([@Bib]="","",XLOOKUP([@Bib],tblReg[Bib],tblReg[Team],""))</f>
      </c>
      <c r="F64" s="3" t="s">
        <v>22</v>
      </c>
      <c r="G64">
        <f>IF([@StageTime]="","",HOUR([@StageTime])*3600 + MINUTE([@StageTime])*60 + SECOND([@StageTime]))</f>
      </c>
      <c r="H64">
        <f>IF([@StageSeconds]="","",RANK([@StageSeconds],tblStage1[StageSeconds],1))</f>
      </c>
      <c r="I64">
        <f>IF([@Position]="",0,XLOOKUP([@Position],Config!tblBonus[Place],Config!tblBonus[Stage1BonusSec],0))</f>
      </c>
      <c r="J64">
        <f>IF([@StageSeconds]="","",[@StageSeconds]-[@BonusSeconds])</f>
      </c>
      <c r="K64" s="3">
        <f>IF([@NetSeconds]="","",[@NetSeconds]/86400)</f>
      </c>
    </row>
    <row r="65" spans="1:11" x14ac:dyDescent="0.25">
      <c r="A65" t="s">
        <v>22</v>
      </c>
      <c r="B65">
        <f>IF([@Bib]="","",XLOOKUP([@Bib],tblReg[Bib],tblReg[Field],""))</f>
      </c>
      <c r="C65">
        <f>IF([@Bib]="","",XLOOKUP([@Bib],tblReg[Bib],tblReg[FirstName],""))</f>
      </c>
      <c r="D65">
        <f>IF([@Bib]="","",XLOOKUP([@Bib],tblReg[Bib],tblReg[LastName],""))</f>
      </c>
      <c r="E65">
        <f>IF([@Bib]="","",XLOOKUP([@Bib],tblReg[Bib],tblReg[Team],""))</f>
      </c>
      <c r="F65" s="3" t="s">
        <v>22</v>
      </c>
      <c r="G65">
        <f>IF([@StageTime]="","",HOUR([@StageTime])*3600 + MINUTE([@StageTime])*60 + SECOND([@StageTime]))</f>
      </c>
      <c r="H65">
        <f>IF([@StageSeconds]="","",RANK([@StageSeconds],tblStage1[StageSeconds],1))</f>
      </c>
      <c r="I65">
        <f>IF([@Position]="",0,XLOOKUP([@Position],Config!tblBonus[Place],Config!tblBonus[Stage1BonusSec],0))</f>
      </c>
      <c r="J65">
        <f>IF([@StageSeconds]="","",[@StageSeconds]-[@BonusSeconds])</f>
      </c>
      <c r="K65" s="3">
        <f>IF([@NetSeconds]="","",[@NetSeconds]/86400)</f>
      </c>
    </row>
    <row r="66" spans="1:11" x14ac:dyDescent="0.25">
      <c r="A66" t="s">
        <v>22</v>
      </c>
      <c r="B66">
        <f>IF([@Bib]="","",XLOOKUP([@Bib],tblReg[Bib],tblReg[Field],""))</f>
      </c>
      <c r="C66">
        <f>IF([@Bib]="","",XLOOKUP([@Bib],tblReg[Bib],tblReg[FirstName],""))</f>
      </c>
      <c r="D66">
        <f>IF([@Bib]="","",XLOOKUP([@Bib],tblReg[Bib],tblReg[LastName],""))</f>
      </c>
      <c r="E66">
        <f>IF([@Bib]="","",XLOOKUP([@Bib],tblReg[Bib],tblReg[Team],""))</f>
      </c>
      <c r="F66" s="3" t="s">
        <v>22</v>
      </c>
      <c r="G66">
        <f>IF([@StageTime]="","",HOUR([@StageTime])*3600 + MINUTE([@StageTime])*60 + SECOND([@StageTime]))</f>
      </c>
      <c r="H66">
        <f>IF([@StageSeconds]="","",RANK([@StageSeconds],tblStage1[StageSeconds],1))</f>
      </c>
      <c r="I66">
        <f>IF([@Position]="",0,XLOOKUP([@Position],Config!tblBonus[Place],Config!tblBonus[Stage1BonusSec],0))</f>
      </c>
      <c r="J66">
        <f>IF([@StageSeconds]="","",[@StageSeconds]-[@BonusSeconds])</f>
      </c>
      <c r="K66" s="3">
        <f>IF([@NetSeconds]="","",[@NetSeconds]/86400)</f>
      </c>
    </row>
    <row r="67" spans="1:11" x14ac:dyDescent="0.25">
      <c r="A67" t="s">
        <v>22</v>
      </c>
      <c r="B67">
        <f>IF([@Bib]="","",XLOOKUP([@Bib],tblReg[Bib],tblReg[Field],""))</f>
      </c>
      <c r="C67">
        <f>IF([@Bib]="","",XLOOKUP([@Bib],tblReg[Bib],tblReg[FirstName],""))</f>
      </c>
      <c r="D67">
        <f>IF([@Bib]="","",XLOOKUP([@Bib],tblReg[Bib],tblReg[LastName],""))</f>
      </c>
      <c r="E67">
        <f>IF([@Bib]="","",XLOOKUP([@Bib],tblReg[Bib],tblReg[Team],""))</f>
      </c>
      <c r="F67" s="3" t="s">
        <v>22</v>
      </c>
      <c r="G67">
        <f>IF([@StageTime]="","",HOUR([@StageTime])*3600 + MINUTE([@StageTime])*60 + SECOND([@StageTime]))</f>
      </c>
      <c r="H67">
        <f>IF([@StageSeconds]="","",RANK([@StageSeconds],tblStage1[StageSeconds],1))</f>
      </c>
      <c r="I67">
        <f>IF([@Position]="",0,XLOOKUP([@Position],Config!tblBonus[Place],Config!tblBonus[Stage1BonusSec],0))</f>
      </c>
      <c r="J67">
        <f>IF([@StageSeconds]="","",[@StageSeconds]-[@BonusSeconds])</f>
      </c>
      <c r="K67" s="3">
        <f>IF([@NetSeconds]="","",[@NetSeconds]/86400)</f>
      </c>
    </row>
    <row r="68" spans="1:11" x14ac:dyDescent="0.25">
      <c r="A68" t="s">
        <v>22</v>
      </c>
      <c r="B68">
        <f>IF([@Bib]="","",XLOOKUP([@Bib],tblReg[Bib],tblReg[Field],""))</f>
      </c>
      <c r="C68">
        <f>IF([@Bib]="","",XLOOKUP([@Bib],tblReg[Bib],tblReg[FirstName],""))</f>
      </c>
      <c r="D68">
        <f>IF([@Bib]="","",XLOOKUP([@Bib],tblReg[Bib],tblReg[LastName],""))</f>
      </c>
      <c r="E68">
        <f>IF([@Bib]="","",XLOOKUP([@Bib],tblReg[Bib],tblReg[Team],""))</f>
      </c>
      <c r="F68" s="3" t="s">
        <v>22</v>
      </c>
      <c r="G68">
        <f>IF([@StageTime]="","",HOUR([@StageTime])*3600 + MINUTE([@StageTime])*60 + SECOND([@StageTime]))</f>
      </c>
      <c r="H68">
        <f>IF([@StageSeconds]="","",RANK([@StageSeconds],tblStage1[StageSeconds],1))</f>
      </c>
      <c r="I68">
        <f>IF([@Position]="",0,XLOOKUP([@Position],Config!tblBonus[Place],Config!tblBonus[Stage1BonusSec],0))</f>
      </c>
      <c r="J68">
        <f>IF([@StageSeconds]="","",[@StageSeconds]-[@BonusSeconds])</f>
      </c>
      <c r="K68" s="3">
        <f>IF([@NetSeconds]="","",[@NetSeconds]/86400)</f>
      </c>
    </row>
    <row r="69" spans="1:11" x14ac:dyDescent="0.25">
      <c r="A69" t="s">
        <v>22</v>
      </c>
      <c r="B69">
        <f>IF([@Bib]="","",XLOOKUP([@Bib],tblReg[Bib],tblReg[Field],""))</f>
      </c>
      <c r="C69">
        <f>IF([@Bib]="","",XLOOKUP([@Bib],tblReg[Bib],tblReg[FirstName],""))</f>
      </c>
      <c r="D69">
        <f>IF([@Bib]="","",XLOOKUP([@Bib],tblReg[Bib],tblReg[LastName],""))</f>
      </c>
      <c r="E69">
        <f>IF([@Bib]="","",XLOOKUP([@Bib],tblReg[Bib],tblReg[Team],""))</f>
      </c>
      <c r="F69" s="3" t="s">
        <v>22</v>
      </c>
      <c r="G69">
        <f>IF([@StageTime]="","",HOUR([@StageTime])*3600 + MINUTE([@StageTime])*60 + SECOND([@StageTime]))</f>
      </c>
      <c r="H69">
        <f>IF([@StageSeconds]="","",RANK([@StageSeconds],tblStage1[StageSeconds],1))</f>
      </c>
      <c r="I69">
        <f>IF([@Position]="",0,XLOOKUP([@Position],Config!tblBonus[Place],Config!tblBonus[Stage1BonusSec],0))</f>
      </c>
      <c r="J69">
        <f>IF([@StageSeconds]="","",[@StageSeconds]-[@BonusSeconds])</f>
      </c>
      <c r="K69" s="3">
        <f>IF([@NetSeconds]="","",[@NetSeconds]/86400)</f>
      </c>
    </row>
    <row r="70" spans="1:11" x14ac:dyDescent="0.25">
      <c r="A70" t="s">
        <v>22</v>
      </c>
      <c r="B70">
        <f>IF([@Bib]="","",XLOOKUP([@Bib],tblReg[Bib],tblReg[Field],""))</f>
      </c>
      <c r="C70">
        <f>IF([@Bib]="","",XLOOKUP([@Bib],tblReg[Bib],tblReg[FirstName],""))</f>
      </c>
      <c r="D70">
        <f>IF([@Bib]="","",XLOOKUP([@Bib],tblReg[Bib],tblReg[LastName],""))</f>
      </c>
      <c r="E70">
        <f>IF([@Bib]="","",XLOOKUP([@Bib],tblReg[Bib],tblReg[Team],""))</f>
      </c>
      <c r="F70" s="3" t="s">
        <v>22</v>
      </c>
      <c r="G70">
        <f>IF([@StageTime]="","",HOUR([@StageTime])*3600 + MINUTE([@StageTime])*60 + SECOND([@StageTime]))</f>
      </c>
      <c r="H70">
        <f>IF([@StageSeconds]="","",RANK([@StageSeconds],tblStage1[StageSeconds],1))</f>
      </c>
      <c r="I70">
        <f>IF([@Position]="",0,XLOOKUP([@Position],Config!tblBonus[Place],Config!tblBonus[Stage1BonusSec],0))</f>
      </c>
      <c r="J70">
        <f>IF([@StageSeconds]="","",[@StageSeconds]-[@BonusSeconds])</f>
      </c>
      <c r="K70" s="3">
        <f>IF([@NetSeconds]="","",[@NetSeconds]/86400)</f>
      </c>
    </row>
    <row r="71" spans="1:11" x14ac:dyDescent="0.25">
      <c r="A71" t="s">
        <v>22</v>
      </c>
      <c r="B71">
        <f>IF([@Bib]="","",XLOOKUP([@Bib],tblReg[Bib],tblReg[Field],""))</f>
      </c>
      <c r="C71">
        <f>IF([@Bib]="","",XLOOKUP([@Bib],tblReg[Bib],tblReg[FirstName],""))</f>
      </c>
      <c r="D71">
        <f>IF([@Bib]="","",XLOOKUP([@Bib],tblReg[Bib],tblReg[LastName],""))</f>
      </c>
      <c r="E71">
        <f>IF([@Bib]="","",XLOOKUP([@Bib],tblReg[Bib],tblReg[Team],""))</f>
      </c>
      <c r="F71" s="3" t="s">
        <v>22</v>
      </c>
      <c r="G71">
        <f>IF([@StageTime]="","",HOUR([@StageTime])*3600 + MINUTE([@StageTime])*60 + SECOND([@StageTime]))</f>
      </c>
      <c r="H71">
        <f>IF([@StageSeconds]="","",RANK([@StageSeconds],tblStage1[StageSeconds],1))</f>
      </c>
      <c r="I71">
        <f>IF([@Position]="",0,XLOOKUP([@Position],Config!tblBonus[Place],Config!tblBonus[Stage1BonusSec],0))</f>
      </c>
      <c r="J71">
        <f>IF([@StageSeconds]="","",[@StageSeconds]-[@BonusSeconds])</f>
      </c>
      <c r="K71" s="3">
        <f>IF([@NetSeconds]="","",[@NetSeconds]/86400)</f>
      </c>
    </row>
    <row r="72" spans="1:11" x14ac:dyDescent="0.25">
      <c r="A72" t="s">
        <v>22</v>
      </c>
      <c r="B72">
        <f>IF([@Bib]="","",XLOOKUP([@Bib],tblReg[Bib],tblReg[Field],""))</f>
      </c>
      <c r="C72">
        <f>IF([@Bib]="","",XLOOKUP([@Bib],tblReg[Bib],tblReg[FirstName],""))</f>
      </c>
      <c r="D72">
        <f>IF([@Bib]="","",XLOOKUP([@Bib],tblReg[Bib],tblReg[LastName],""))</f>
      </c>
      <c r="E72">
        <f>IF([@Bib]="","",XLOOKUP([@Bib],tblReg[Bib],tblReg[Team],""))</f>
      </c>
      <c r="F72" s="3" t="s">
        <v>22</v>
      </c>
      <c r="G72">
        <f>IF([@StageTime]="","",HOUR([@StageTime])*3600 + MINUTE([@StageTime])*60 + SECOND([@StageTime]))</f>
      </c>
      <c r="H72">
        <f>IF([@StageSeconds]="","",RANK([@StageSeconds],tblStage1[StageSeconds],1))</f>
      </c>
      <c r="I72">
        <f>IF([@Position]="",0,XLOOKUP([@Position],Config!tblBonus[Place],Config!tblBonus[Stage1BonusSec],0))</f>
      </c>
      <c r="J72">
        <f>IF([@StageSeconds]="","",[@StageSeconds]-[@BonusSeconds])</f>
      </c>
      <c r="K72" s="3">
        <f>IF([@NetSeconds]="","",[@NetSeconds]/86400)</f>
      </c>
    </row>
    <row r="73" spans="1:11" x14ac:dyDescent="0.25">
      <c r="A73" t="s">
        <v>22</v>
      </c>
      <c r="B73">
        <f>IF([@Bib]="","",XLOOKUP([@Bib],tblReg[Bib],tblReg[Field],""))</f>
      </c>
      <c r="C73">
        <f>IF([@Bib]="","",XLOOKUP([@Bib],tblReg[Bib],tblReg[FirstName],""))</f>
      </c>
      <c r="D73">
        <f>IF([@Bib]="","",XLOOKUP([@Bib],tblReg[Bib],tblReg[LastName],""))</f>
      </c>
      <c r="E73">
        <f>IF([@Bib]="","",XLOOKUP([@Bib],tblReg[Bib],tblReg[Team],""))</f>
      </c>
      <c r="F73" s="3" t="s">
        <v>22</v>
      </c>
      <c r="G73">
        <f>IF([@StageTime]="","",HOUR([@StageTime])*3600 + MINUTE([@StageTime])*60 + SECOND([@StageTime]))</f>
      </c>
      <c r="H73">
        <f>IF([@StageSeconds]="","",RANK([@StageSeconds],tblStage1[StageSeconds],1))</f>
      </c>
      <c r="I73">
        <f>IF([@Position]="",0,XLOOKUP([@Position],Config!tblBonus[Place],Config!tblBonus[Stage1BonusSec],0))</f>
      </c>
      <c r="J73">
        <f>IF([@StageSeconds]="","",[@StageSeconds]-[@BonusSeconds])</f>
      </c>
      <c r="K73" s="3">
        <f>IF([@NetSeconds]="","",[@NetSeconds]/86400)</f>
      </c>
    </row>
    <row r="74" spans="1:11" x14ac:dyDescent="0.25">
      <c r="A74" t="s">
        <v>22</v>
      </c>
      <c r="B74">
        <f>IF([@Bib]="","",XLOOKUP([@Bib],tblReg[Bib],tblReg[Field],""))</f>
      </c>
      <c r="C74">
        <f>IF([@Bib]="","",XLOOKUP([@Bib],tblReg[Bib],tblReg[FirstName],""))</f>
      </c>
      <c r="D74">
        <f>IF([@Bib]="","",XLOOKUP([@Bib],tblReg[Bib],tblReg[LastName],""))</f>
      </c>
      <c r="E74">
        <f>IF([@Bib]="","",XLOOKUP([@Bib],tblReg[Bib],tblReg[Team],""))</f>
      </c>
      <c r="F74" s="3" t="s">
        <v>22</v>
      </c>
      <c r="G74">
        <f>IF([@StageTime]="","",HOUR([@StageTime])*3600 + MINUTE([@StageTime])*60 + SECOND([@StageTime]))</f>
      </c>
      <c r="H74">
        <f>IF([@StageSeconds]="","",RANK([@StageSeconds],tblStage1[StageSeconds],1))</f>
      </c>
      <c r="I74">
        <f>IF([@Position]="",0,XLOOKUP([@Position],Config!tblBonus[Place],Config!tblBonus[Stage1BonusSec],0))</f>
      </c>
      <c r="J74">
        <f>IF([@StageSeconds]="","",[@StageSeconds]-[@BonusSeconds])</f>
      </c>
      <c r="K74" s="3">
        <f>IF([@NetSeconds]="","",[@NetSeconds]/86400)</f>
      </c>
    </row>
    <row r="75" spans="1:11" x14ac:dyDescent="0.25">
      <c r="A75" t="s">
        <v>22</v>
      </c>
      <c r="B75">
        <f>IF([@Bib]="","",XLOOKUP([@Bib],tblReg[Bib],tblReg[Field],""))</f>
      </c>
      <c r="C75">
        <f>IF([@Bib]="","",XLOOKUP([@Bib],tblReg[Bib],tblReg[FirstName],""))</f>
      </c>
      <c r="D75">
        <f>IF([@Bib]="","",XLOOKUP([@Bib],tblReg[Bib],tblReg[LastName],""))</f>
      </c>
      <c r="E75">
        <f>IF([@Bib]="","",XLOOKUP([@Bib],tblReg[Bib],tblReg[Team],""))</f>
      </c>
      <c r="F75" s="3" t="s">
        <v>22</v>
      </c>
      <c r="G75">
        <f>IF([@StageTime]="","",HOUR([@StageTime])*3600 + MINUTE([@StageTime])*60 + SECOND([@StageTime]))</f>
      </c>
      <c r="H75">
        <f>IF([@StageSeconds]="","",RANK([@StageSeconds],tblStage1[StageSeconds],1))</f>
      </c>
      <c r="I75">
        <f>IF([@Position]="",0,XLOOKUP([@Position],Config!tblBonus[Place],Config!tblBonus[Stage1BonusSec],0))</f>
      </c>
      <c r="J75">
        <f>IF([@StageSeconds]="","",[@StageSeconds]-[@BonusSeconds])</f>
      </c>
      <c r="K75" s="3">
        <f>IF([@NetSeconds]="","",[@NetSeconds]/86400)</f>
      </c>
    </row>
    <row r="76" spans="1:11" x14ac:dyDescent="0.25">
      <c r="A76" t="s">
        <v>22</v>
      </c>
      <c r="B76">
        <f>IF([@Bib]="","",XLOOKUP([@Bib],tblReg[Bib],tblReg[Field],""))</f>
      </c>
      <c r="C76">
        <f>IF([@Bib]="","",XLOOKUP([@Bib],tblReg[Bib],tblReg[FirstName],""))</f>
      </c>
      <c r="D76">
        <f>IF([@Bib]="","",XLOOKUP([@Bib],tblReg[Bib],tblReg[LastName],""))</f>
      </c>
      <c r="E76">
        <f>IF([@Bib]="","",XLOOKUP([@Bib],tblReg[Bib],tblReg[Team],""))</f>
      </c>
      <c r="F76" s="3" t="s">
        <v>22</v>
      </c>
      <c r="G76">
        <f>IF([@StageTime]="","",HOUR([@StageTime])*3600 + MINUTE([@StageTime])*60 + SECOND([@StageTime]))</f>
      </c>
      <c r="H76">
        <f>IF([@StageSeconds]="","",RANK([@StageSeconds],tblStage1[StageSeconds],1))</f>
      </c>
      <c r="I76">
        <f>IF([@Position]="",0,XLOOKUP([@Position],Config!tblBonus[Place],Config!tblBonus[Stage1BonusSec],0))</f>
      </c>
      <c r="J76">
        <f>IF([@StageSeconds]="","",[@StageSeconds]-[@BonusSeconds])</f>
      </c>
      <c r="K76" s="3">
        <f>IF([@NetSeconds]="","",[@NetSeconds]/86400)</f>
      </c>
    </row>
    <row r="77" spans="1:11" x14ac:dyDescent="0.25">
      <c r="A77" t="s">
        <v>22</v>
      </c>
      <c r="B77">
        <f>IF([@Bib]="","",XLOOKUP([@Bib],tblReg[Bib],tblReg[Field],""))</f>
      </c>
      <c r="C77">
        <f>IF([@Bib]="","",XLOOKUP([@Bib],tblReg[Bib],tblReg[FirstName],""))</f>
      </c>
      <c r="D77">
        <f>IF([@Bib]="","",XLOOKUP([@Bib],tblReg[Bib],tblReg[LastName],""))</f>
      </c>
      <c r="E77">
        <f>IF([@Bib]="","",XLOOKUP([@Bib],tblReg[Bib],tblReg[Team],""))</f>
      </c>
      <c r="F77" s="3" t="s">
        <v>22</v>
      </c>
      <c r="G77">
        <f>IF([@StageTime]="","",HOUR([@StageTime])*3600 + MINUTE([@StageTime])*60 + SECOND([@StageTime]))</f>
      </c>
      <c r="H77">
        <f>IF([@StageSeconds]="","",RANK([@StageSeconds],tblStage1[StageSeconds],1))</f>
      </c>
      <c r="I77">
        <f>IF([@Position]="",0,XLOOKUP([@Position],Config!tblBonus[Place],Config!tblBonus[Stage1BonusSec],0))</f>
      </c>
      <c r="J77">
        <f>IF([@StageSeconds]="","",[@StageSeconds]-[@BonusSeconds])</f>
      </c>
      <c r="K77" s="3">
        <f>IF([@NetSeconds]="","",[@NetSeconds]/86400)</f>
      </c>
    </row>
    <row r="78" spans="1:11" x14ac:dyDescent="0.25">
      <c r="A78" t="s">
        <v>22</v>
      </c>
      <c r="B78">
        <f>IF([@Bib]="","",XLOOKUP([@Bib],tblReg[Bib],tblReg[Field],""))</f>
      </c>
      <c r="C78">
        <f>IF([@Bib]="","",XLOOKUP([@Bib],tblReg[Bib],tblReg[FirstName],""))</f>
      </c>
      <c r="D78">
        <f>IF([@Bib]="","",XLOOKUP([@Bib],tblReg[Bib],tblReg[LastName],""))</f>
      </c>
      <c r="E78">
        <f>IF([@Bib]="","",XLOOKUP([@Bib],tblReg[Bib],tblReg[Team],""))</f>
      </c>
      <c r="F78" s="3" t="s">
        <v>22</v>
      </c>
      <c r="G78">
        <f>IF([@StageTime]="","",HOUR([@StageTime])*3600 + MINUTE([@StageTime])*60 + SECOND([@StageTime]))</f>
      </c>
      <c r="H78">
        <f>IF([@StageSeconds]="","",RANK([@StageSeconds],tblStage1[StageSeconds],1))</f>
      </c>
      <c r="I78">
        <f>IF([@Position]="",0,XLOOKUP([@Position],Config!tblBonus[Place],Config!tblBonus[Stage1BonusSec],0))</f>
      </c>
      <c r="J78">
        <f>IF([@StageSeconds]="","",[@StageSeconds]-[@BonusSeconds])</f>
      </c>
      <c r="K78" s="3">
        <f>IF([@NetSeconds]="","",[@NetSeconds]/86400)</f>
      </c>
    </row>
    <row r="79" spans="1:11" x14ac:dyDescent="0.25">
      <c r="A79" t="s">
        <v>22</v>
      </c>
      <c r="B79">
        <f>IF([@Bib]="","",XLOOKUP([@Bib],tblReg[Bib],tblReg[Field],""))</f>
      </c>
      <c r="C79">
        <f>IF([@Bib]="","",XLOOKUP([@Bib],tblReg[Bib],tblReg[FirstName],""))</f>
      </c>
      <c r="D79">
        <f>IF([@Bib]="","",XLOOKUP([@Bib],tblReg[Bib],tblReg[LastName],""))</f>
      </c>
      <c r="E79">
        <f>IF([@Bib]="","",XLOOKUP([@Bib],tblReg[Bib],tblReg[Team],""))</f>
      </c>
      <c r="F79" s="3" t="s">
        <v>22</v>
      </c>
      <c r="G79">
        <f>IF([@StageTime]="","",HOUR([@StageTime])*3600 + MINUTE([@StageTime])*60 + SECOND([@StageTime]))</f>
      </c>
      <c r="H79">
        <f>IF([@StageSeconds]="","",RANK([@StageSeconds],tblStage1[StageSeconds],1))</f>
      </c>
      <c r="I79">
        <f>IF([@Position]="",0,XLOOKUP([@Position],Config!tblBonus[Place],Config!tblBonus[Stage1BonusSec],0))</f>
      </c>
      <c r="J79">
        <f>IF([@StageSeconds]="","",[@StageSeconds]-[@BonusSeconds])</f>
      </c>
      <c r="K79" s="3">
        <f>IF([@NetSeconds]="","",[@NetSeconds]/86400)</f>
      </c>
    </row>
    <row r="80" spans="1:11" x14ac:dyDescent="0.25">
      <c r="A80" t="s">
        <v>22</v>
      </c>
      <c r="B80">
        <f>IF([@Bib]="","",XLOOKUP([@Bib],tblReg[Bib],tblReg[Field],""))</f>
      </c>
      <c r="C80">
        <f>IF([@Bib]="","",XLOOKUP([@Bib],tblReg[Bib],tblReg[FirstName],""))</f>
      </c>
      <c r="D80">
        <f>IF([@Bib]="","",XLOOKUP([@Bib],tblReg[Bib],tblReg[LastName],""))</f>
      </c>
      <c r="E80">
        <f>IF([@Bib]="","",XLOOKUP([@Bib],tblReg[Bib],tblReg[Team],""))</f>
      </c>
      <c r="F80" s="3" t="s">
        <v>22</v>
      </c>
      <c r="G80">
        <f>IF([@StageTime]="","",HOUR([@StageTime])*3600 + MINUTE([@StageTime])*60 + SECOND([@StageTime]))</f>
      </c>
      <c r="H80">
        <f>IF([@StageSeconds]="","",RANK([@StageSeconds],tblStage1[StageSeconds],1))</f>
      </c>
      <c r="I80">
        <f>IF([@Position]="",0,XLOOKUP([@Position],Config!tblBonus[Place],Config!tblBonus[Stage1BonusSec],0))</f>
      </c>
      <c r="J80">
        <f>IF([@StageSeconds]="","",[@StageSeconds]-[@BonusSeconds])</f>
      </c>
      <c r="K80" s="3">
        <f>IF([@NetSeconds]="","",[@NetSeconds]/86400)</f>
      </c>
    </row>
    <row r="81" spans="1:11" x14ac:dyDescent="0.25">
      <c r="A81" t="s">
        <v>22</v>
      </c>
      <c r="B81">
        <f>IF([@Bib]="","",XLOOKUP([@Bib],tblReg[Bib],tblReg[Field],""))</f>
      </c>
      <c r="C81">
        <f>IF([@Bib]="","",XLOOKUP([@Bib],tblReg[Bib],tblReg[FirstName],""))</f>
      </c>
      <c r="D81">
        <f>IF([@Bib]="","",XLOOKUP([@Bib],tblReg[Bib],tblReg[LastName],""))</f>
      </c>
      <c r="E81">
        <f>IF([@Bib]="","",XLOOKUP([@Bib],tblReg[Bib],tblReg[Team],""))</f>
      </c>
      <c r="F81" s="3" t="s">
        <v>22</v>
      </c>
      <c r="G81">
        <f>IF([@StageTime]="","",HOUR([@StageTime])*3600 + MINUTE([@StageTime])*60 + SECOND([@StageTime]))</f>
      </c>
      <c r="H81">
        <f>IF([@StageSeconds]="","",RANK([@StageSeconds],tblStage1[StageSeconds],1))</f>
      </c>
      <c r="I81">
        <f>IF([@Position]="",0,XLOOKUP([@Position],Config!tblBonus[Place],Config!tblBonus[Stage1BonusSec],0))</f>
      </c>
      <c r="J81">
        <f>IF([@StageSeconds]="","",[@StageSeconds]-[@BonusSeconds])</f>
      </c>
      <c r="K81" s="3">
        <f>IF([@NetSeconds]="","",[@NetSeconds]/86400)</f>
      </c>
    </row>
    <row r="82" spans="1:11" x14ac:dyDescent="0.25">
      <c r="A82" t="s">
        <v>22</v>
      </c>
      <c r="B82">
        <f>IF([@Bib]="","",XLOOKUP([@Bib],tblReg[Bib],tblReg[Field],""))</f>
      </c>
      <c r="C82">
        <f>IF([@Bib]="","",XLOOKUP([@Bib],tblReg[Bib],tblReg[FirstName],""))</f>
      </c>
      <c r="D82">
        <f>IF([@Bib]="","",XLOOKUP([@Bib],tblReg[Bib],tblReg[LastName],""))</f>
      </c>
      <c r="E82">
        <f>IF([@Bib]="","",XLOOKUP([@Bib],tblReg[Bib],tblReg[Team],""))</f>
      </c>
      <c r="F82" s="3" t="s">
        <v>22</v>
      </c>
      <c r="G82">
        <f>IF([@StageTime]="","",HOUR([@StageTime])*3600 + MINUTE([@StageTime])*60 + SECOND([@StageTime]))</f>
      </c>
      <c r="H82">
        <f>IF([@StageSeconds]="","",RANK([@StageSeconds],tblStage1[StageSeconds],1))</f>
      </c>
      <c r="I82">
        <f>IF([@Position]="",0,XLOOKUP([@Position],Config!tblBonus[Place],Config!tblBonus[Stage1BonusSec],0))</f>
      </c>
      <c r="J82">
        <f>IF([@StageSeconds]="","",[@StageSeconds]-[@BonusSeconds])</f>
      </c>
      <c r="K82" s="3">
        <f>IF([@NetSeconds]="","",[@NetSeconds]/86400)</f>
      </c>
    </row>
    <row r="83" spans="1:11" x14ac:dyDescent="0.25">
      <c r="A83" t="s">
        <v>22</v>
      </c>
      <c r="B83">
        <f>IF([@Bib]="","",XLOOKUP([@Bib],tblReg[Bib],tblReg[Field],""))</f>
      </c>
      <c r="C83">
        <f>IF([@Bib]="","",XLOOKUP([@Bib],tblReg[Bib],tblReg[FirstName],""))</f>
      </c>
      <c r="D83">
        <f>IF([@Bib]="","",XLOOKUP([@Bib],tblReg[Bib],tblReg[LastName],""))</f>
      </c>
      <c r="E83">
        <f>IF([@Bib]="","",XLOOKUP([@Bib],tblReg[Bib],tblReg[Team],""))</f>
      </c>
      <c r="F83" s="3" t="s">
        <v>22</v>
      </c>
      <c r="G83">
        <f>IF([@StageTime]="","",HOUR([@StageTime])*3600 + MINUTE([@StageTime])*60 + SECOND([@StageTime]))</f>
      </c>
      <c r="H83">
        <f>IF([@StageSeconds]="","",RANK([@StageSeconds],tblStage1[StageSeconds],1))</f>
      </c>
      <c r="I83">
        <f>IF([@Position]="",0,XLOOKUP([@Position],Config!tblBonus[Place],Config!tblBonus[Stage1BonusSec],0))</f>
      </c>
      <c r="J83">
        <f>IF([@StageSeconds]="","",[@StageSeconds]-[@BonusSeconds])</f>
      </c>
      <c r="K83" s="3">
        <f>IF([@NetSeconds]="","",[@NetSeconds]/86400)</f>
      </c>
    </row>
    <row r="84" spans="1:11" x14ac:dyDescent="0.25">
      <c r="A84" t="s">
        <v>22</v>
      </c>
      <c r="B84">
        <f>IF([@Bib]="","",XLOOKUP([@Bib],tblReg[Bib],tblReg[Field],""))</f>
      </c>
      <c r="C84">
        <f>IF([@Bib]="","",XLOOKUP([@Bib],tblReg[Bib],tblReg[FirstName],""))</f>
      </c>
      <c r="D84">
        <f>IF([@Bib]="","",XLOOKUP([@Bib],tblReg[Bib],tblReg[LastName],""))</f>
      </c>
      <c r="E84">
        <f>IF([@Bib]="","",XLOOKUP([@Bib],tblReg[Bib],tblReg[Team],""))</f>
      </c>
      <c r="F84" s="3" t="s">
        <v>22</v>
      </c>
      <c r="G84">
        <f>IF([@StageTime]="","",HOUR([@StageTime])*3600 + MINUTE([@StageTime])*60 + SECOND([@StageTime]))</f>
      </c>
      <c r="H84">
        <f>IF([@StageSeconds]="","",RANK([@StageSeconds],tblStage1[StageSeconds],1))</f>
      </c>
      <c r="I84">
        <f>IF([@Position]="",0,XLOOKUP([@Position],Config!tblBonus[Place],Config!tblBonus[Stage1BonusSec],0))</f>
      </c>
      <c r="J84">
        <f>IF([@StageSeconds]="","",[@StageSeconds]-[@BonusSeconds])</f>
      </c>
      <c r="K84" s="3">
        <f>IF([@NetSeconds]="","",[@NetSeconds]/86400)</f>
      </c>
    </row>
    <row r="85" spans="1:11" x14ac:dyDescent="0.25">
      <c r="A85" t="s">
        <v>22</v>
      </c>
      <c r="B85">
        <f>IF([@Bib]="","",XLOOKUP([@Bib],tblReg[Bib],tblReg[Field],""))</f>
      </c>
      <c r="C85">
        <f>IF([@Bib]="","",XLOOKUP([@Bib],tblReg[Bib],tblReg[FirstName],""))</f>
      </c>
      <c r="D85">
        <f>IF([@Bib]="","",XLOOKUP([@Bib],tblReg[Bib],tblReg[LastName],""))</f>
      </c>
      <c r="E85">
        <f>IF([@Bib]="","",XLOOKUP([@Bib],tblReg[Bib],tblReg[Team],""))</f>
      </c>
      <c r="F85" s="3" t="s">
        <v>22</v>
      </c>
      <c r="G85">
        <f>IF([@StageTime]="","",HOUR([@StageTime])*3600 + MINUTE([@StageTime])*60 + SECOND([@StageTime]))</f>
      </c>
      <c r="H85">
        <f>IF([@StageSeconds]="","",RANK([@StageSeconds],tblStage1[StageSeconds],1))</f>
      </c>
      <c r="I85">
        <f>IF([@Position]="",0,XLOOKUP([@Position],Config!tblBonus[Place],Config!tblBonus[Stage1BonusSec],0))</f>
      </c>
      <c r="J85">
        <f>IF([@StageSeconds]="","",[@StageSeconds]-[@BonusSeconds])</f>
      </c>
      <c r="K85" s="3">
        <f>IF([@NetSeconds]="","",[@NetSeconds]/86400)</f>
      </c>
    </row>
    <row r="86" spans="1:11" x14ac:dyDescent="0.25">
      <c r="A86" t="s">
        <v>22</v>
      </c>
      <c r="B86">
        <f>IF([@Bib]="","",XLOOKUP([@Bib],tblReg[Bib],tblReg[Field],""))</f>
      </c>
      <c r="C86">
        <f>IF([@Bib]="","",XLOOKUP([@Bib],tblReg[Bib],tblReg[FirstName],""))</f>
      </c>
      <c r="D86">
        <f>IF([@Bib]="","",XLOOKUP([@Bib],tblReg[Bib],tblReg[LastName],""))</f>
      </c>
      <c r="E86">
        <f>IF([@Bib]="","",XLOOKUP([@Bib],tblReg[Bib],tblReg[Team],""))</f>
      </c>
      <c r="F86" s="3" t="s">
        <v>22</v>
      </c>
      <c r="G86">
        <f>IF([@StageTime]="","",HOUR([@StageTime])*3600 + MINUTE([@StageTime])*60 + SECOND([@StageTime]))</f>
      </c>
      <c r="H86">
        <f>IF([@StageSeconds]="","",RANK([@StageSeconds],tblStage1[StageSeconds],1))</f>
      </c>
      <c r="I86">
        <f>IF([@Position]="",0,XLOOKUP([@Position],Config!tblBonus[Place],Config!tblBonus[Stage1BonusSec],0))</f>
      </c>
      <c r="J86">
        <f>IF([@StageSeconds]="","",[@StageSeconds]-[@BonusSeconds])</f>
      </c>
      <c r="K86" s="3">
        <f>IF([@NetSeconds]="","",[@NetSeconds]/86400)</f>
      </c>
    </row>
    <row r="87" spans="1:11" x14ac:dyDescent="0.25">
      <c r="A87" t="s">
        <v>22</v>
      </c>
      <c r="B87">
        <f>IF([@Bib]="","",XLOOKUP([@Bib],tblReg[Bib],tblReg[Field],""))</f>
      </c>
      <c r="C87">
        <f>IF([@Bib]="","",XLOOKUP([@Bib],tblReg[Bib],tblReg[FirstName],""))</f>
      </c>
      <c r="D87">
        <f>IF([@Bib]="","",XLOOKUP([@Bib],tblReg[Bib],tblReg[LastName],""))</f>
      </c>
      <c r="E87">
        <f>IF([@Bib]="","",XLOOKUP([@Bib],tblReg[Bib],tblReg[Team],""))</f>
      </c>
      <c r="F87" s="3" t="s">
        <v>22</v>
      </c>
      <c r="G87">
        <f>IF([@StageTime]="","",HOUR([@StageTime])*3600 + MINUTE([@StageTime])*60 + SECOND([@StageTime]))</f>
      </c>
      <c r="H87">
        <f>IF([@StageSeconds]="","",RANK([@StageSeconds],tblStage1[StageSeconds],1))</f>
      </c>
      <c r="I87">
        <f>IF([@Position]="",0,XLOOKUP([@Position],Config!tblBonus[Place],Config!tblBonus[Stage1BonusSec],0))</f>
      </c>
      <c r="J87">
        <f>IF([@StageSeconds]="","",[@StageSeconds]-[@BonusSeconds])</f>
      </c>
      <c r="K87" s="3">
        <f>IF([@NetSeconds]="","",[@NetSeconds]/86400)</f>
      </c>
    </row>
    <row r="88" spans="1:11" x14ac:dyDescent="0.25">
      <c r="A88" t="s">
        <v>22</v>
      </c>
      <c r="B88">
        <f>IF([@Bib]="","",XLOOKUP([@Bib],tblReg[Bib],tblReg[Field],""))</f>
      </c>
      <c r="C88">
        <f>IF([@Bib]="","",XLOOKUP([@Bib],tblReg[Bib],tblReg[FirstName],""))</f>
      </c>
      <c r="D88">
        <f>IF([@Bib]="","",XLOOKUP([@Bib],tblReg[Bib],tblReg[LastName],""))</f>
      </c>
      <c r="E88">
        <f>IF([@Bib]="","",XLOOKUP([@Bib],tblReg[Bib],tblReg[Team],""))</f>
      </c>
      <c r="F88" s="3" t="s">
        <v>22</v>
      </c>
      <c r="G88">
        <f>IF([@StageTime]="","",HOUR([@StageTime])*3600 + MINUTE([@StageTime])*60 + SECOND([@StageTime]))</f>
      </c>
      <c r="H88">
        <f>IF([@StageSeconds]="","",RANK([@StageSeconds],tblStage1[StageSeconds],1))</f>
      </c>
      <c r="I88">
        <f>IF([@Position]="",0,XLOOKUP([@Position],Config!tblBonus[Place],Config!tblBonus[Stage1BonusSec],0))</f>
      </c>
      <c r="J88">
        <f>IF([@StageSeconds]="","",[@StageSeconds]-[@BonusSeconds])</f>
      </c>
      <c r="K88" s="3">
        <f>IF([@NetSeconds]="","",[@NetSeconds]/86400)</f>
      </c>
    </row>
    <row r="89" spans="1:11" x14ac:dyDescent="0.25">
      <c r="A89" t="s">
        <v>22</v>
      </c>
      <c r="B89">
        <f>IF([@Bib]="","",XLOOKUP([@Bib],tblReg[Bib],tblReg[Field],""))</f>
      </c>
      <c r="C89">
        <f>IF([@Bib]="","",XLOOKUP([@Bib],tblReg[Bib],tblReg[FirstName],""))</f>
      </c>
      <c r="D89">
        <f>IF([@Bib]="","",XLOOKUP([@Bib],tblReg[Bib],tblReg[LastName],""))</f>
      </c>
      <c r="E89">
        <f>IF([@Bib]="","",XLOOKUP([@Bib],tblReg[Bib],tblReg[Team],""))</f>
      </c>
      <c r="F89" s="3" t="s">
        <v>22</v>
      </c>
      <c r="G89">
        <f>IF([@StageTime]="","",HOUR([@StageTime])*3600 + MINUTE([@StageTime])*60 + SECOND([@StageTime]))</f>
      </c>
      <c r="H89">
        <f>IF([@StageSeconds]="","",RANK([@StageSeconds],tblStage1[StageSeconds],1))</f>
      </c>
      <c r="I89">
        <f>IF([@Position]="",0,XLOOKUP([@Position],Config!tblBonus[Place],Config!tblBonus[Stage1BonusSec],0))</f>
      </c>
      <c r="J89">
        <f>IF([@StageSeconds]="","",[@StageSeconds]-[@BonusSeconds])</f>
      </c>
      <c r="K89" s="3">
        <f>IF([@NetSeconds]="","",[@NetSeconds]/86400)</f>
      </c>
    </row>
    <row r="90" spans="1:11" x14ac:dyDescent="0.25">
      <c r="A90" t="s">
        <v>22</v>
      </c>
      <c r="B90">
        <f>IF([@Bib]="","",XLOOKUP([@Bib],tblReg[Bib],tblReg[Field],""))</f>
      </c>
      <c r="C90">
        <f>IF([@Bib]="","",XLOOKUP([@Bib],tblReg[Bib],tblReg[FirstName],""))</f>
      </c>
      <c r="D90">
        <f>IF([@Bib]="","",XLOOKUP([@Bib],tblReg[Bib],tblReg[LastName],""))</f>
      </c>
      <c r="E90">
        <f>IF([@Bib]="","",XLOOKUP([@Bib],tblReg[Bib],tblReg[Team],""))</f>
      </c>
      <c r="F90" s="3" t="s">
        <v>22</v>
      </c>
      <c r="G90">
        <f>IF([@StageTime]="","",HOUR([@StageTime])*3600 + MINUTE([@StageTime])*60 + SECOND([@StageTime]))</f>
      </c>
      <c r="H90">
        <f>IF([@StageSeconds]="","",RANK([@StageSeconds],tblStage1[StageSeconds],1))</f>
      </c>
      <c r="I90">
        <f>IF([@Position]="",0,XLOOKUP([@Position],Config!tblBonus[Place],Config!tblBonus[Stage1BonusSec],0))</f>
      </c>
      <c r="J90">
        <f>IF([@StageSeconds]="","",[@StageSeconds]-[@BonusSeconds])</f>
      </c>
      <c r="K90" s="3">
        <f>IF([@NetSeconds]="","",[@NetSeconds]/86400)</f>
      </c>
    </row>
    <row r="91" spans="1:11" x14ac:dyDescent="0.25">
      <c r="A91" t="s">
        <v>22</v>
      </c>
      <c r="B91">
        <f>IF([@Bib]="","",XLOOKUP([@Bib],tblReg[Bib],tblReg[Field],""))</f>
      </c>
      <c r="C91">
        <f>IF([@Bib]="","",XLOOKUP([@Bib],tblReg[Bib],tblReg[FirstName],""))</f>
      </c>
      <c r="D91">
        <f>IF([@Bib]="","",XLOOKUP([@Bib],tblReg[Bib],tblReg[LastName],""))</f>
      </c>
      <c r="E91">
        <f>IF([@Bib]="","",XLOOKUP([@Bib],tblReg[Bib],tblReg[Team],""))</f>
      </c>
      <c r="F91" s="3" t="s">
        <v>22</v>
      </c>
      <c r="G91">
        <f>IF([@StageTime]="","",HOUR([@StageTime])*3600 + MINUTE([@StageTime])*60 + SECOND([@StageTime]))</f>
      </c>
      <c r="H91">
        <f>IF([@StageSeconds]="","",RANK([@StageSeconds],tblStage1[StageSeconds],1))</f>
      </c>
      <c r="I91">
        <f>IF([@Position]="",0,XLOOKUP([@Position],Config!tblBonus[Place],Config!tblBonus[Stage1BonusSec],0))</f>
      </c>
      <c r="J91">
        <f>IF([@StageSeconds]="","",[@StageSeconds]-[@BonusSeconds])</f>
      </c>
      <c r="K91" s="3">
        <f>IF([@NetSeconds]="","",[@NetSeconds]/86400)</f>
      </c>
    </row>
    <row r="92" spans="1:11" x14ac:dyDescent="0.25">
      <c r="A92" t="s">
        <v>22</v>
      </c>
      <c r="B92">
        <f>IF([@Bib]="","",XLOOKUP([@Bib],tblReg[Bib],tblReg[Field],""))</f>
      </c>
      <c r="C92">
        <f>IF([@Bib]="","",XLOOKUP([@Bib],tblReg[Bib],tblReg[FirstName],""))</f>
      </c>
      <c r="D92">
        <f>IF([@Bib]="","",XLOOKUP([@Bib],tblReg[Bib],tblReg[LastName],""))</f>
      </c>
      <c r="E92">
        <f>IF([@Bib]="","",XLOOKUP([@Bib],tblReg[Bib],tblReg[Team],""))</f>
      </c>
      <c r="F92" s="3" t="s">
        <v>22</v>
      </c>
      <c r="G92">
        <f>IF([@StageTime]="","",HOUR([@StageTime])*3600 + MINUTE([@StageTime])*60 + SECOND([@StageTime]))</f>
      </c>
      <c r="H92">
        <f>IF([@StageSeconds]="","",RANK([@StageSeconds],tblStage1[StageSeconds],1))</f>
      </c>
      <c r="I92">
        <f>IF([@Position]="",0,XLOOKUP([@Position],Config!tblBonus[Place],Config!tblBonus[Stage1BonusSec],0))</f>
      </c>
      <c r="J92">
        <f>IF([@StageSeconds]="","",[@StageSeconds]-[@BonusSeconds])</f>
      </c>
      <c r="K92" s="3">
        <f>IF([@NetSeconds]="","",[@NetSeconds]/86400)</f>
      </c>
    </row>
    <row r="93" spans="1:11" x14ac:dyDescent="0.25">
      <c r="A93" t="s">
        <v>22</v>
      </c>
      <c r="B93">
        <f>IF([@Bib]="","",XLOOKUP([@Bib],tblReg[Bib],tblReg[Field],""))</f>
      </c>
      <c r="C93">
        <f>IF([@Bib]="","",XLOOKUP([@Bib],tblReg[Bib],tblReg[FirstName],""))</f>
      </c>
      <c r="D93">
        <f>IF([@Bib]="","",XLOOKUP([@Bib],tblReg[Bib],tblReg[LastName],""))</f>
      </c>
      <c r="E93">
        <f>IF([@Bib]="","",XLOOKUP([@Bib],tblReg[Bib],tblReg[Team],""))</f>
      </c>
      <c r="F93" s="3" t="s">
        <v>22</v>
      </c>
      <c r="G93">
        <f>IF([@StageTime]="","",HOUR([@StageTime])*3600 + MINUTE([@StageTime])*60 + SECOND([@StageTime]))</f>
      </c>
      <c r="H93">
        <f>IF([@StageSeconds]="","",RANK([@StageSeconds],tblStage1[StageSeconds],1))</f>
      </c>
      <c r="I93">
        <f>IF([@Position]="",0,XLOOKUP([@Position],Config!tblBonus[Place],Config!tblBonus[Stage1BonusSec],0))</f>
      </c>
      <c r="J93">
        <f>IF([@StageSeconds]="","",[@StageSeconds]-[@BonusSeconds])</f>
      </c>
      <c r="K93" s="3">
        <f>IF([@NetSeconds]="","",[@NetSeconds]/86400)</f>
      </c>
    </row>
    <row r="94" spans="1:11" x14ac:dyDescent="0.25">
      <c r="A94" t="s">
        <v>22</v>
      </c>
      <c r="B94">
        <f>IF([@Bib]="","",XLOOKUP([@Bib],tblReg[Bib],tblReg[Field],""))</f>
      </c>
      <c r="C94">
        <f>IF([@Bib]="","",XLOOKUP([@Bib],tblReg[Bib],tblReg[FirstName],""))</f>
      </c>
      <c r="D94">
        <f>IF([@Bib]="","",XLOOKUP([@Bib],tblReg[Bib],tblReg[LastName],""))</f>
      </c>
      <c r="E94">
        <f>IF([@Bib]="","",XLOOKUP([@Bib],tblReg[Bib],tblReg[Team],""))</f>
      </c>
      <c r="F94" s="3" t="s">
        <v>22</v>
      </c>
      <c r="G94">
        <f>IF([@StageTime]="","",HOUR([@StageTime])*3600 + MINUTE([@StageTime])*60 + SECOND([@StageTime]))</f>
      </c>
      <c r="H94">
        <f>IF([@StageSeconds]="","",RANK([@StageSeconds],tblStage1[StageSeconds],1))</f>
      </c>
      <c r="I94">
        <f>IF([@Position]="",0,XLOOKUP([@Position],Config!tblBonus[Place],Config!tblBonus[Stage1BonusSec],0))</f>
      </c>
      <c r="J94">
        <f>IF([@StageSeconds]="","",[@StageSeconds]-[@BonusSeconds])</f>
      </c>
      <c r="K94" s="3">
        <f>IF([@NetSeconds]="","",[@NetSeconds]/86400)</f>
      </c>
    </row>
    <row r="95" spans="1:11" x14ac:dyDescent="0.25">
      <c r="A95" t="s">
        <v>22</v>
      </c>
      <c r="B95">
        <f>IF([@Bib]="","",XLOOKUP([@Bib],tblReg[Bib],tblReg[Field],""))</f>
      </c>
      <c r="C95">
        <f>IF([@Bib]="","",XLOOKUP([@Bib],tblReg[Bib],tblReg[FirstName],""))</f>
      </c>
      <c r="D95">
        <f>IF([@Bib]="","",XLOOKUP([@Bib],tblReg[Bib],tblReg[LastName],""))</f>
      </c>
      <c r="E95">
        <f>IF([@Bib]="","",XLOOKUP([@Bib],tblReg[Bib],tblReg[Team],""))</f>
      </c>
      <c r="F95" s="3" t="s">
        <v>22</v>
      </c>
      <c r="G95">
        <f>IF([@StageTime]="","",HOUR([@StageTime])*3600 + MINUTE([@StageTime])*60 + SECOND([@StageTime]))</f>
      </c>
      <c r="H95">
        <f>IF([@StageSeconds]="","",RANK([@StageSeconds],tblStage1[StageSeconds],1))</f>
      </c>
      <c r="I95">
        <f>IF([@Position]="",0,XLOOKUP([@Position],Config!tblBonus[Place],Config!tblBonus[Stage1BonusSec],0))</f>
      </c>
      <c r="J95">
        <f>IF([@StageSeconds]="","",[@StageSeconds]-[@BonusSeconds])</f>
      </c>
      <c r="K95" s="3">
        <f>IF([@NetSeconds]="","",[@NetSeconds]/86400)</f>
      </c>
    </row>
    <row r="96" spans="1:11" x14ac:dyDescent="0.25">
      <c r="A96" t="s">
        <v>22</v>
      </c>
      <c r="B96">
        <f>IF([@Bib]="","",XLOOKUP([@Bib],tblReg[Bib],tblReg[Field],""))</f>
      </c>
      <c r="C96">
        <f>IF([@Bib]="","",XLOOKUP([@Bib],tblReg[Bib],tblReg[FirstName],""))</f>
      </c>
      <c r="D96">
        <f>IF([@Bib]="","",XLOOKUP([@Bib],tblReg[Bib],tblReg[LastName],""))</f>
      </c>
      <c r="E96">
        <f>IF([@Bib]="","",XLOOKUP([@Bib],tblReg[Bib],tblReg[Team],""))</f>
      </c>
      <c r="F96" s="3" t="s">
        <v>22</v>
      </c>
      <c r="G96">
        <f>IF([@StageTime]="","",HOUR([@StageTime])*3600 + MINUTE([@StageTime])*60 + SECOND([@StageTime]))</f>
      </c>
      <c r="H96">
        <f>IF([@StageSeconds]="","",RANK([@StageSeconds],tblStage1[StageSeconds],1))</f>
      </c>
      <c r="I96">
        <f>IF([@Position]="",0,XLOOKUP([@Position],Config!tblBonus[Place],Config!tblBonus[Stage1BonusSec],0))</f>
      </c>
      <c r="J96">
        <f>IF([@StageSeconds]="","",[@StageSeconds]-[@BonusSeconds])</f>
      </c>
      <c r="K96" s="3">
        <f>IF([@NetSeconds]="","",[@NetSeconds]/86400)</f>
      </c>
    </row>
    <row r="97" spans="1:11" x14ac:dyDescent="0.25">
      <c r="A97" t="s">
        <v>22</v>
      </c>
      <c r="B97">
        <f>IF([@Bib]="","",XLOOKUP([@Bib],tblReg[Bib],tblReg[Field],""))</f>
      </c>
      <c r="C97">
        <f>IF([@Bib]="","",XLOOKUP([@Bib],tblReg[Bib],tblReg[FirstName],""))</f>
      </c>
      <c r="D97">
        <f>IF([@Bib]="","",XLOOKUP([@Bib],tblReg[Bib],tblReg[LastName],""))</f>
      </c>
      <c r="E97">
        <f>IF([@Bib]="","",XLOOKUP([@Bib],tblReg[Bib],tblReg[Team],""))</f>
      </c>
      <c r="F97" s="3" t="s">
        <v>22</v>
      </c>
      <c r="G97">
        <f>IF([@StageTime]="","",HOUR([@StageTime])*3600 + MINUTE([@StageTime])*60 + SECOND([@StageTime]))</f>
      </c>
      <c r="H97">
        <f>IF([@StageSeconds]="","",RANK([@StageSeconds],tblStage1[StageSeconds],1))</f>
      </c>
      <c r="I97">
        <f>IF([@Position]="",0,XLOOKUP([@Position],Config!tblBonus[Place],Config!tblBonus[Stage1BonusSec],0))</f>
      </c>
      <c r="J97">
        <f>IF([@StageSeconds]="","",[@StageSeconds]-[@BonusSeconds])</f>
      </c>
      <c r="K97" s="3">
        <f>IF([@NetSeconds]="","",[@NetSeconds]/86400)</f>
      </c>
    </row>
    <row r="98" spans="1:11" x14ac:dyDescent="0.25">
      <c r="A98" t="s">
        <v>22</v>
      </c>
      <c r="B98">
        <f>IF([@Bib]="","",XLOOKUP([@Bib],tblReg[Bib],tblReg[Field],""))</f>
      </c>
      <c r="C98">
        <f>IF([@Bib]="","",XLOOKUP([@Bib],tblReg[Bib],tblReg[FirstName],""))</f>
      </c>
      <c r="D98">
        <f>IF([@Bib]="","",XLOOKUP([@Bib],tblReg[Bib],tblReg[LastName],""))</f>
      </c>
      <c r="E98">
        <f>IF([@Bib]="","",XLOOKUP([@Bib],tblReg[Bib],tblReg[Team],""))</f>
      </c>
      <c r="F98" s="3" t="s">
        <v>22</v>
      </c>
      <c r="G98">
        <f>IF([@StageTime]="","",HOUR([@StageTime])*3600 + MINUTE([@StageTime])*60 + SECOND([@StageTime]))</f>
      </c>
      <c r="H98">
        <f>IF([@StageSeconds]="","",RANK([@StageSeconds],tblStage1[StageSeconds],1))</f>
      </c>
      <c r="I98">
        <f>IF([@Position]="",0,XLOOKUP([@Position],Config!tblBonus[Place],Config!tblBonus[Stage1BonusSec],0))</f>
      </c>
      <c r="J98">
        <f>IF([@StageSeconds]="","",[@StageSeconds]-[@BonusSeconds])</f>
      </c>
      <c r="K98" s="3">
        <f>IF([@NetSeconds]="","",[@NetSeconds]/86400)</f>
      </c>
    </row>
    <row r="99" spans="1:11" x14ac:dyDescent="0.25">
      <c r="A99" t="s">
        <v>22</v>
      </c>
      <c r="B99">
        <f>IF([@Bib]="","",XLOOKUP([@Bib],tblReg[Bib],tblReg[Field],""))</f>
      </c>
      <c r="C99">
        <f>IF([@Bib]="","",XLOOKUP([@Bib],tblReg[Bib],tblReg[FirstName],""))</f>
      </c>
      <c r="D99">
        <f>IF([@Bib]="","",XLOOKUP([@Bib],tblReg[Bib],tblReg[LastName],""))</f>
      </c>
      <c r="E99">
        <f>IF([@Bib]="","",XLOOKUP([@Bib],tblReg[Bib],tblReg[Team],""))</f>
      </c>
      <c r="F99" s="3" t="s">
        <v>22</v>
      </c>
      <c r="G99">
        <f>IF([@StageTime]="","",HOUR([@StageTime])*3600 + MINUTE([@StageTime])*60 + SECOND([@StageTime]))</f>
      </c>
      <c r="H99">
        <f>IF([@StageSeconds]="","",RANK([@StageSeconds],tblStage1[StageSeconds],1))</f>
      </c>
      <c r="I99">
        <f>IF([@Position]="",0,XLOOKUP([@Position],Config!tblBonus[Place],Config!tblBonus[Stage1BonusSec],0))</f>
      </c>
      <c r="J99">
        <f>IF([@StageSeconds]="","",[@StageSeconds]-[@BonusSeconds])</f>
      </c>
      <c r="K99" s="3">
        <f>IF([@NetSeconds]="","",[@NetSeconds]/86400)</f>
      </c>
    </row>
    <row r="100" spans="1:11" x14ac:dyDescent="0.25">
      <c r="A100" t="s">
        <v>22</v>
      </c>
      <c r="B100">
        <f>IF([@Bib]="","",XLOOKUP([@Bib],tblReg[Bib],tblReg[Field],""))</f>
      </c>
      <c r="C100">
        <f>IF([@Bib]="","",XLOOKUP([@Bib],tblReg[Bib],tblReg[FirstName],""))</f>
      </c>
      <c r="D100">
        <f>IF([@Bib]="","",XLOOKUP([@Bib],tblReg[Bib],tblReg[LastName],""))</f>
      </c>
      <c r="E100">
        <f>IF([@Bib]="","",XLOOKUP([@Bib],tblReg[Bib],tblReg[Team],""))</f>
      </c>
      <c r="F100" s="3" t="s">
        <v>22</v>
      </c>
      <c r="G100">
        <f>IF([@StageTime]="","",HOUR([@StageTime])*3600 + MINUTE([@StageTime])*60 + SECOND([@StageTime]))</f>
      </c>
      <c r="H100">
        <f>IF([@StageSeconds]="","",RANK([@StageSeconds],tblStage1[StageSeconds],1))</f>
      </c>
      <c r="I100">
        <f>IF([@Position]="",0,XLOOKUP([@Position],Config!tblBonus[Place],Config!tblBonus[Stage1BonusSec],0))</f>
      </c>
      <c r="J100">
        <f>IF([@StageSeconds]="","",[@StageSeconds]-[@BonusSeconds])</f>
      </c>
      <c r="K100" s="3">
        <f>IF([@NetSeconds]="","",[@NetSeconds]/86400)</f>
      </c>
    </row>
    <row r="101" spans="1:11" x14ac:dyDescent="0.25">
      <c r="A101" t="s">
        <v>22</v>
      </c>
      <c r="B101">
        <f>IF([@Bib]="","",XLOOKUP([@Bib],tblReg[Bib],tblReg[Field],""))</f>
      </c>
      <c r="C101">
        <f>IF([@Bib]="","",XLOOKUP([@Bib],tblReg[Bib],tblReg[FirstName],""))</f>
      </c>
      <c r="D101">
        <f>IF([@Bib]="","",XLOOKUP([@Bib],tblReg[Bib],tblReg[LastName],""))</f>
      </c>
      <c r="E101">
        <f>IF([@Bib]="","",XLOOKUP([@Bib],tblReg[Bib],tblReg[Team],""))</f>
      </c>
      <c r="F101" s="3" t="s">
        <v>22</v>
      </c>
      <c r="G101">
        <f>IF([@StageTime]="","",HOUR([@StageTime])*3600 + MINUTE([@StageTime])*60 + SECOND([@StageTime]))</f>
      </c>
      <c r="H101">
        <f>IF([@StageSeconds]="","",RANK([@StageSeconds],tblStage1[StageSeconds],1))</f>
      </c>
      <c r="I101">
        <f>IF([@Position]="",0,XLOOKUP([@Position],Config!tblBonus[Place],Config!tblBonus[Stage1BonusSec],0))</f>
      </c>
      <c r="J101">
        <f>IF([@StageSeconds]="","",[@StageSeconds]-[@BonusSeconds])</f>
      </c>
      <c r="K101" s="3">
        <f>IF([@NetSeconds]="","",[@NetSeconds]/86400)</f>
      </c>
    </row>
    <row r="102" spans="1:11" x14ac:dyDescent="0.25">
      <c r="A102" t="s">
        <v>22</v>
      </c>
      <c r="B102">
        <f>IF([@Bib]="","",XLOOKUP([@Bib],tblReg[Bib],tblReg[Field],""))</f>
      </c>
      <c r="C102">
        <f>IF([@Bib]="","",XLOOKUP([@Bib],tblReg[Bib],tblReg[FirstName],""))</f>
      </c>
      <c r="D102">
        <f>IF([@Bib]="","",XLOOKUP([@Bib],tblReg[Bib],tblReg[LastName],""))</f>
      </c>
      <c r="E102">
        <f>IF([@Bib]="","",XLOOKUP([@Bib],tblReg[Bib],tblReg[Team],""))</f>
      </c>
      <c r="F102" s="3" t="s">
        <v>22</v>
      </c>
      <c r="G102">
        <f>IF([@StageTime]="","",HOUR([@StageTime])*3600 + MINUTE([@StageTime])*60 + SECOND([@StageTime]))</f>
      </c>
      <c r="H102">
        <f>IF([@StageSeconds]="","",RANK([@StageSeconds],tblStage1[StageSeconds],1))</f>
      </c>
      <c r="I102">
        <f>IF([@Position]="",0,XLOOKUP([@Position],Config!tblBonus[Place],Config!tblBonus[Stage1BonusSec],0))</f>
      </c>
      <c r="J102">
        <f>IF([@StageSeconds]="","",[@StageSeconds]-[@BonusSeconds])</f>
      </c>
      <c r="K102" s="3">
        <f>IF([@NetSeconds]="","",[@NetSeconds]/86400)</f>
      </c>
    </row>
    <row r="103" spans="1:11" x14ac:dyDescent="0.25">
      <c r="A103" t="s">
        <v>22</v>
      </c>
      <c r="B103">
        <f>IF([@Bib]="","",XLOOKUP([@Bib],tblReg[Bib],tblReg[Field],""))</f>
      </c>
      <c r="C103">
        <f>IF([@Bib]="","",XLOOKUP([@Bib],tblReg[Bib],tblReg[FirstName],""))</f>
      </c>
      <c r="D103">
        <f>IF([@Bib]="","",XLOOKUP([@Bib],tblReg[Bib],tblReg[LastName],""))</f>
      </c>
      <c r="E103">
        <f>IF([@Bib]="","",XLOOKUP([@Bib],tblReg[Bib],tblReg[Team],""))</f>
      </c>
      <c r="F103" s="3" t="s">
        <v>22</v>
      </c>
      <c r="G103">
        <f>IF([@StageTime]="","",HOUR([@StageTime])*3600 + MINUTE([@StageTime])*60 + SECOND([@StageTime]))</f>
      </c>
      <c r="H103">
        <f>IF([@StageSeconds]="","",RANK([@StageSeconds],tblStage1[StageSeconds],1))</f>
      </c>
      <c r="I103">
        <f>IF([@Position]="",0,XLOOKUP([@Position],Config!tblBonus[Place],Config!tblBonus[Stage1BonusSec],0))</f>
      </c>
      <c r="J103">
        <f>IF([@StageSeconds]="","",[@StageSeconds]-[@BonusSeconds])</f>
      </c>
      <c r="K103" s="3">
        <f>IF([@NetSeconds]="","",[@NetSeconds]/86400)</f>
      </c>
    </row>
    <row r="104" spans="1:11" x14ac:dyDescent="0.25">
      <c r="A104" t="s">
        <v>22</v>
      </c>
      <c r="B104">
        <f>IF([@Bib]="","",XLOOKUP([@Bib],tblReg[Bib],tblReg[Field],""))</f>
      </c>
      <c r="C104">
        <f>IF([@Bib]="","",XLOOKUP([@Bib],tblReg[Bib],tblReg[FirstName],""))</f>
      </c>
      <c r="D104">
        <f>IF([@Bib]="","",XLOOKUP([@Bib],tblReg[Bib],tblReg[LastName],""))</f>
      </c>
      <c r="E104">
        <f>IF([@Bib]="","",XLOOKUP([@Bib],tblReg[Bib],tblReg[Team],""))</f>
      </c>
      <c r="F104" s="3" t="s">
        <v>22</v>
      </c>
      <c r="G104">
        <f>IF([@StageTime]="","",HOUR([@StageTime])*3600 + MINUTE([@StageTime])*60 + SECOND([@StageTime]))</f>
      </c>
      <c r="H104">
        <f>IF([@StageSeconds]="","",RANK([@StageSeconds],tblStage1[StageSeconds],1))</f>
      </c>
      <c r="I104">
        <f>IF([@Position]="",0,XLOOKUP([@Position],Config!tblBonus[Place],Config!tblBonus[Stage1BonusSec],0))</f>
      </c>
      <c r="J104">
        <f>IF([@StageSeconds]="","",[@StageSeconds]-[@BonusSeconds])</f>
      </c>
      <c r="K104" s="3">
        <f>IF([@NetSeconds]="","",[@NetSeconds]/86400)</f>
      </c>
    </row>
    <row r="105" spans="1:11" x14ac:dyDescent="0.25">
      <c r="A105" t="s">
        <v>22</v>
      </c>
      <c r="B105">
        <f>IF([@Bib]="","",XLOOKUP([@Bib],tblReg[Bib],tblReg[Field],""))</f>
      </c>
      <c r="C105">
        <f>IF([@Bib]="","",XLOOKUP([@Bib],tblReg[Bib],tblReg[FirstName],""))</f>
      </c>
      <c r="D105">
        <f>IF([@Bib]="","",XLOOKUP([@Bib],tblReg[Bib],tblReg[LastName],""))</f>
      </c>
      <c r="E105">
        <f>IF([@Bib]="","",XLOOKUP([@Bib],tblReg[Bib],tblReg[Team],""))</f>
      </c>
      <c r="F105" s="3" t="s">
        <v>22</v>
      </c>
      <c r="G105">
        <f>IF([@StageTime]="","",HOUR([@StageTime])*3600 + MINUTE([@StageTime])*60 + SECOND([@StageTime]))</f>
      </c>
      <c r="H105">
        <f>IF([@StageSeconds]="","",RANK([@StageSeconds],tblStage1[StageSeconds],1))</f>
      </c>
      <c r="I105">
        <f>IF([@Position]="",0,XLOOKUP([@Position],Config!tblBonus[Place],Config!tblBonus[Stage1BonusSec],0))</f>
      </c>
      <c r="J105">
        <f>IF([@StageSeconds]="","",[@StageSeconds]-[@BonusSeconds])</f>
      </c>
      <c r="K105" s="3">
        <f>IF([@NetSeconds]="","",[@NetSeconds]/86400)</f>
      </c>
    </row>
    <row r="106" spans="1:11" x14ac:dyDescent="0.25">
      <c r="A106" t="s">
        <v>22</v>
      </c>
      <c r="B106">
        <f>IF([@Bib]="","",XLOOKUP([@Bib],tblReg[Bib],tblReg[Field],""))</f>
      </c>
      <c r="C106">
        <f>IF([@Bib]="","",XLOOKUP([@Bib],tblReg[Bib],tblReg[FirstName],""))</f>
      </c>
      <c r="D106">
        <f>IF([@Bib]="","",XLOOKUP([@Bib],tblReg[Bib],tblReg[LastName],""))</f>
      </c>
      <c r="E106">
        <f>IF([@Bib]="","",XLOOKUP([@Bib],tblReg[Bib],tblReg[Team],""))</f>
      </c>
      <c r="F106" s="3" t="s">
        <v>22</v>
      </c>
      <c r="G106">
        <f>IF([@StageTime]="","",HOUR([@StageTime])*3600 + MINUTE([@StageTime])*60 + SECOND([@StageTime]))</f>
      </c>
      <c r="H106">
        <f>IF([@StageSeconds]="","",RANK([@StageSeconds],tblStage1[StageSeconds],1))</f>
      </c>
      <c r="I106">
        <f>IF([@Position]="",0,XLOOKUP([@Position],Config!tblBonus[Place],Config!tblBonus[Stage1BonusSec],0))</f>
      </c>
      <c r="J106">
        <f>IF([@StageSeconds]="","",[@StageSeconds]-[@BonusSeconds])</f>
      </c>
      <c r="K106" s="3">
        <f>IF([@NetSeconds]="","",[@NetSeconds]/86400)</f>
      </c>
    </row>
    <row r="107" spans="1:11" x14ac:dyDescent="0.25">
      <c r="A107" t="s">
        <v>22</v>
      </c>
      <c r="B107">
        <f>IF([@Bib]="","",XLOOKUP([@Bib],tblReg[Bib],tblReg[Field],""))</f>
      </c>
      <c r="C107">
        <f>IF([@Bib]="","",XLOOKUP([@Bib],tblReg[Bib],tblReg[FirstName],""))</f>
      </c>
      <c r="D107">
        <f>IF([@Bib]="","",XLOOKUP([@Bib],tblReg[Bib],tblReg[LastName],""))</f>
      </c>
      <c r="E107">
        <f>IF([@Bib]="","",XLOOKUP([@Bib],tblReg[Bib],tblReg[Team],""))</f>
      </c>
      <c r="F107" s="3" t="s">
        <v>22</v>
      </c>
      <c r="G107">
        <f>IF([@StageTime]="","",HOUR([@StageTime])*3600 + MINUTE([@StageTime])*60 + SECOND([@StageTime]))</f>
      </c>
      <c r="H107">
        <f>IF([@StageSeconds]="","",RANK([@StageSeconds],tblStage1[StageSeconds],1))</f>
      </c>
      <c r="I107">
        <f>IF([@Position]="",0,XLOOKUP([@Position],Config!tblBonus[Place],Config!tblBonus[Stage1BonusSec],0))</f>
      </c>
      <c r="J107">
        <f>IF([@StageSeconds]="","",[@StageSeconds]-[@BonusSeconds])</f>
      </c>
      <c r="K107" s="3">
        <f>IF([@NetSeconds]="","",[@NetSeconds]/86400)</f>
      </c>
    </row>
    <row r="108" spans="1:11" x14ac:dyDescent="0.25">
      <c r="A108" t="s">
        <v>22</v>
      </c>
      <c r="B108">
        <f>IF([@Bib]="","",XLOOKUP([@Bib],tblReg[Bib],tblReg[Field],""))</f>
      </c>
      <c r="C108">
        <f>IF([@Bib]="","",XLOOKUP([@Bib],tblReg[Bib],tblReg[FirstName],""))</f>
      </c>
      <c r="D108">
        <f>IF([@Bib]="","",XLOOKUP([@Bib],tblReg[Bib],tblReg[LastName],""))</f>
      </c>
      <c r="E108">
        <f>IF([@Bib]="","",XLOOKUP([@Bib],tblReg[Bib],tblReg[Team],""))</f>
      </c>
      <c r="F108" s="3" t="s">
        <v>22</v>
      </c>
      <c r="G108">
        <f>IF([@StageTime]="","",HOUR([@StageTime])*3600 + MINUTE([@StageTime])*60 + SECOND([@StageTime]))</f>
      </c>
      <c r="H108">
        <f>IF([@StageSeconds]="","",RANK([@StageSeconds],tblStage1[StageSeconds],1))</f>
      </c>
      <c r="I108">
        <f>IF([@Position]="",0,XLOOKUP([@Position],Config!tblBonus[Place],Config!tblBonus[Stage1BonusSec],0))</f>
      </c>
      <c r="J108">
        <f>IF([@StageSeconds]="","",[@StageSeconds]-[@BonusSeconds])</f>
      </c>
      <c r="K108" s="3">
        <f>IF([@NetSeconds]="","",[@NetSeconds]/86400)</f>
      </c>
    </row>
    <row r="109" spans="1:11" x14ac:dyDescent="0.25">
      <c r="A109" t="s">
        <v>22</v>
      </c>
      <c r="B109">
        <f>IF([@Bib]="","",XLOOKUP([@Bib],tblReg[Bib],tblReg[Field],""))</f>
      </c>
      <c r="C109">
        <f>IF([@Bib]="","",XLOOKUP([@Bib],tblReg[Bib],tblReg[FirstName],""))</f>
      </c>
      <c r="D109">
        <f>IF([@Bib]="","",XLOOKUP([@Bib],tblReg[Bib],tblReg[LastName],""))</f>
      </c>
      <c r="E109">
        <f>IF([@Bib]="","",XLOOKUP([@Bib],tblReg[Bib],tblReg[Team],""))</f>
      </c>
      <c r="F109" s="3" t="s">
        <v>22</v>
      </c>
      <c r="G109">
        <f>IF([@StageTime]="","",HOUR([@StageTime])*3600 + MINUTE([@StageTime])*60 + SECOND([@StageTime]))</f>
      </c>
      <c r="H109">
        <f>IF([@StageSeconds]="","",RANK([@StageSeconds],tblStage1[StageSeconds],1))</f>
      </c>
      <c r="I109">
        <f>IF([@Position]="",0,XLOOKUP([@Position],Config!tblBonus[Place],Config!tblBonus[Stage1BonusSec],0))</f>
      </c>
      <c r="J109">
        <f>IF([@StageSeconds]="","",[@StageSeconds]-[@BonusSeconds])</f>
      </c>
      <c r="K109" s="3">
        <f>IF([@NetSeconds]="","",[@NetSeconds]/86400)</f>
      </c>
    </row>
    <row r="110" spans="1:11" x14ac:dyDescent="0.25">
      <c r="A110" t="s">
        <v>22</v>
      </c>
      <c r="B110">
        <f>IF([@Bib]="","",XLOOKUP([@Bib],tblReg[Bib],tblReg[Field],""))</f>
      </c>
      <c r="C110">
        <f>IF([@Bib]="","",XLOOKUP([@Bib],tblReg[Bib],tblReg[FirstName],""))</f>
      </c>
      <c r="D110">
        <f>IF([@Bib]="","",XLOOKUP([@Bib],tblReg[Bib],tblReg[LastName],""))</f>
      </c>
      <c r="E110">
        <f>IF([@Bib]="","",XLOOKUP([@Bib],tblReg[Bib],tblReg[Team],""))</f>
      </c>
      <c r="F110" s="3" t="s">
        <v>22</v>
      </c>
      <c r="G110">
        <f>IF([@StageTime]="","",HOUR([@StageTime])*3600 + MINUTE([@StageTime])*60 + SECOND([@StageTime]))</f>
      </c>
      <c r="H110">
        <f>IF([@StageSeconds]="","",RANK([@StageSeconds],tblStage1[StageSeconds],1))</f>
      </c>
      <c r="I110">
        <f>IF([@Position]="",0,XLOOKUP([@Position],Config!tblBonus[Place],Config!tblBonus[Stage1BonusSec],0))</f>
      </c>
      <c r="J110">
        <f>IF([@StageSeconds]="","",[@StageSeconds]-[@BonusSeconds])</f>
      </c>
      <c r="K110" s="3">
        <f>IF([@NetSeconds]="","",[@NetSeconds]/86400)</f>
      </c>
    </row>
    <row r="111" spans="1:11" x14ac:dyDescent="0.25">
      <c r="A111" t="s">
        <v>22</v>
      </c>
      <c r="B111">
        <f>IF([@Bib]="","",XLOOKUP([@Bib],tblReg[Bib],tblReg[Field],""))</f>
      </c>
      <c r="C111">
        <f>IF([@Bib]="","",XLOOKUP([@Bib],tblReg[Bib],tblReg[FirstName],""))</f>
      </c>
      <c r="D111">
        <f>IF([@Bib]="","",XLOOKUP([@Bib],tblReg[Bib],tblReg[LastName],""))</f>
      </c>
      <c r="E111">
        <f>IF([@Bib]="","",XLOOKUP([@Bib],tblReg[Bib],tblReg[Team],""))</f>
      </c>
      <c r="F111" s="3" t="s">
        <v>22</v>
      </c>
      <c r="G111">
        <f>IF([@StageTime]="","",HOUR([@StageTime])*3600 + MINUTE([@StageTime])*60 + SECOND([@StageTime]))</f>
      </c>
      <c r="H111">
        <f>IF([@StageSeconds]="","",RANK([@StageSeconds],tblStage1[StageSeconds],1))</f>
      </c>
      <c r="I111">
        <f>IF([@Position]="",0,XLOOKUP([@Position],Config!tblBonus[Place],Config!tblBonus[Stage1BonusSec],0))</f>
      </c>
      <c r="J111">
        <f>IF([@StageSeconds]="","",[@StageSeconds]-[@BonusSeconds])</f>
      </c>
      <c r="K111" s="3">
        <f>IF([@NetSeconds]="","",[@NetSeconds]/86400)</f>
      </c>
    </row>
    <row r="112" spans="1:11" x14ac:dyDescent="0.25">
      <c r="A112" t="s">
        <v>22</v>
      </c>
      <c r="B112">
        <f>IF([@Bib]="","",XLOOKUP([@Bib],tblReg[Bib],tblReg[Field],""))</f>
      </c>
      <c r="C112">
        <f>IF([@Bib]="","",XLOOKUP([@Bib],tblReg[Bib],tblReg[FirstName],""))</f>
      </c>
      <c r="D112">
        <f>IF([@Bib]="","",XLOOKUP([@Bib],tblReg[Bib],tblReg[LastName],""))</f>
      </c>
      <c r="E112">
        <f>IF([@Bib]="","",XLOOKUP([@Bib],tblReg[Bib],tblReg[Team],""))</f>
      </c>
      <c r="F112" s="3" t="s">
        <v>22</v>
      </c>
      <c r="G112">
        <f>IF([@StageTime]="","",HOUR([@StageTime])*3600 + MINUTE([@StageTime])*60 + SECOND([@StageTime]))</f>
      </c>
      <c r="H112">
        <f>IF([@StageSeconds]="","",RANK([@StageSeconds],tblStage1[StageSeconds],1))</f>
      </c>
      <c r="I112">
        <f>IF([@Position]="",0,XLOOKUP([@Position],Config!tblBonus[Place],Config!tblBonus[Stage1BonusSec],0))</f>
      </c>
      <c r="J112">
        <f>IF([@StageSeconds]="","",[@StageSeconds]-[@BonusSeconds])</f>
      </c>
      <c r="K112" s="3">
        <f>IF([@NetSeconds]="","",[@NetSeconds]/86400)</f>
      </c>
    </row>
    <row r="113" spans="1:11" x14ac:dyDescent="0.25">
      <c r="A113" t="s">
        <v>22</v>
      </c>
      <c r="B113">
        <f>IF([@Bib]="","",XLOOKUP([@Bib],tblReg[Bib],tblReg[Field],""))</f>
      </c>
      <c r="C113">
        <f>IF([@Bib]="","",XLOOKUP([@Bib],tblReg[Bib],tblReg[FirstName],""))</f>
      </c>
      <c r="D113">
        <f>IF([@Bib]="","",XLOOKUP([@Bib],tblReg[Bib],tblReg[LastName],""))</f>
      </c>
      <c r="E113">
        <f>IF([@Bib]="","",XLOOKUP([@Bib],tblReg[Bib],tblReg[Team],""))</f>
      </c>
      <c r="F113" s="3" t="s">
        <v>22</v>
      </c>
      <c r="G113">
        <f>IF([@StageTime]="","",HOUR([@StageTime])*3600 + MINUTE([@StageTime])*60 + SECOND([@StageTime]))</f>
      </c>
      <c r="H113">
        <f>IF([@StageSeconds]="","",RANK([@StageSeconds],tblStage1[StageSeconds],1))</f>
      </c>
      <c r="I113">
        <f>IF([@Position]="",0,XLOOKUP([@Position],Config!tblBonus[Place],Config!tblBonus[Stage1BonusSec],0))</f>
      </c>
      <c r="J113">
        <f>IF([@StageSeconds]="","",[@StageSeconds]-[@BonusSeconds])</f>
      </c>
      <c r="K113" s="3">
        <f>IF([@NetSeconds]="","",[@NetSeconds]/86400)</f>
      </c>
    </row>
    <row r="114" spans="1:11" x14ac:dyDescent="0.25">
      <c r="A114" t="s">
        <v>22</v>
      </c>
      <c r="B114">
        <f>IF([@Bib]="","",XLOOKUP([@Bib],tblReg[Bib],tblReg[Field],""))</f>
      </c>
      <c r="C114">
        <f>IF([@Bib]="","",XLOOKUP([@Bib],tblReg[Bib],tblReg[FirstName],""))</f>
      </c>
      <c r="D114">
        <f>IF([@Bib]="","",XLOOKUP([@Bib],tblReg[Bib],tblReg[LastName],""))</f>
      </c>
      <c r="E114">
        <f>IF([@Bib]="","",XLOOKUP([@Bib],tblReg[Bib],tblReg[Team],""))</f>
      </c>
      <c r="F114" s="3" t="s">
        <v>22</v>
      </c>
      <c r="G114">
        <f>IF([@StageTime]="","",HOUR([@StageTime])*3600 + MINUTE([@StageTime])*60 + SECOND([@StageTime]))</f>
      </c>
      <c r="H114">
        <f>IF([@StageSeconds]="","",RANK([@StageSeconds],tblStage1[StageSeconds],1))</f>
      </c>
      <c r="I114">
        <f>IF([@Position]="",0,XLOOKUP([@Position],Config!tblBonus[Place],Config!tblBonus[Stage1BonusSec],0))</f>
      </c>
      <c r="J114">
        <f>IF([@StageSeconds]="","",[@StageSeconds]-[@BonusSeconds])</f>
      </c>
      <c r="K114" s="3">
        <f>IF([@NetSeconds]="","",[@NetSeconds]/86400)</f>
      </c>
    </row>
    <row r="115" spans="1:11" x14ac:dyDescent="0.25">
      <c r="A115" t="s">
        <v>22</v>
      </c>
      <c r="B115">
        <f>IF([@Bib]="","",XLOOKUP([@Bib],tblReg[Bib],tblReg[Field],""))</f>
      </c>
      <c r="C115">
        <f>IF([@Bib]="","",XLOOKUP([@Bib],tblReg[Bib],tblReg[FirstName],""))</f>
      </c>
      <c r="D115">
        <f>IF([@Bib]="","",XLOOKUP([@Bib],tblReg[Bib],tblReg[LastName],""))</f>
      </c>
      <c r="E115">
        <f>IF([@Bib]="","",XLOOKUP([@Bib],tblReg[Bib],tblReg[Team],""))</f>
      </c>
      <c r="F115" s="3" t="s">
        <v>22</v>
      </c>
      <c r="G115">
        <f>IF([@StageTime]="","",HOUR([@StageTime])*3600 + MINUTE([@StageTime])*60 + SECOND([@StageTime]))</f>
      </c>
      <c r="H115">
        <f>IF([@StageSeconds]="","",RANK([@StageSeconds],tblStage1[StageSeconds],1))</f>
      </c>
      <c r="I115">
        <f>IF([@Position]="",0,XLOOKUP([@Position],Config!tblBonus[Place],Config!tblBonus[Stage1BonusSec],0))</f>
      </c>
      <c r="J115">
        <f>IF([@StageSeconds]="","",[@StageSeconds]-[@BonusSeconds])</f>
      </c>
      <c r="K115" s="3">
        <f>IF([@NetSeconds]="","",[@NetSeconds]/86400)</f>
      </c>
    </row>
    <row r="116" spans="1:11" x14ac:dyDescent="0.25">
      <c r="A116" t="s">
        <v>22</v>
      </c>
      <c r="B116">
        <f>IF([@Bib]="","",XLOOKUP([@Bib],tblReg[Bib],tblReg[Field],""))</f>
      </c>
      <c r="C116">
        <f>IF([@Bib]="","",XLOOKUP([@Bib],tblReg[Bib],tblReg[FirstName],""))</f>
      </c>
      <c r="D116">
        <f>IF([@Bib]="","",XLOOKUP([@Bib],tblReg[Bib],tblReg[LastName],""))</f>
      </c>
      <c r="E116">
        <f>IF([@Bib]="","",XLOOKUP([@Bib],tblReg[Bib],tblReg[Team],""))</f>
      </c>
      <c r="F116" s="3" t="s">
        <v>22</v>
      </c>
      <c r="G116">
        <f>IF([@StageTime]="","",HOUR([@StageTime])*3600 + MINUTE([@StageTime])*60 + SECOND([@StageTime]))</f>
      </c>
      <c r="H116">
        <f>IF([@StageSeconds]="","",RANK([@StageSeconds],tblStage1[StageSeconds],1))</f>
      </c>
      <c r="I116">
        <f>IF([@Position]="",0,XLOOKUP([@Position],Config!tblBonus[Place],Config!tblBonus[Stage1BonusSec],0))</f>
      </c>
      <c r="J116">
        <f>IF([@StageSeconds]="","",[@StageSeconds]-[@BonusSeconds])</f>
      </c>
      <c r="K116" s="3">
        <f>IF([@NetSeconds]="","",[@NetSeconds]/86400)</f>
      </c>
    </row>
    <row r="117" spans="1:11" x14ac:dyDescent="0.25">
      <c r="A117" t="s">
        <v>22</v>
      </c>
      <c r="B117">
        <f>IF([@Bib]="","",XLOOKUP([@Bib],tblReg[Bib],tblReg[Field],""))</f>
      </c>
      <c r="C117">
        <f>IF([@Bib]="","",XLOOKUP([@Bib],tblReg[Bib],tblReg[FirstName],""))</f>
      </c>
      <c r="D117">
        <f>IF([@Bib]="","",XLOOKUP([@Bib],tblReg[Bib],tblReg[LastName],""))</f>
      </c>
      <c r="E117">
        <f>IF([@Bib]="","",XLOOKUP([@Bib],tblReg[Bib],tblReg[Team],""))</f>
      </c>
      <c r="F117" s="3" t="s">
        <v>22</v>
      </c>
      <c r="G117">
        <f>IF([@StageTime]="","",HOUR([@StageTime])*3600 + MINUTE([@StageTime])*60 + SECOND([@StageTime]))</f>
      </c>
      <c r="H117">
        <f>IF([@StageSeconds]="","",RANK([@StageSeconds],tblStage1[StageSeconds],1))</f>
      </c>
      <c r="I117">
        <f>IF([@Position]="",0,XLOOKUP([@Position],Config!tblBonus[Place],Config!tblBonus[Stage1BonusSec],0))</f>
      </c>
      <c r="J117">
        <f>IF([@StageSeconds]="","",[@StageSeconds]-[@BonusSeconds])</f>
      </c>
      <c r="K117" s="3">
        <f>IF([@NetSeconds]="","",[@NetSeconds]/86400)</f>
      </c>
    </row>
    <row r="118" spans="1:11" x14ac:dyDescent="0.25">
      <c r="A118" t="s">
        <v>22</v>
      </c>
      <c r="B118">
        <f>IF([@Bib]="","",XLOOKUP([@Bib],tblReg[Bib],tblReg[Field],""))</f>
      </c>
      <c r="C118">
        <f>IF([@Bib]="","",XLOOKUP([@Bib],tblReg[Bib],tblReg[FirstName],""))</f>
      </c>
      <c r="D118">
        <f>IF([@Bib]="","",XLOOKUP([@Bib],tblReg[Bib],tblReg[LastName],""))</f>
      </c>
      <c r="E118">
        <f>IF([@Bib]="","",XLOOKUP([@Bib],tblReg[Bib],tblReg[Team],""))</f>
      </c>
      <c r="F118" s="3" t="s">
        <v>22</v>
      </c>
      <c r="G118">
        <f>IF([@StageTime]="","",HOUR([@StageTime])*3600 + MINUTE([@StageTime])*60 + SECOND([@StageTime]))</f>
      </c>
      <c r="H118">
        <f>IF([@StageSeconds]="","",RANK([@StageSeconds],tblStage1[StageSeconds],1))</f>
      </c>
      <c r="I118">
        <f>IF([@Position]="",0,XLOOKUP([@Position],Config!tblBonus[Place],Config!tblBonus[Stage1BonusSec],0))</f>
      </c>
      <c r="J118">
        <f>IF([@StageSeconds]="","",[@StageSeconds]-[@BonusSeconds])</f>
      </c>
      <c r="K118" s="3">
        <f>IF([@NetSeconds]="","",[@NetSeconds]/86400)</f>
      </c>
    </row>
    <row r="119" spans="1:11" x14ac:dyDescent="0.25">
      <c r="A119" t="s">
        <v>22</v>
      </c>
      <c r="B119">
        <f>IF([@Bib]="","",XLOOKUP([@Bib],tblReg[Bib],tblReg[Field],""))</f>
      </c>
      <c r="C119">
        <f>IF([@Bib]="","",XLOOKUP([@Bib],tblReg[Bib],tblReg[FirstName],""))</f>
      </c>
      <c r="D119">
        <f>IF([@Bib]="","",XLOOKUP([@Bib],tblReg[Bib],tblReg[LastName],""))</f>
      </c>
      <c r="E119">
        <f>IF([@Bib]="","",XLOOKUP([@Bib],tblReg[Bib],tblReg[Team],""))</f>
      </c>
      <c r="F119" s="3" t="s">
        <v>22</v>
      </c>
      <c r="G119">
        <f>IF([@StageTime]="","",HOUR([@StageTime])*3600 + MINUTE([@StageTime])*60 + SECOND([@StageTime]))</f>
      </c>
      <c r="H119">
        <f>IF([@StageSeconds]="","",RANK([@StageSeconds],tblStage1[StageSeconds],1))</f>
      </c>
      <c r="I119">
        <f>IF([@Position]="",0,XLOOKUP([@Position],Config!tblBonus[Place],Config!tblBonus[Stage1BonusSec],0))</f>
      </c>
      <c r="J119">
        <f>IF([@StageSeconds]="","",[@StageSeconds]-[@BonusSeconds])</f>
      </c>
      <c r="K119" s="3">
        <f>IF([@NetSeconds]="","",[@NetSeconds]/86400)</f>
      </c>
    </row>
    <row r="120" spans="1:11" x14ac:dyDescent="0.25">
      <c r="A120" t="s">
        <v>22</v>
      </c>
      <c r="B120">
        <f>IF([@Bib]="","",XLOOKUP([@Bib],tblReg[Bib],tblReg[Field],""))</f>
      </c>
      <c r="C120">
        <f>IF([@Bib]="","",XLOOKUP([@Bib],tblReg[Bib],tblReg[FirstName],""))</f>
      </c>
      <c r="D120">
        <f>IF([@Bib]="","",XLOOKUP([@Bib],tblReg[Bib],tblReg[LastName],""))</f>
      </c>
      <c r="E120">
        <f>IF([@Bib]="","",XLOOKUP([@Bib],tblReg[Bib],tblReg[Team],""))</f>
      </c>
      <c r="F120" s="3" t="s">
        <v>22</v>
      </c>
      <c r="G120">
        <f>IF([@StageTime]="","",HOUR([@StageTime])*3600 + MINUTE([@StageTime])*60 + SECOND([@StageTime]))</f>
      </c>
      <c r="H120">
        <f>IF([@StageSeconds]="","",RANK([@StageSeconds],tblStage1[StageSeconds],1))</f>
      </c>
      <c r="I120">
        <f>IF([@Position]="",0,XLOOKUP([@Position],Config!tblBonus[Place],Config!tblBonus[Stage1BonusSec],0))</f>
      </c>
      <c r="J120">
        <f>IF([@StageSeconds]="","",[@StageSeconds]-[@BonusSeconds])</f>
      </c>
      <c r="K120" s="3">
        <f>IF([@NetSeconds]="","",[@NetSeconds]/86400)</f>
      </c>
    </row>
    <row r="121" spans="1:11" x14ac:dyDescent="0.25">
      <c r="A121" t="s">
        <v>22</v>
      </c>
      <c r="B121">
        <f>IF([@Bib]="","",XLOOKUP([@Bib],tblReg[Bib],tblReg[Field],""))</f>
      </c>
      <c r="C121">
        <f>IF([@Bib]="","",XLOOKUP([@Bib],tblReg[Bib],tblReg[FirstName],""))</f>
      </c>
      <c r="D121">
        <f>IF([@Bib]="","",XLOOKUP([@Bib],tblReg[Bib],tblReg[LastName],""))</f>
      </c>
      <c r="E121">
        <f>IF([@Bib]="","",XLOOKUP([@Bib],tblReg[Bib],tblReg[Team],""))</f>
      </c>
      <c r="F121" s="3" t="s">
        <v>22</v>
      </c>
      <c r="G121">
        <f>IF([@StageTime]="","",HOUR([@StageTime])*3600 + MINUTE([@StageTime])*60 + SECOND([@StageTime]))</f>
      </c>
      <c r="H121">
        <f>IF([@StageSeconds]="","",RANK([@StageSeconds],tblStage1[StageSeconds],1))</f>
      </c>
      <c r="I121">
        <f>IF([@Position]="",0,XLOOKUP([@Position],Config!tblBonus[Place],Config!tblBonus[Stage1BonusSec],0))</f>
      </c>
      <c r="J121">
        <f>IF([@StageSeconds]="","",[@StageSeconds]-[@BonusSeconds])</f>
      </c>
      <c r="K121" s="3">
        <f>IF([@NetSeconds]="","",[@NetSeconds]/86400)</f>
      </c>
    </row>
    <row r="122" spans="1:11" x14ac:dyDescent="0.25">
      <c r="A122" t="s">
        <v>22</v>
      </c>
      <c r="B122">
        <f>IF([@Bib]="","",XLOOKUP([@Bib],tblReg[Bib],tblReg[Field],""))</f>
      </c>
      <c r="C122">
        <f>IF([@Bib]="","",XLOOKUP([@Bib],tblReg[Bib],tblReg[FirstName],""))</f>
      </c>
      <c r="D122">
        <f>IF([@Bib]="","",XLOOKUP([@Bib],tblReg[Bib],tblReg[LastName],""))</f>
      </c>
      <c r="E122">
        <f>IF([@Bib]="","",XLOOKUP([@Bib],tblReg[Bib],tblReg[Team],""))</f>
      </c>
      <c r="F122" s="3" t="s">
        <v>22</v>
      </c>
      <c r="G122">
        <f>IF([@StageTime]="","",HOUR([@StageTime])*3600 + MINUTE([@StageTime])*60 + SECOND([@StageTime]))</f>
      </c>
      <c r="H122">
        <f>IF([@StageSeconds]="","",RANK([@StageSeconds],tblStage1[StageSeconds],1))</f>
      </c>
      <c r="I122">
        <f>IF([@Position]="",0,XLOOKUP([@Position],Config!tblBonus[Place],Config!tblBonus[Stage1BonusSec],0))</f>
      </c>
      <c r="J122">
        <f>IF([@StageSeconds]="","",[@StageSeconds]-[@BonusSeconds])</f>
      </c>
      <c r="K122" s="3">
        <f>IF([@NetSeconds]="","",[@NetSeconds]/86400)</f>
      </c>
    </row>
    <row r="123" spans="1:11" x14ac:dyDescent="0.25">
      <c r="A123" t="s">
        <v>22</v>
      </c>
      <c r="B123">
        <f>IF([@Bib]="","",XLOOKUP([@Bib],tblReg[Bib],tblReg[Field],""))</f>
      </c>
      <c r="C123">
        <f>IF([@Bib]="","",XLOOKUP([@Bib],tblReg[Bib],tblReg[FirstName],""))</f>
      </c>
      <c r="D123">
        <f>IF([@Bib]="","",XLOOKUP([@Bib],tblReg[Bib],tblReg[LastName],""))</f>
      </c>
      <c r="E123">
        <f>IF([@Bib]="","",XLOOKUP([@Bib],tblReg[Bib],tblReg[Team],""))</f>
      </c>
      <c r="F123" s="3" t="s">
        <v>22</v>
      </c>
      <c r="G123">
        <f>IF([@StageTime]="","",HOUR([@StageTime])*3600 + MINUTE([@StageTime])*60 + SECOND([@StageTime]))</f>
      </c>
      <c r="H123">
        <f>IF([@StageSeconds]="","",RANK([@StageSeconds],tblStage1[StageSeconds],1))</f>
      </c>
      <c r="I123">
        <f>IF([@Position]="",0,XLOOKUP([@Position],Config!tblBonus[Place],Config!tblBonus[Stage1BonusSec],0))</f>
      </c>
      <c r="J123">
        <f>IF([@StageSeconds]="","",[@StageSeconds]-[@BonusSeconds])</f>
      </c>
      <c r="K123" s="3">
        <f>IF([@NetSeconds]="","",[@NetSeconds]/86400)</f>
      </c>
    </row>
    <row r="124" spans="1:11" x14ac:dyDescent="0.25">
      <c r="A124" t="s">
        <v>22</v>
      </c>
      <c r="B124">
        <f>IF([@Bib]="","",XLOOKUP([@Bib],tblReg[Bib],tblReg[Field],""))</f>
      </c>
      <c r="C124">
        <f>IF([@Bib]="","",XLOOKUP([@Bib],tblReg[Bib],tblReg[FirstName],""))</f>
      </c>
      <c r="D124">
        <f>IF([@Bib]="","",XLOOKUP([@Bib],tblReg[Bib],tblReg[LastName],""))</f>
      </c>
      <c r="E124">
        <f>IF([@Bib]="","",XLOOKUP([@Bib],tblReg[Bib],tblReg[Team],""))</f>
      </c>
      <c r="F124" s="3" t="s">
        <v>22</v>
      </c>
      <c r="G124">
        <f>IF([@StageTime]="","",HOUR([@StageTime])*3600 + MINUTE([@StageTime])*60 + SECOND([@StageTime]))</f>
      </c>
      <c r="H124">
        <f>IF([@StageSeconds]="","",RANK([@StageSeconds],tblStage1[StageSeconds],1))</f>
      </c>
      <c r="I124">
        <f>IF([@Position]="",0,XLOOKUP([@Position],Config!tblBonus[Place],Config!tblBonus[Stage1BonusSec],0))</f>
      </c>
      <c r="J124">
        <f>IF([@StageSeconds]="","",[@StageSeconds]-[@BonusSeconds])</f>
      </c>
      <c r="K124" s="3">
        <f>IF([@NetSeconds]="","",[@NetSeconds]/86400)</f>
      </c>
    </row>
    <row r="125" spans="1:11" x14ac:dyDescent="0.25">
      <c r="A125" t="s">
        <v>22</v>
      </c>
      <c r="B125">
        <f>IF([@Bib]="","",XLOOKUP([@Bib],tblReg[Bib],tblReg[Field],""))</f>
      </c>
      <c r="C125">
        <f>IF([@Bib]="","",XLOOKUP([@Bib],tblReg[Bib],tblReg[FirstName],""))</f>
      </c>
      <c r="D125">
        <f>IF([@Bib]="","",XLOOKUP([@Bib],tblReg[Bib],tblReg[LastName],""))</f>
      </c>
      <c r="E125">
        <f>IF([@Bib]="","",XLOOKUP([@Bib],tblReg[Bib],tblReg[Team],""))</f>
      </c>
      <c r="F125" s="3" t="s">
        <v>22</v>
      </c>
      <c r="G125">
        <f>IF([@StageTime]="","",HOUR([@StageTime])*3600 + MINUTE([@StageTime])*60 + SECOND([@StageTime]))</f>
      </c>
      <c r="H125">
        <f>IF([@StageSeconds]="","",RANK([@StageSeconds],tblStage1[StageSeconds],1))</f>
      </c>
      <c r="I125">
        <f>IF([@Position]="",0,XLOOKUP([@Position],Config!tblBonus[Place],Config!tblBonus[Stage1BonusSec],0))</f>
      </c>
      <c r="J125">
        <f>IF([@StageSeconds]="","",[@StageSeconds]-[@BonusSeconds])</f>
      </c>
      <c r="K125" s="3">
        <f>IF([@NetSeconds]="","",[@NetSeconds]/86400)</f>
      </c>
    </row>
    <row r="126" spans="1:11" x14ac:dyDescent="0.25">
      <c r="A126" t="s">
        <v>22</v>
      </c>
      <c r="B126">
        <f>IF([@Bib]="","",XLOOKUP([@Bib],tblReg[Bib],tblReg[Field],""))</f>
      </c>
      <c r="C126">
        <f>IF([@Bib]="","",XLOOKUP([@Bib],tblReg[Bib],tblReg[FirstName],""))</f>
      </c>
      <c r="D126">
        <f>IF([@Bib]="","",XLOOKUP([@Bib],tblReg[Bib],tblReg[LastName],""))</f>
      </c>
      <c r="E126">
        <f>IF([@Bib]="","",XLOOKUP([@Bib],tblReg[Bib],tblReg[Team],""))</f>
      </c>
      <c r="F126" s="3" t="s">
        <v>22</v>
      </c>
      <c r="G126">
        <f>IF([@StageTime]="","",HOUR([@StageTime])*3600 + MINUTE([@StageTime])*60 + SECOND([@StageTime]))</f>
      </c>
      <c r="H126">
        <f>IF([@StageSeconds]="","",RANK([@StageSeconds],tblStage1[StageSeconds],1))</f>
      </c>
      <c r="I126">
        <f>IF([@Position]="",0,XLOOKUP([@Position],Config!tblBonus[Place],Config!tblBonus[Stage1BonusSec],0))</f>
      </c>
      <c r="J126">
        <f>IF([@StageSeconds]="","",[@StageSeconds]-[@BonusSeconds])</f>
      </c>
      <c r="K126" s="3">
        <f>IF([@NetSeconds]="","",[@NetSeconds]/86400)</f>
      </c>
    </row>
    <row r="127" spans="1:11" x14ac:dyDescent="0.25">
      <c r="A127" t="s">
        <v>22</v>
      </c>
      <c r="B127">
        <f>IF([@Bib]="","",XLOOKUP([@Bib],tblReg[Bib],tblReg[Field],""))</f>
      </c>
      <c r="C127">
        <f>IF([@Bib]="","",XLOOKUP([@Bib],tblReg[Bib],tblReg[FirstName],""))</f>
      </c>
      <c r="D127">
        <f>IF([@Bib]="","",XLOOKUP([@Bib],tblReg[Bib],tblReg[LastName],""))</f>
      </c>
      <c r="E127">
        <f>IF([@Bib]="","",XLOOKUP([@Bib],tblReg[Bib],tblReg[Team],""))</f>
      </c>
      <c r="F127" s="3" t="s">
        <v>22</v>
      </c>
      <c r="G127">
        <f>IF([@StageTime]="","",HOUR([@StageTime])*3600 + MINUTE([@StageTime])*60 + SECOND([@StageTime]))</f>
      </c>
      <c r="H127">
        <f>IF([@StageSeconds]="","",RANK([@StageSeconds],tblStage1[StageSeconds],1))</f>
      </c>
      <c r="I127">
        <f>IF([@Position]="",0,XLOOKUP([@Position],Config!tblBonus[Place],Config!tblBonus[Stage1BonusSec],0))</f>
      </c>
      <c r="J127">
        <f>IF([@StageSeconds]="","",[@StageSeconds]-[@BonusSeconds])</f>
      </c>
      <c r="K127" s="3">
        <f>IF([@NetSeconds]="","",[@NetSeconds]/86400)</f>
      </c>
    </row>
    <row r="128" spans="1:11" x14ac:dyDescent="0.25">
      <c r="A128" t="s">
        <v>22</v>
      </c>
      <c r="B128">
        <f>IF([@Bib]="","",XLOOKUP([@Bib],tblReg[Bib],tblReg[Field],""))</f>
      </c>
      <c r="C128">
        <f>IF([@Bib]="","",XLOOKUP([@Bib],tblReg[Bib],tblReg[FirstName],""))</f>
      </c>
      <c r="D128">
        <f>IF([@Bib]="","",XLOOKUP([@Bib],tblReg[Bib],tblReg[LastName],""))</f>
      </c>
      <c r="E128">
        <f>IF([@Bib]="","",XLOOKUP([@Bib],tblReg[Bib],tblReg[Team],""))</f>
      </c>
      <c r="F128" s="3" t="s">
        <v>22</v>
      </c>
      <c r="G128">
        <f>IF([@StageTime]="","",HOUR([@StageTime])*3600 + MINUTE([@StageTime])*60 + SECOND([@StageTime]))</f>
      </c>
      <c r="H128">
        <f>IF([@StageSeconds]="","",RANK([@StageSeconds],tblStage1[StageSeconds],1))</f>
      </c>
      <c r="I128">
        <f>IF([@Position]="",0,XLOOKUP([@Position],Config!tblBonus[Place],Config!tblBonus[Stage1BonusSec],0))</f>
      </c>
      <c r="J128">
        <f>IF([@StageSeconds]="","",[@StageSeconds]-[@BonusSeconds])</f>
      </c>
      <c r="K128" s="3">
        <f>IF([@NetSeconds]="","",[@NetSeconds]/86400)</f>
      </c>
    </row>
    <row r="129" spans="1:11" x14ac:dyDescent="0.25">
      <c r="A129" t="s">
        <v>22</v>
      </c>
      <c r="B129">
        <f>IF([@Bib]="","",XLOOKUP([@Bib],tblReg[Bib],tblReg[Field],""))</f>
      </c>
      <c r="C129">
        <f>IF([@Bib]="","",XLOOKUP([@Bib],tblReg[Bib],tblReg[FirstName],""))</f>
      </c>
      <c r="D129">
        <f>IF([@Bib]="","",XLOOKUP([@Bib],tblReg[Bib],tblReg[LastName],""))</f>
      </c>
      <c r="E129">
        <f>IF([@Bib]="","",XLOOKUP([@Bib],tblReg[Bib],tblReg[Team],""))</f>
      </c>
      <c r="F129" s="3" t="s">
        <v>22</v>
      </c>
      <c r="G129">
        <f>IF([@StageTime]="","",HOUR([@StageTime])*3600 + MINUTE([@StageTime])*60 + SECOND([@StageTime]))</f>
      </c>
      <c r="H129">
        <f>IF([@StageSeconds]="","",RANK([@StageSeconds],tblStage1[StageSeconds],1))</f>
      </c>
      <c r="I129">
        <f>IF([@Position]="",0,XLOOKUP([@Position],Config!tblBonus[Place],Config!tblBonus[Stage1BonusSec],0))</f>
      </c>
      <c r="J129">
        <f>IF([@StageSeconds]="","",[@StageSeconds]-[@BonusSeconds])</f>
      </c>
      <c r="K129" s="3">
        <f>IF([@NetSeconds]="","",[@NetSeconds]/86400)</f>
      </c>
    </row>
    <row r="130" spans="1:11" x14ac:dyDescent="0.25">
      <c r="A130" t="s">
        <v>22</v>
      </c>
      <c r="B130">
        <f>IF([@Bib]="","",XLOOKUP([@Bib],tblReg[Bib],tblReg[Field],""))</f>
      </c>
      <c r="C130">
        <f>IF([@Bib]="","",XLOOKUP([@Bib],tblReg[Bib],tblReg[FirstName],""))</f>
      </c>
      <c r="D130">
        <f>IF([@Bib]="","",XLOOKUP([@Bib],tblReg[Bib],tblReg[LastName],""))</f>
      </c>
      <c r="E130">
        <f>IF([@Bib]="","",XLOOKUP([@Bib],tblReg[Bib],tblReg[Team],""))</f>
      </c>
      <c r="F130" s="3" t="s">
        <v>22</v>
      </c>
      <c r="G130">
        <f>IF([@StageTime]="","",HOUR([@StageTime])*3600 + MINUTE([@StageTime])*60 + SECOND([@StageTime]))</f>
      </c>
      <c r="H130">
        <f>IF([@StageSeconds]="","",RANK([@StageSeconds],tblStage1[StageSeconds],1))</f>
      </c>
      <c r="I130">
        <f>IF([@Position]="",0,XLOOKUP([@Position],Config!tblBonus[Place],Config!tblBonus[Stage1BonusSec],0))</f>
      </c>
      <c r="J130">
        <f>IF([@StageSeconds]="","",[@StageSeconds]-[@BonusSeconds])</f>
      </c>
      <c r="K130" s="3">
        <f>IF([@NetSeconds]="","",[@NetSeconds]/86400)</f>
      </c>
    </row>
    <row r="131" spans="1:11" x14ac:dyDescent="0.25">
      <c r="A131" t="s">
        <v>22</v>
      </c>
      <c r="B131">
        <f>IF([@Bib]="","",XLOOKUP([@Bib],tblReg[Bib],tblReg[Field],""))</f>
      </c>
      <c r="C131">
        <f>IF([@Bib]="","",XLOOKUP([@Bib],tblReg[Bib],tblReg[FirstName],""))</f>
      </c>
      <c r="D131">
        <f>IF([@Bib]="","",XLOOKUP([@Bib],tblReg[Bib],tblReg[LastName],""))</f>
      </c>
      <c r="E131">
        <f>IF([@Bib]="","",XLOOKUP([@Bib],tblReg[Bib],tblReg[Team],""))</f>
      </c>
      <c r="F131" s="3" t="s">
        <v>22</v>
      </c>
      <c r="G131">
        <f>IF([@StageTime]="","",HOUR([@StageTime])*3600 + MINUTE([@StageTime])*60 + SECOND([@StageTime]))</f>
      </c>
      <c r="H131">
        <f>IF([@StageSeconds]="","",RANK([@StageSeconds],tblStage1[StageSeconds],1))</f>
      </c>
      <c r="I131">
        <f>IF([@Position]="",0,XLOOKUP([@Position],Config!tblBonus[Place],Config!tblBonus[Stage1BonusSec],0))</f>
      </c>
      <c r="J131">
        <f>IF([@StageSeconds]="","",[@StageSeconds]-[@BonusSeconds])</f>
      </c>
      <c r="K131" s="3">
        <f>IF([@NetSeconds]="","",[@NetSeconds]/86400)</f>
      </c>
    </row>
    <row r="132" spans="1:11" x14ac:dyDescent="0.25">
      <c r="A132" t="s">
        <v>22</v>
      </c>
      <c r="B132">
        <f>IF([@Bib]="","",XLOOKUP([@Bib],tblReg[Bib],tblReg[Field],""))</f>
      </c>
      <c r="C132">
        <f>IF([@Bib]="","",XLOOKUP([@Bib],tblReg[Bib],tblReg[FirstName],""))</f>
      </c>
      <c r="D132">
        <f>IF([@Bib]="","",XLOOKUP([@Bib],tblReg[Bib],tblReg[LastName],""))</f>
      </c>
      <c r="E132">
        <f>IF([@Bib]="","",XLOOKUP([@Bib],tblReg[Bib],tblReg[Team],""))</f>
      </c>
      <c r="F132" s="3" t="s">
        <v>22</v>
      </c>
      <c r="G132">
        <f>IF([@StageTime]="","",HOUR([@StageTime])*3600 + MINUTE([@StageTime])*60 + SECOND([@StageTime]))</f>
      </c>
      <c r="H132">
        <f>IF([@StageSeconds]="","",RANK([@StageSeconds],tblStage1[StageSeconds],1))</f>
      </c>
      <c r="I132">
        <f>IF([@Position]="",0,XLOOKUP([@Position],Config!tblBonus[Place],Config!tblBonus[Stage1BonusSec],0))</f>
      </c>
      <c r="J132">
        <f>IF([@StageSeconds]="","",[@StageSeconds]-[@BonusSeconds])</f>
      </c>
      <c r="K132" s="3">
        <f>IF([@NetSeconds]="","",[@NetSeconds]/86400)</f>
      </c>
    </row>
    <row r="133" spans="1:11" x14ac:dyDescent="0.25">
      <c r="A133" t="s">
        <v>22</v>
      </c>
      <c r="B133">
        <f>IF([@Bib]="","",XLOOKUP([@Bib],tblReg[Bib],tblReg[Field],""))</f>
      </c>
      <c r="C133">
        <f>IF([@Bib]="","",XLOOKUP([@Bib],tblReg[Bib],tblReg[FirstName],""))</f>
      </c>
      <c r="D133">
        <f>IF([@Bib]="","",XLOOKUP([@Bib],tblReg[Bib],tblReg[LastName],""))</f>
      </c>
      <c r="E133">
        <f>IF([@Bib]="","",XLOOKUP([@Bib],tblReg[Bib],tblReg[Team],""))</f>
      </c>
      <c r="F133" s="3" t="s">
        <v>22</v>
      </c>
      <c r="G133">
        <f>IF([@StageTime]="","",HOUR([@StageTime])*3600 + MINUTE([@StageTime])*60 + SECOND([@StageTime]))</f>
      </c>
      <c r="H133">
        <f>IF([@StageSeconds]="","",RANK([@StageSeconds],tblStage1[StageSeconds],1))</f>
      </c>
      <c r="I133">
        <f>IF([@Position]="",0,XLOOKUP([@Position],Config!tblBonus[Place],Config!tblBonus[Stage1BonusSec],0))</f>
      </c>
      <c r="J133">
        <f>IF([@StageSeconds]="","",[@StageSeconds]-[@BonusSeconds])</f>
      </c>
      <c r="K133" s="3">
        <f>IF([@NetSeconds]="","",[@NetSeconds]/86400)</f>
      </c>
    </row>
    <row r="134" spans="1:11" x14ac:dyDescent="0.25">
      <c r="A134" t="s">
        <v>22</v>
      </c>
      <c r="B134">
        <f>IF([@Bib]="","",XLOOKUP([@Bib],tblReg[Bib],tblReg[Field],""))</f>
      </c>
      <c r="C134">
        <f>IF([@Bib]="","",XLOOKUP([@Bib],tblReg[Bib],tblReg[FirstName],""))</f>
      </c>
      <c r="D134">
        <f>IF([@Bib]="","",XLOOKUP([@Bib],tblReg[Bib],tblReg[LastName],""))</f>
      </c>
      <c r="E134">
        <f>IF([@Bib]="","",XLOOKUP([@Bib],tblReg[Bib],tblReg[Team],""))</f>
      </c>
      <c r="F134" s="3" t="s">
        <v>22</v>
      </c>
      <c r="G134">
        <f>IF([@StageTime]="","",HOUR([@StageTime])*3600 + MINUTE([@StageTime])*60 + SECOND([@StageTime]))</f>
      </c>
      <c r="H134">
        <f>IF([@StageSeconds]="","",RANK([@StageSeconds],tblStage1[StageSeconds],1))</f>
      </c>
      <c r="I134">
        <f>IF([@Position]="",0,XLOOKUP([@Position],Config!tblBonus[Place],Config!tblBonus[Stage1BonusSec],0))</f>
      </c>
      <c r="J134">
        <f>IF([@StageSeconds]="","",[@StageSeconds]-[@BonusSeconds])</f>
      </c>
      <c r="K134" s="3">
        <f>IF([@NetSeconds]="","",[@NetSeconds]/86400)</f>
      </c>
    </row>
    <row r="135" spans="1:11" x14ac:dyDescent="0.25">
      <c r="A135" t="s">
        <v>22</v>
      </c>
      <c r="B135">
        <f>IF([@Bib]="","",XLOOKUP([@Bib],tblReg[Bib],tblReg[Field],""))</f>
      </c>
      <c r="C135">
        <f>IF([@Bib]="","",XLOOKUP([@Bib],tblReg[Bib],tblReg[FirstName],""))</f>
      </c>
      <c r="D135">
        <f>IF([@Bib]="","",XLOOKUP([@Bib],tblReg[Bib],tblReg[LastName],""))</f>
      </c>
      <c r="E135">
        <f>IF([@Bib]="","",XLOOKUP([@Bib],tblReg[Bib],tblReg[Team],""))</f>
      </c>
      <c r="F135" s="3" t="s">
        <v>22</v>
      </c>
      <c r="G135">
        <f>IF([@StageTime]="","",HOUR([@StageTime])*3600 + MINUTE([@StageTime])*60 + SECOND([@StageTime]))</f>
      </c>
      <c r="H135">
        <f>IF([@StageSeconds]="","",RANK([@StageSeconds],tblStage1[StageSeconds],1))</f>
      </c>
      <c r="I135">
        <f>IF([@Position]="",0,XLOOKUP([@Position],Config!tblBonus[Place],Config!tblBonus[Stage1BonusSec],0))</f>
      </c>
      <c r="J135">
        <f>IF([@StageSeconds]="","",[@StageSeconds]-[@BonusSeconds])</f>
      </c>
      <c r="K135" s="3">
        <f>IF([@NetSeconds]="","",[@NetSeconds]/86400)</f>
      </c>
    </row>
    <row r="136" spans="1:11" x14ac:dyDescent="0.25">
      <c r="A136" t="s">
        <v>22</v>
      </c>
      <c r="B136">
        <f>IF([@Bib]="","",XLOOKUP([@Bib],tblReg[Bib],tblReg[Field],""))</f>
      </c>
      <c r="C136">
        <f>IF([@Bib]="","",XLOOKUP([@Bib],tblReg[Bib],tblReg[FirstName],""))</f>
      </c>
      <c r="D136">
        <f>IF([@Bib]="","",XLOOKUP([@Bib],tblReg[Bib],tblReg[LastName],""))</f>
      </c>
      <c r="E136">
        <f>IF([@Bib]="","",XLOOKUP([@Bib],tblReg[Bib],tblReg[Team],""))</f>
      </c>
      <c r="F136" s="3" t="s">
        <v>22</v>
      </c>
      <c r="G136">
        <f>IF([@StageTime]="","",HOUR([@StageTime])*3600 + MINUTE([@StageTime])*60 + SECOND([@StageTime]))</f>
      </c>
      <c r="H136">
        <f>IF([@StageSeconds]="","",RANK([@StageSeconds],tblStage1[StageSeconds],1))</f>
      </c>
      <c r="I136">
        <f>IF([@Position]="",0,XLOOKUP([@Position],Config!tblBonus[Place],Config!tblBonus[Stage1BonusSec],0))</f>
      </c>
      <c r="J136">
        <f>IF([@StageSeconds]="","",[@StageSeconds]-[@BonusSeconds])</f>
      </c>
      <c r="K136" s="3">
        <f>IF([@NetSeconds]="","",[@NetSeconds]/86400)</f>
      </c>
    </row>
    <row r="137" spans="1:11" x14ac:dyDescent="0.25">
      <c r="A137" t="s">
        <v>22</v>
      </c>
      <c r="B137">
        <f>IF([@Bib]="","",XLOOKUP([@Bib],tblReg[Bib],tblReg[Field],""))</f>
      </c>
      <c r="C137">
        <f>IF([@Bib]="","",XLOOKUP([@Bib],tblReg[Bib],tblReg[FirstName],""))</f>
      </c>
      <c r="D137">
        <f>IF([@Bib]="","",XLOOKUP([@Bib],tblReg[Bib],tblReg[LastName],""))</f>
      </c>
      <c r="E137">
        <f>IF([@Bib]="","",XLOOKUP([@Bib],tblReg[Bib],tblReg[Team],""))</f>
      </c>
      <c r="F137" s="3" t="s">
        <v>22</v>
      </c>
      <c r="G137">
        <f>IF([@StageTime]="","",HOUR([@StageTime])*3600 + MINUTE([@StageTime])*60 + SECOND([@StageTime]))</f>
      </c>
      <c r="H137">
        <f>IF([@StageSeconds]="","",RANK([@StageSeconds],tblStage1[StageSeconds],1))</f>
      </c>
      <c r="I137">
        <f>IF([@Position]="",0,XLOOKUP([@Position],Config!tblBonus[Place],Config!tblBonus[Stage1BonusSec],0))</f>
      </c>
      <c r="J137">
        <f>IF([@StageSeconds]="","",[@StageSeconds]-[@BonusSeconds])</f>
      </c>
      <c r="K137" s="3">
        <f>IF([@NetSeconds]="","",[@NetSeconds]/86400)</f>
      </c>
    </row>
    <row r="138" spans="1:11" x14ac:dyDescent="0.25">
      <c r="A138" t="s">
        <v>22</v>
      </c>
      <c r="B138">
        <f>IF([@Bib]="","",XLOOKUP([@Bib],tblReg[Bib],tblReg[Field],""))</f>
      </c>
      <c r="C138">
        <f>IF([@Bib]="","",XLOOKUP([@Bib],tblReg[Bib],tblReg[FirstName],""))</f>
      </c>
      <c r="D138">
        <f>IF([@Bib]="","",XLOOKUP([@Bib],tblReg[Bib],tblReg[LastName],""))</f>
      </c>
      <c r="E138">
        <f>IF([@Bib]="","",XLOOKUP([@Bib],tblReg[Bib],tblReg[Team],""))</f>
      </c>
      <c r="F138" s="3" t="s">
        <v>22</v>
      </c>
      <c r="G138">
        <f>IF([@StageTime]="","",HOUR([@StageTime])*3600 + MINUTE([@StageTime])*60 + SECOND([@StageTime]))</f>
      </c>
      <c r="H138">
        <f>IF([@StageSeconds]="","",RANK([@StageSeconds],tblStage1[StageSeconds],1))</f>
      </c>
      <c r="I138">
        <f>IF([@Position]="",0,XLOOKUP([@Position],Config!tblBonus[Place],Config!tblBonus[Stage1BonusSec],0))</f>
      </c>
      <c r="J138">
        <f>IF([@StageSeconds]="","",[@StageSeconds]-[@BonusSeconds])</f>
      </c>
      <c r="K138" s="3">
        <f>IF([@NetSeconds]="","",[@NetSeconds]/86400)</f>
      </c>
    </row>
    <row r="139" spans="1:11" x14ac:dyDescent="0.25">
      <c r="A139" t="s">
        <v>22</v>
      </c>
      <c r="B139">
        <f>IF([@Bib]="","",XLOOKUP([@Bib],tblReg[Bib],tblReg[Field],""))</f>
      </c>
      <c r="C139">
        <f>IF([@Bib]="","",XLOOKUP([@Bib],tblReg[Bib],tblReg[FirstName],""))</f>
      </c>
      <c r="D139">
        <f>IF([@Bib]="","",XLOOKUP([@Bib],tblReg[Bib],tblReg[LastName],""))</f>
      </c>
      <c r="E139">
        <f>IF([@Bib]="","",XLOOKUP([@Bib],tblReg[Bib],tblReg[Team],""))</f>
      </c>
      <c r="F139" s="3" t="s">
        <v>22</v>
      </c>
      <c r="G139">
        <f>IF([@StageTime]="","",HOUR([@StageTime])*3600 + MINUTE([@StageTime])*60 + SECOND([@StageTime]))</f>
      </c>
      <c r="H139">
        <f>IF([@StageSeconds]="","",RANK([@StageSeconds],tblStage1[StageSeconds],1))</f>
      </c>
      <c r="I139">
        <f>IF([@Position]="",0,XLOOKUP([@Position],Config!tblBonus[Place],Config!tblBonus[Stage1BonusSec],0))</f>
      </c>
      <c r="J139">
        <f>IF([@StageSeconds]="","",[@StageSeconds]-[@BonusSeconds])</f>
      </c>
      <c r="K139" s="3">
        <f>IF([@NetSeconds]="","",[@NetSeconds]/86400)</f>
      </c>
    </row>
    <row r="140" spans="1:11" x14ac:dyDescent="0.25">
      <c r="A140" t="s">
        <v>22</v>
      </c>
      <c r="B140">
        <f>IF([@Bib]="","",XLOOKUP([@Bib],tblReg[Bib],tblReg[Field],""))</f>
      </c>
      <c r="C140">
        <f>IF([@Bib]="","",XLOOKUP([@Bib],tblReg[Bib],tblReg[FirstName],""))</f>
      </c>
      <c r="D140">
        <f>IF([@Bib]="","",XLOOKUP([@Bib],tblReg[Bib],tblReg[LastName],""))</f>
      </c>
      <c r="E140">
        <f>IF([@Bib]="","",XLOOKUP([@Bib],tblReg[Bib],tblReg[Team],""))</f>
      </c>
      <c r="F140" s="3" t="s">
        <v>22</v>
      </c>
      <c r="G140">
        <f>IF([@StageTime]="","",HOUR([@StageTime])*3600 + MINUTE([@StageTime])*60 + SECOND([@StageTime]))</f>
      </c>
      <c r="H140">
        <f>IF([@StageSeconds]="","",RANK([@StageSeconds],tblStage1[StageSeconds],1))</f>
      </c>
      <c r="I140">
        <f>IF([@Position]="",0,XLOOKUP([@Position],Config!tblBonus[Place],Config!tblBonus[Stage1BonusSec],0))</f>
      </c>
      <c r="J140">
        <f>IF([@StageSeconds]="","",[@StageSeconds]-[@BonusSeconds])</f>
      </c>
      <c r="K140" s="3">
        <f>IF([@NetSeconds]="","",[@NetSeconds]/86400)</f>
      </c>
    </row>
    <row r="141" spans="1:11" x14ac:dyDescent="0.25">
      <c r="A141" t="s">
        <v>22</v>
      </c>
      <c r="B141">
        <f>IF([@Bib]="","",XLOOKUP([@Bib],tblReg[Bib],tblReg[Field],""))</f>
      </c>
      <c r="C141">
        <f>IF([@Bib]="","",XLOOKUP([@Bib],tblReg[Bib],tblReg[FirstName],""))</f>
      </c>
      <c r="D141">
        <f>IF([@Bib]="","",XLOOKUP([@Bib],tblReg[Bib],tblReg[LastName],""))</f>
      </c>
      <c r="E141">
        <f>IF([@Bib]="","",XLOOKUP([@Bib],tblReg[Bib],tblReg[Team],""))</f>
      </c>
      <c r="F141" s="3" t="s">
        <v>22</v>
      </c>
      <c r="G141">
        <f>IF([@StageTime]="","",HOUR([@StageTime])*3600 + MINUTE([@StageTime])*60 + SECOND([@StageTime]))</f>
      </c>
      <c r="H141">
        <f>IF([@StageSeconds]="","",RANK([@StageSeconds],tblStage1[StageSeconds],1))</f>
      </c>
      <c r="I141">
        <f>IF([@Position]="",0,XLOOKUP([@Position],Config!tblBonus[Place],Config!tblBonus[Stage1BonusSec],0))</f>
      </c>
      <c r="J141">
        <f>IF([@StageSeconds]="","",[@StageSeconds]-[@BonusSeconds])</f>
      </c>
      <c r="K141" s="3">
        <f>IF([@NetSeconds]="","",[@NetSeconds]/86400)</f>
      </c>
    </row>
    <row r="142" spans="1:11" x14ac:dyDescent="0.25">
      <c r="A142" t="s">
        <v>22</v>
      </c>
      <c r="B142">
        <f>IF([@Bib]="","",XLOOKUP([@Bib],tblReg[Bib],tblReg[Field],""))</f>
      </c>
      <c r="C142">
        <f>IF([@Bib]="","",XLOOKUP([@Bib],tblReg[Bib],tblReg[FirstName],""))</f>
      </c>
      <c r="D142">
        <f>IF([@Bib]="","",XLOOKUP([@Bib],tblReg[Bib],tblReg[LastName],""))</f>
      </c>
      <c r="E142">
        <f>IF([@Bib]="","",XLOOKUP([@Bib],tblReg[Bib],tblReg[Team],""))</f>
      </c>
      <c r="F142" s="3" t="s">
        <v>22</v>
      </c>
      <c r="G142">
        <f>IF([@StageTime]="","",HOUR([@StageTime])*3600 + MINUTE([@StageTime])*60 + SECOND([@StageTime]))</f>
      </c>
      <c r="H142">
        <f>IF([@StageSeconds]="","",RANK([@StageSeconds],tblStage1[StageSeconds],1))</f>
      </c>
      <c r="I142">
        <f>IF([@Position]="",0,XLOOKUP([@Position],Config!tblBonus[Place],Config!tblBonus[Stage1BonusSec],0))</f>
      </c>
      <c r="J142">
        <f>IF([@StageSeconds]="","",[@StageSeconds]-[@BonusSeconds])</f>
      </c>
      <c r="K142" s="3">
        <f>IF([@NetSeconds]="","",[@NetSeconds]/86400)</f>
      </c>
    </row>
    <row r="143" spans="1:11" x14ac:dyDescent="0.25">
      <c r="A143" t="s">
        <v>22</v>
      </c>
      <c r="B143">
        <f>IF([@Bib]="","",XLOOKUP([@Bib],tblReg[Bib],tblReg[Field],""))</f>
      </c>
      <c r="C143">
        <f>IF([@Bib]="","",XLOOKUP([@Bib],tblReg[Bib],tblReg[FirstName],""))</f>
      </c>
      <c r="D143">
        <f>IF([@Bib]="","",XLOOKUP([@Bib],tblReg[Bib],tblReg[LastName],""))</f>
      </c>
      <c r="E143">
        <f>IF([@Bib]="","",XLOOKUP([@Bib],tblReg[Bib],tblReg[Team],""))</f>
      </c>
      <c r="F143" s="3" t="s">
        <v>22</v>
      </c>
      <c r="G143">
        <f>IF([@StageTime]="","",HOUR([@StageTime])*3600 + MINUTE([@StageTime])*60 + SECOND([@StageTime]))</f>
      </c>
      <c r="H143">
        <f>IF([@StageSeconds]="","",RANK([@StageSeconds],tblStage1[StageSeconds],1))</f>
      </c>
      <c r="I143">
        <f>IF([@Position]="",0,XLOOKUP([@Position],Config!tblBonus[Place],Config!tblBonus[Stage1BonusSec],0))</f>
      </c>
      <c r="J143">
        <f>IF([@StageSeconds]="","",[@StageSeconds]-[@BonusSeconds])</f>
      </c>
      <c r="K143" s="3">
        <f>IF([@NetSeconds]="","",[@NetSeconds]/86400)</f>
      </c>
    </row>
    <row r="144" spans="1:11" x14ac:dyDescent="0.25">
      <c r="A144" t="s">
        <v>22</v>
      </c>
      <c r="B144">
        <f>IF([@Bib]="","",XLOOKUP([@Bib],tblReg[Bib],tblReg[Field],""))</f>
      </c>
      <c r="C144">
        <f>IF([@Bib]="","",XLOOKUP([@Bib],tblReg[Bib],tblReg[FirstName],""))</f>
      </c>
      <c r="D144">
        <f>IF([@Bib]="","",XLOOKUP([@Bib],tblReg[Bib],tblReg[LastName],""))</f>
      </c>
      <c r="E144">
        <f>IF([@Bib]="","",XLOOKUP([@Bib],tblReg[Bib],tblReg[Team],""))</f>
      </c>
      <c r="F144" s="3" t="s">
        <v>22</v>
      </c>
      <c r="G144">
        <f>IF([@StageTime]="","",HOUR([@StageTime])*3600 + MINUTE([@StageTime])*60 + SECOND([@StageTime]))</f>
      </c>
      <c r="H144">
        <f>IF([@StageSeconds]="","",RANK([@StageSeconds],tblStage1[StageSeconds],1))</f>
      </c>
      <c r="I144">
        <f>IF([@Position]="",0,XLOOKUP([@Position],Config!tblBonus[Place],Config!tblBonus[Stage1BonusSec],0))</f>
      </c>
      <c r="J144">
        <f>IF([@StageSeconds]="","",[@StageSeconds]-[@BonusSeconds])</f>
      </c>
      <c r="K144" s="3">
        <f>IF([@NetSeconds]="","",[@NetSeconds]/86400)</f>
      </c>
    </row>
    <row r="145" spans="1:11" x14ac:dyDescent="0.25">
      <c r="A145" t="s">
        <v>22</v>
      </c>
      <c r="B145">
        <f>IF([@Bib]="","",XLOOKUP([@Bib],tblReg[Bib],tblReg[Field],""))</f>
      </c>
      <c r="C145">
        <f>IF([@Bib]="","",XLOOKUP([@Bib],tblReg[Bib],tblReg[FirstName],""))</f>
      </c>
      <c r="D145">
        <f>IF([@Bib]="","",XLOOKUP([@Bib],tblReg[Bib],tblReg[LastName],""))</f>
      </c>
      <c r="E145">
        <f>IF([@Bib]="","",XLOOKUP([@Bib],tblReg[Bib],tblReg[Team],""))</f>
      </c>
      <c r="F145" s="3" t="s">
        <v>22</v>
      </c>
      <c r="G145">
        <f>IF([@StageTime]="","",HOUR([@StageTime])*3600 + MINUTE([@StageTime])*60 + SECOND([@StageTime]))</f>
      </c>
      <c r="H145">
        <f>IF([@StageSeconds]="","",RANK([@StageSeconds],tblStage1[StageSeconds],1))</f>
      </c>
      <c r="I145">
        <f>IF([@Position]="",0,XLOOKUP([@Position],Config!tblBonus[Place],Config!tblBonus[Stage1BonusSec],0))</f>
      </c>
      <c r="J145">
        <f>IF([@StageSeconds]="","",[@StageSeconds]-[@BonusSeconds])</f>
      </c>
      <c r="K145" s="3">
        <f>IF([@NetSeconds]="","",[@NetSeconds]/86400)</f>
      </c>
    </row>
    <row r="146" spans="1:11" x14ac:dyDescent="0.25">
      <c r="A146" t="s">
        <v>22</v>
      </c>
      <c r="B146">
        <f>IF([@Bib]="","",XLOOKUP([@Bib],tblReg[Bib],tblReg[Field],""))</f>
      </c>
      <c r="C146">
        <f>IF([@Bib]="","",XLOOKUP([@Bib],tblReg[Bib],tblReg[FirstName],""))</f>
      </c>
      <c r="D146">
        <f>IF([@Bib]="","",XLOOKUP([@Bib],tblReg[Bib],tblReg[LastName],""))</f>
      </c>
      <c r="E146">
        <f>IF([@Bib]="","",XLOOKUP([@Bib],tblReg[Bib],tblReg[Team],""))</f>
      </c>
      <c r="F146" s="3" t="s">
        <v>22</v>
      </c>
      <c r="G146">
        <f>IF([@StageTime]="","",HOUR([@StageTime])*3600 + MINUTE([@StageTime])*60 + SECOND([@StageTime]))</f>
      </c>
      <c r="H146">
        <f>IF([@StageSeconds]="","",RANK([@StageSeconds],tblStage1[StageSeconds],1))</f>
      </c>
      <c r="I146">
        <f>IF([@Position]="",0,XLOOKUP([@Position],Config!tblBonus[Place],Config!tblBonus[Stage1BonusSec],0))</f>
      </c>
      <c r="J146">
        <f>IF([@StageSeconds]="","",[@StageSeconds]-[@BonusSeconds])</f>
      </c>
      <c r="K146" s="3">
        <f>IF([@NetSeconds]="","",[@NetSeconds]/86400)</f>
      </c>
    </row>
    <row r="147" spans="1:11" x14ac:dyDescent="0.25">
      <c r="A147" t="s">
        <v>22</v>
      </c>
      <c r="B147">
        <f>IF([@Bib]="","",XLOOKUP([@Bib],tblReg[Bib],tblReg[Field],""))</f>
      </c>
      <c r="C147">
        <f>IF([@Bib]="","",XLOOKUP([@Bib],tblReg[Bib],tblReg[FirstName],""))</f>
      </c>
      <c r="D147">
        <f>IF([@Bib]="","",XLOOKUP([@Bib],tblReg[Bib],tblReg[LastName],""))</f>
      </c>
      <c r="E147">
        <f>IF([@Bib]="","",XLOOKUP([@Bib],tblReg[Bib],tblReg[Team],""))</f>
      </c>
      <c r="F147" s="3" t="s">
        <v>22</v>
      </c>
      <c r="G147">
        <f>IF([@StageTime]="","",HOUR([@StageTime])*3600 + MINUTE([@StageTime])*60 + SECOND([@StageTime]))</f>
      </c>
      <c r="H147">
        <f>IF([@StageSeconds]="","",RANK([@StageSeconds],tblStage1[StageSeconds],1))</f>
      </c>
      <c r="I147">
        <f>IF([@Position]="",0,XLOOKUP([@Position],Config!tblBonus[Place],Config!tblBonus[Stage1BonusSec],0))</f>
      </c>
      <c r="J147">
        <f>IF([@StageSeconds]="","",[@StageSeconds]-[@BonusSeconds])</f>
      </c>
      <c r="K147" s="3">
        <f>IF([@NetSeconds]="","",[@NetSeconds]/86400)</f>
      </c>
    </row>
    <row r="148" spans="1:11" x14ac:dyDescent="0.25">
      <c r="A148" t="s">
        <v>22</v>
      </c>
      <c r="B148">
        <f>IF([@Bib]="","",XLOOKUP([@Bib],tblReg[Bib],tblReg[Field],""))</f>
      </c>
      <c r="C148">
        <f>IF([@Bib]="","",XLOOKUP([@Bib],tblReg[Bib],tblReg[FirstName],""))</f>
      </c>
      <c r="D148">
        <f>IF([@Bib]="","",XLOOKUP([@Bib],tblReg[Bib],tblReg[LastName],""))</f>
      </c>
      <c r="E148">
        <f>IF([@Bib]="","",XLOOKUP([@Bib],tblReg[Bib],tblReg[Team],""))</f>
      </c>
      <c r="F148" s="3" t="s">
        <v>22</v>
      </c>
      <c r="G148">
        <f>IF([@StageTime]="","",HOUR([@StageTime])*3600 + MINUTE([@StageTime])*60 + SECOND([@StageTime]))</f>
      </c>
      <c r="H148">
        <f>IF([@StageSeconds]="","",RANK([@StageSeconds],tblStage1[StageSeconds],1))</f>
      </c>
      <c r="I148">
        <f>IF([@Position]="",0,XLOOKUP([@Position],Config!tblBonus[Place],Config!tblBonus[Stage1BonusSec],0))</f>
      </c>
      <c r="J148">
        <f>IF([@StageSeconds]="","",[@StageSeconds]-[@BonusSeconds])</f>
      </c>
      <c r="K148" s="3">
        <f>IF([@NetSeconds]="","",[@NetSeconds]/86400)</f>
      </c>
    </row>
    <row r="149" spans="1:11" x14ac:dyDescent="0.25">
      <c r="A149" t="s">
        <v>22</v>
      </c>
      <c r="B149">
        <f>IF([@Bib]="","",XLOOKUP([@Bib],tblReg[Bib],tblReg[Field],""))</f>
      </c>
      <c r="C149">
        <f>IF([@Bib]="","",XLOOKUP([@Bib],tblReg[Bib],tblReg[FirstName],""))</f>
      </c>
      <c r="D149">
        <f>IF([@Bib]="","",XLOOKUP([@Bib],tblReg[Bib],tblReg[LastName],""))</f>
      </c>
      <c r="E149">
        <f>IF([@Bib]="","",XLOOKUP([@Bib],tblReg[Bib],tblReg[Team],""))</f>
      </c>
      <c r="F149" s="3" t="s">
        <v>22</v>
      </c>
      <c r="G149">
        <f>IF([@StageTime]="","",HOUR([@StageTime])*3600 + MINUTE([@StageTime])*60 + SECOND([@StageTime]))</f>
      </c>
      <c r="H149">
        <f>IF([@StageSeconds]="","",RANK([@StageSeconds],tblStage1[StageSeconds],1))</f>
      </c>
      <c r="I149">
        <f>IF([@Position]="",0,XLOOKUP([@Position],Config!tblBonus[Place],Config!tblBonus[Stage1BonusSec],0))</f>
      </c>
      <c r="J149">
        <f>IF([@StageSeconds]="","",[@StageSeconds]-[@BonusSeconds])</f>
      </c>
      <c r="K149" s="3">
        <f>IF([@NetSeconds]="","",[@NetSeconds]/86400)</f>
      </c>
    </row>
    <row r="150" spans="1:11" x14ac:dyDescent="0.25">
      <c r="A150" t="s">
        <v>22</v>
      </c>
      <c r="B150">
        <f>IF([@Bib]="","",XLOOKUP([@Bib],tblReg[Bib],tblReg[Field],""))</f>
      </c>
      <c r="C150">
        <f>IF([@Bib]="","",XLOOKUP([@Bib],tblReg[Bib],tblReg[FirstName],""))</f>
      </c>
      <c r="D150">
        <f>IF([@Bib]="","",XLOOKUP([@Bib],tblReg[Bib],tblReg[LastName],""))</f>
      </c>
      <c r="E150">
        <f>IF([@Bib]="","",XLOOKUP([@Bib],tblReg[Bib],tblReg[Team],""))</f>
      </c>
      <c r="F150" s="3" t="s">
        <v>22</v>
      </c>
      <c r="G150">
        <f>IF([@StageTime]="","",HOUR([@StageTime])*3600 + MINUTE([@StageTime])*60 + SECOND([@StageTime]))</f>
      </c>
      <c r="H150">
        <f>IF([@StageSeconds]="","",RANK([@StageSeconds],tblStage1[StageSeconds],1))</f>
      </c>
      <c r="I150">
        <f>IF([@Position]="",0,XLOOKUP([@Position],Config!tblBonus[Place],Config!tblBonus[Stage1BonusSec],0))</f>
      </c>
      <c r="J150">
        <f>IF([@StageSeconds]="","",[@StageSeconds]-[@BonusSeconds])</f>
      </c>
      <c r="K150" s="3">
        <f>IF([@NetSeconds]="","",[@NetSeconds]/86400)</f>
      </c>
    </row>
    <row r="151" spans="1:11" x14ac:dyDescent="0.25">
      <c r="A151" t="s">
        <v>22</v>
      </c>
      <c r="B151">
        <f>IF([@Bib]="","",XLOOKUP([@Bib],tblReg[Bib],tblReg[Field],""))</f>
      </c>
      <c r="C151">
        <f>IF([@Bib]="","",XLOOKUP([@Bib],tblReg[Bib],tblReg[FirstName],""))</f>
      </c>
      <c r="D151">
        <f>IF([@Bib]="","",XLOOKUP([@Bib],tblReg[Bib],tblReg[LastName],""))</f>
      </c>
      <c r="E151">
        <f>IF([@Bib]="","",XLOOKUP([@Bib],tblReg[Bib],tblReg[Team],""))</f>
      </c>
      <c r="F151" s="3" t="s">
        <v>22</v>
      </c>
      <c r="G151">
        <f>IF([@StageTime]="","",HOUR([@StageTime])*3600 + MINUTE([@StageTime])*60 + SECOND([@StageTime]))</f>
      </c>
      <c r="H151">
        <f>IF([@StageSeconds]="","",RANK([@StageSeconds],tblStage1[StageSeconds],1))</f>
      </c>
      <c r="I151">
        <f>IF([@Position]="",0,XLOOKUP([@Position],Config!tblBonus[Place],Config!tblBonus[Stage1BonusSec],0))</f>
      </c>
      <c r="J151">
        <f>IF([@StageSeconds]="","",[@StageSeconds]-[@BonusSeconds])</f>
      </c>
      <c r="K151" s="3">
        <f>IF([@NetSeconds]="","",[@NetSeconds]/86400)</f>
      </c>
    </row>
    <row r="152" spans="1:11" x14ac:dyDescent="0.25">
      <c r="A152" t="s">
        <v>22</v>
      </c>
      <c r="B152">
        <f>IF([@Bib]="","",XLOOKUP([@Bib],tblReg[Bib],tblReg[Field],""))</f>
      </c>
      <c r="C152">
        <f>IF([@Bib]="","",XLOOKUP([@Bib],tblReg[Bib],tblReg[FirstName],""))</f>
      </c>
      <c r="D152">
        <f>IF([@Bib]="","",XLOOKUP([@Bib],tblReg[Bib],tblReg[LastName],""))</f>
      </c>
      <c r="E152">
        <f>IF([@Bib]="","",XLOOKUP([@Bib],tblReg[Bib],tblReg[Team],""))</f>
      </c>
      <c r="F152" s="3" t="s">
        <v>22</v>
      </c>
      <c r="G152">
        <f>IF([@StageTime]="","",HOUR([@StageTime])*3600 + MINUTE([@StageTime])*60 + SECOND([@StageTime]))</f>
      </c>
      <c r="H152">
        <f>IF([@StageSeconds]="","",RANK([@StageSeconds],tblStage1[StageSeconds],1))</f>
      </c>
      <c r="I152">
        <f>IF([@Position]="",0,XLOOKUP([@Position],Config!tblBonus[Place],Config!tblBonus[Stage1BonusSec],0))</f>
      </c>
      <c r="J152">
        <f>IF([@StageSeconds]="","",[@StageSeconds]-[@BonusSeconds])</f>
      </c>
      <c r="K152" s="3">
        <f>IF([@NetSeconds]="","",[@NetSeconds]/86400)</f>
      </c>
    </row>
    <row r="153" spans="1:11" x14ac:dyDescent="0.25">
      <c r="A153" t="s">
        <v>22</v>
      </c>
      <c r="B153">
        <f>IF([@Bib]="","",XLOOKUP([@Bib],tblReg[Bib],tblReg[Field],""))</f>
      </c>
      <c r="C153">
        <f>IF([@Bib]="","",XLOOKUP([@Bib],tblReg[Bib],tblReg[FirstName],""))</f>
      </c>
      <c r="D153">
        <f>IF([@Bib]="","",XLOOKUP([@Bib],tblReg[Bib],tblReg[LastName],""))</f>
      </c>
      <c r="E153">
        <f>IF([@Bib]="","",XLOOKUP([@Bib],tblReg[Bib],tblReg[Team],""))</f>
      </c>
      <c r="F153" s="3" t="s">
        <v>22</v>
      </c>
      <c r="G153">
        <f>IF([@StageTime]="","",HOUR([@StageTime])*3600 + MINUTE([@StageTime])*60 + SECOND([@StageTime]))</f>
      </c>
      <c r="H153">
        <f>IF([@StageSeconds]="","",RANK([@StageSeconds],tblStage1[StageSeconds],1))</f>
      </c>
      <c r="I153">
        <f>IF([@Position]="",0,XLOOKUP([@Position],Config!tblBonus[Place],Config!tblBonus[Stage1BonusSec],0))</f>
      </c>
      <c r="J153">
        <f>IF([@StageSeconds]="","",[@StageSeconds]-[@BonusSeconds])</f>
      </c>
      <c r="K153" s="3">
        <f>IF([@NetSeconds]="","",[@NetSeconds]/86400)</f>
      </c>
    </row>
    <row r="154" spans="1:11" x14ac:dyDescent="0.25">
      <c r="A154" t="s">
        <v>22</v>
      </c>
      <c r="B154">
        <f>IF([@Bib]="","",XLOOKUP([@Bib],tblReg[Bib],tblReg[Field],""))</f>
      </c>
      <c r="C154">
        <f>IF([@Bib]="","",XLOOKUP([@Bib],tblReg[Bib],tblReg[FirstName],""))</f>
      </c>
      <c r="D154">
        <f>IF([@Bib]="","",XLOOKUP([@Bib],tblReg[Bib],tblReg[LastName],""))</f>
      </c>
      <c r="E154">
        <f>IF([@Bib]="","",XLOOKUP([@Bib],tblReg[Bib],tblReg[Team],""))</f>
      </c>
      <c r="F154" s="3" t="s">
        <v>22</v>
      </c>
      <c r="G154">
        <f>IF([@StageTime]="","",HOUR([@StageTime])*3600 + MINUTE([@StageTime])*60 + SECOND([@StageTime]))</f>
      </c>
      <c r="H154">
        <f>IF([@StageSeconds]="","",RANK([@StageSeconds],tblStage1[StageSeconds],1))</f>
      </c>
      <c r="I154">
        <f>IF([@Position]="",0,XLOOKUP([@Position],Config!tblBonus[Place],Config!tblBonus[Stage1BonusSec],0))</f>
      </c>
      <c r="J154">
        <f>IF([@StageSeconds]="","",[@StageSeconds]-[@BonusSeconds])</f>
      </c>
      <c r="K154" s="3">
        <f>IF([@NetSeconds]="","",[@NetSeconds]/86400)</f>
      </c>
    </row>
    <row r="155" spans="1:11" x14ac:dyDescent="0.25">
      <c r="A155" t="s">
        <v>22</v>
      </c>
      <c r="B155">
        <f>IF([@Bib]="","",XLOOKUP([@Bib],tblReg[Bib],tblReg[Field],""))</f>
      </c>
      <c r="C155">
        <f>IF([@Bib]="","",XLOOKUP([@Bib],tblReg[Bib],tblReg[FirstName],""))</f>
      </c>
      <c r="D155">
        <f>IF([@Bib]="","",XLOOKUP([@Bib],tblReg[Bib],tblReg[LastName],""))</f>
      </c>
      <c r="E155">
        <f>IF([@Bib]="","",XLOOKUP([@Bib],tblReg[Bib],tblReg[Team],""))</f>
      </c>
      <c r="F155" s="3" t="s">
        <v>22</v>
      </c>
      <c r="G155">
        <f>IF([@StageTime]="","",HOUR([@StageTime])*3600 + MINUTE([@StageTime])*60 + SECOND([@StageTime]))</f>
      </c>
      <c r="H155">
        <f>IF([@StageSeconds]="","",RANK([@StageSeconds],tblStage1[StageSeconds],1))</f>
      </c>
      <c r="I155">
        <f>IF([@Position]="",0,XLOOKUP([@Position],Config!tblBonus[Place],Config!tblBonus[Stage1BonusSec],0))</f>
      </c>
      <c r="J155">
        <f>IF([@StageSeconds]="","",[@StageSeconds]-[@BonusSeconds])</f>
      </c>
      <c r="K155" s="3">
        <f>IF([@NetSeconds]="","",[@NetSeconds]/86400)</f>
      </c>
    </row>
    <row r="156" spans="1:11" x14ac:dyDescent="0.25">
      <c r="A156" t="s">
        <v>22</v>
      </c>
      <c r="B156">
        <f>IF([@Bib]="","",XLOOKUP([@Bib],tblReg[Bib],tblReg[Field],""))</f>
      </c>
      <c r="C156">
        <f>IF([@Bib]="","",XLOOKUP([@Bib],tblReg[Bib],tblReg[FirstName],""))</f>
      </c>
      <c r="D156">
        <f>IF([@Bib]="","",XLOOKUP([@Bib],tblReg[Bib],tblReg[LastName],""))</f>
      </c>
      <c r="E156">
        <f>IF([@Bib]="","",XLOOKUP([@Bib],tblReg[Bib],tblReg[Team],""))</f>
      </c>
      <c r="F156" s="3" t="s">
        <v>22</v>
      </c>
      <c r="G156">
        <f>IF([@StageTime]="","",HOUR([@StageTime])*3600 + MINUTE([@StageTime])*60 + SECOND([@StageTime]))</f>
      </c>
      <c r="H156">
        <f>IF([@StageSeconds]="","",RANK([@StageSeconds],tblStage1[StageSeconds],1))</f>
      </c>
      <c r="I156">
        <f>IF([@Position]="",0,XLOOKUP([@Position],Config!tblBonus[Place],Config!tblBonus[Stage1BonusSec],0))</f>
      </c>
      <c r="J156">
        <f>IF([@StageSeconds]="","",[@StageSeconds]-[@BonusSeconds])</f>
      </c>
      <c r="K156" s="3">
        <f>IF([@NetSeconds]="","",[@NetSeconds]/86400)</f>
      </c>
    </row>
    <row r="157" spans="1:11" x14ac:dyDescent="0.25">
      <c r="A157" t="s">
        <v>22</v>
      </c>
      <c r="B157">
        <f>IF([@Bib]="","",XLOOKUP([@Bib],tblReg[Bib],tblReg[Field],""))</f>
      </c>
      <c r="C157">
        <f>IF([@Bib]="","",XLOOKUP([@Bib],tblReg[Bib],tblReg[FirstName],""))</f>
      </c>
      <c r="D157">
        <f>IF([@Bib]="","",XLOOKUP([@Bib],tblReg[Bib],tblReg[LastName],""))</f>
      </c>
      <c r="E157">
        <f>IF([@Bib]="","",XLOOKUP([@Bib],tblReg[Bib],tblReg[Team],""))</f>
      </c>
      <c r="F157" s="3" t="s">
        <v>22</v>
      </c>
      <c r="G157">
        <f>IF([@StageTime]="","",HOUR([@StageTime])*3600 + MINUTE([@StageTime])*60 + SECOND([@StageTime]))</f>
      </c>
      <c r="H157">
        <f>IF([@StageSeconds]="","",RANK([@StageSeconds],tblStage1[StageSeconds],1))</f>
      </c>
      <c r="I157">
        <f>IF([@Position]="",0,XLOOKUP([@Position],Config!tblBonus[Place],Config!tblBonus[Stage1BonusSec],0))</f>
      </c>
      <c r="J157">
        <f>IF([@StageSeconds]="","",[@StageSeconds]-[@BonusSeconds])</f>
      </c>
      <c r="K157" s="3">
        <f>IF([@NetSeconds]="","",[@NetSeconds]/86400)</f>
      </c>
    </row>
    <row r="158" spans="1:11" x14ac:dyDescent="0.25">
      <c r="A158" t="s">
        <v>22</v>
      </c>
      <c r="B158">
        <f>IF([@Bib]="","",XLOOKUP([@Bib],tblReg[Bib],tblReg[Field],""))</f>
      </c>
      <c r="C158">
        <f>IF([@Bib]="","",XLOOKUP([@Bib],tblReg[Bib],tblReg[FirstName],""))</f>
      </c>
      <c r="D158">
        <f>IF([@Bib]="","",XLOOKUP([@Bib],tblReg[Bib],tblReg[LastName],""))</f>
      </c>
      <c r="E158">
        <f>IF([@Bib]="","",XLOOKUP([@Bib],tblReg[Bib],tblReg[Team],""))</f>
      </c>
      <c r="F158" s="3" t="s">
        <v>22</v>
      </c>
      <c r="G158">
        <f>IF([@StageTime]="","",HOUR([@StageTime])*3600 + MINUTE([@StageTime])*60 + SECOND([@StageTime]))</f>
      </c>
      <c r="H158">
        <f>IF([@StageSeconds]="","",RANK([@StageSeconds],tblStage1[StageSeconds],1))</f>
      </c>
      <c r="I158">
        <f>IF([@Position]="",0,XLOOKUP([@Position],Config!tblBonus[Place],Config!tblBonus[Stage1BonusSec],0))</f>
      </c>
      <c r="J158">
        <f>IF([@StageSeconds]="","",[@StageSeconds]-[@BonusSeconds])</f>
      </c>
      <c r="K158" s="3">
        <f>IF([@NetSeconds]="","",[@NetSeconds]/86400)</f>
      </c>
    </row>
    <row r="159" spans="1:11" x14ac:dyDescent="0.25">
      <c r="A159" t="s">
        <v>22</v>
      </c>
      <c r="B159">
        <f>IF([@Bib]="","",XLOOKUP([@Bib],tblReg[Bib],tblReg[Field],""))</f>
      </c>
      <c r="C159">
        <f>IF([@Bib]="","",XLOOKUP([@Bib],tblReg[Bib],tblReg[FirstName],""))</f>
      </c>
      <c r="D159">
        <f>IF([@Bib]="","",XLOOKUP([@Bib],tblReg[Bib],tblReg[LastName],""))</f>
      </c>
      <c r="E159">
        <f>IF([@Bib]="","",XLOOKUP([@Bib],tblReg[Bib],tblReg[Team],""))</f>
      </c>
      <c r="F159" s="3" t="s">
        <v>22</v>
      </c>
      <c r="G159">
        <f>IF([@StageTime]="","",HOUR([@StageTime])*3600 + MINUTE([@StageTime])*60 + SECOND([@StageTime]))</f>
      </c>
      <c r="H159">
        <f>IF([@StageSeconds]="","",RANK([@StageSeconds],tblStage1[StageSeconds],1))</f>
      </c>
      <c r="I159">
        <f>IF([@Position]="",0,XLOOKUP([@Position],Config!tblBonus[Place],Config!tblBonus[Stage1BonusSec],0))</f>
      </c>
      <c r="J159">
        <f>IF([@StageSeconds]="","",[@StageSeconds]-[@BonusSeconds])</f>
      </c>
      <c r="K159" s="3">
        <f>IF([@NetSeconds]="","",[@NetSeconds]/86400)</f>
      </c>
    </row>
    <row r="160" spans="1:11" x14ac:dyDescent="0.25">
      <c r="A160" t="s">
        <v>22</v>
      </c>
      <c r="B160">
        <f>IF([@Bib]="","",XLOOKUP([@Bib],tblReg[Bib],tblReg[Field],""))</f>
      </c>
      <c r="C160">
        <f>IF([@Bib]="","",XLOOKUP([@Bib],tblReg[Bib],tblReg[FirstName],""))</f>
      </c>
      <c r="D160">
        <f>IF([@Bib]="","",XLOOKUP([@Bib],tblReg[Bib],tblReg[LastName],""))</f>
      </c>
      <c r="E160">
        <f>IF([@Bib]="","",XLOOKUP([@Bib],tblReg[Bib],tblReg[Team],""))</f>
      </c>
      <c r="F160" s="3" t="s">
        <v>22</v>
      </c>
      <c r="G160">
        <f>IF([@StageTime]="","",HOUR([@StageTime])*3600 + MINUTE([@StageTime])*60 + SECOND([@StageTime]))</f>
      </c>
      <c r="H160">
        <f>IF([@StageSeconds]="","",RANK([@StageSeconds],tblStage1[StageSeconds],1))</f>
      </c>
      <c r="I160">
        <f>IF([@Position]="",0,XLOOKUP([@Position],Config!tblBonus[Place],Config!tblBonus[Stage1BonusSec],0))</f>
      </c>
      <c r="J160">
        <f>IF([@StageSeconds]="","",[@StageSeconds]-[@BonusSeconds])</f>
      </c>
      <c r="K160" s="3">
        <f>IF([@NetSeconds]="","",[@NetSeconds]/86400)</f>
      </c>
    </row>
    <row r="161" spans="1:11" x14ac:dyDescent="0.25">
      <c r="A161" t="s">
        <v>22</v>
      </c>
      <c r="B161">
        <f>IF([@Bib]="","",XLOOKUP([@Bib],tblReg[Bib],tblReg[Field],""))</f>
      </c>
      <c r="C161">
        <f>IF([@Bib]="","",XLOOKUP([@Bib],tblReg[Bib],tblReg[FirstName],""))</f>
      </c>
      <c r="D161">
        <f>IF([@Bib]="","",XLOOKUP([@Bib],tblReg[Bib],tblReg[LastName],""))</f>
      </c>
      <c r="E161">
        <f>IF([@Bib]="","",XLOOKUP([@Bib],tblReg[Bib],tblReg[Team],""))</f>
      </c>
      <c r="F161" s="3" t="s">
        <v>22</v>
      </c>
      <c r="G161">
        <f>IF([@StageTime]="","",HOUR([@StageTime])*3600 + MINUTE([@StageTime])*60 + SECOND([@StageTime]))</f>
      </c>
      <c r="H161">
        <f>IF([@StageSeconds]="","",RANK([@StageSeconds],tblStage1[StageSeconds],1))</f>
      </c>
      <c r="I161">
        <f>IF([@Position]="",0,XLOOKUP([@Position],Config!tblBonus[Place],Config!tblBonus[Stage1BonusSec],0))</f>
      </c>
      <c r="J161">
        <f>IF([@StageSeconds]="","",[@StageSeconds]-[@BonusSeconds])</f>
      </c>
      <c r="K161" s="3">
        <f>IF([@NetSeconds]="","",[@NetSeconds]/86400)</f>
      </c>
    </row>
    <row r="162" spans="1:11" x14ac:dyDescent="0.25">
      <c r="A162" t="s">
        <v>22</v>
      </c>
      <c r="B162">
        <f>IF([@Bib]="","",XLOOKUP([@Bib],tblReg[Bib],tblReg[Field],""))</f>
      </c>
      <c r="C162">
        <f>IF([@Bib]="","",XLOOKUP([@Bib],tblReg[Bib],tblReg[FirstName],""))</f>
      </c>
      <c r="D162">
        <f>IF([@Bib]="","",XLOOKUP([@Bib],tblReg[Bib],tblReg[LastName],""))</f>
      </c>
      <c r="E162">
        <f>IF([@Bib]="","",XLOOKUP([@Bib],tblReg[Bib],tblReg[Team],""))</f>
      </c>
      <c r="F162" s="3" t="s">
        <v>22</v>
      </c>
      <c r="G162">
        <f>IF([@StageTime]="","",HOUR([@StageTime])*3600 + MINUTE([@StageTime])*60 + SECOND([@StageTime]))</f>
      </c>
      <c r="H162">
        <f>IF([@StageSeconds]="","",RANK([@StageSeconds],tblStage1[StageSeconds],1))</f>
      </c>
      <c r="I162">
        <f>IF([@Position]="",0,XLOOKUP([@Position],Config!tblBonus[Place],Config!tblBonus[Stage1BonusSec],0))</f>
      </c>
      <c r="J162">
        <f>IF([@StageSeconds]="","",[@StageSeconds]-[@BonusSeconds])</f>
      </c>
      <c r="K162" s="3">
        <f>IF([@NetSeconds]="","",[@NetSeconds]/86400)</f>
      </c>
    </row>
    <row r="163" spans="1:11" x14ac:dyDescent="0.25">
      <c r="A163" t="s">
        <v>22</v>
      </c>
      <c r="B163">
        <f>IF([@Bib]="","",XLOOKUP([@Bib],tblReg[Bib],tblReg[Field],""))</f>
      </c>
      <c r="C163">
        <f>IF([@Bib]="","",XLOOKUP([@Bib],tblReg[Bib],tblReg[FirstName],""))</f>
      </c>
      <c r="D163">
        <f>IF([@Bib]="","",XLOOKUP([@Bib],tblReg[Bib],tblReg[LastName],""))</f>
      </c>
      <c r="E163">
        <f>IF([@Bib]="","",XLOOKUP([@Bib],tblReg[Bib],tblReg[Team],""))</f>
      </c>
      <c r="F163" s="3" t="s">
        <v>22</v>
      </c>
      <c r="G163">
        <f>IF([@StageTime]="","",HOUR([@StageTime])*3600 + MINUTE([@StageTime])*60 + SECOND([@StageTime]))</f>
      </c>
      <c r="H163">
        <f>IF([@StageSeconds]="","",RANK([@StageSeconds],tblStage1[StageSeconds],1))</f>
      </c>
      <c r="I163">
        <f>IF([@Position]="",0,XLOOKUP([@Position],Config!tblBonus[Place],Config!tblBonus[Stage1BonusSec],0))</f>
      </c>
      <c r="J163">
        <f>IF([@StageSeconds]="","",[@StageSeconds]-[@BonusSeconds])</f>
      </c>
      <c r="K163" s="3">
        <f>IF([@NetSeconds]="","",[@NetSeconds]/86400)</f>
      </c>
    </row>
    <row r="164" spans="1:11" x14ac:dyDescent="0.25">
      <c r="A164" t="s">
        <v>22</v>
      </c>
      <c r="B164">
        <f>IF([@Bib]="","",XLOOKUP([@Bib],tblReg[Bib],tblReg[Field],""))</f>
      </c>
      <c r="C164">
        <f>IF([@Bib]="","",XLOOKUP([@Bib],tblReg[Bib],tblReg[FirstName],""))</f>
      </c>
      <c r="D164">
        <f>IF([@Bib]="","",XLOOKUP([@Bib],tblReg[Bib],tblReg[LastName],""))</f>
      </c>
      <c r="E164">
        <f>IF([@Bib]="","",XLOOKUP([@Bib],tblReg[Bib],tblReg[Team],""))</f>
      </c>
      <c r="F164" s="3" t="s">
        <v>22</v>
      </c>
      <c r="G164">
        <f>IF([@StageTime]="","",HOUR([@StageTime])*3600 + MINUTE([@StageTime])*60 + SECOND([@StageTime]))</f>
      </c>
      <c r="H164">
        <f>IF([@StageSeconds]="","",RANK([@StageSeconds],tblStage1[StageSeconds],1))</f>
      </c>
      <c r="I164">
        <f>IF([@Position]="",0,XLOOKUP([@Position],Config!tblBonus[Place],Config!tblBonus[Stage1BonusSec],0))</f>
      </c>
      <c r="J164">
        <f>IF([@StageSeconds]="","",[@StageSeconds]-[@BonusSeconds])</f>
      </c>
      <c r="K164" s="3">
        <f>IF([@NetSeconds]="","",[@NetSeconds]/86400)</f>
      </c>
    </row>
    <row r="165" spans="1:11" x14ac:dyDescent="0.25">
      <c r="A165" t="s">
        <v>22</v>
      </c>
      <c r="B165">
        <f>IF([@Bib]="","",XLOOKUP([@Bib],tblReg[Bib],tblReg[Field],""))</f>
      </c>
      <c r="C165">
        <f>IF([@Bib]="","",XLOOKUP([@Bib],tblReg[Bib],tblReg[FirstName],""))</f>
      </c>
      <c r="D165">
        <f>IF([@Bib]="","",XLOOKUP([@Bib],tblReg[Bib],tblReg[LastName],""))</f>
      </c>
      <c r="E165">
        <f>IF([@Bib]="","",XLOOKUP([@Bib],tblReg[Bib],tblReg[Team],""))</f>
      </c>
      <c r="F165" s="3" t="s">
        <v>22</v>
      </c>
      <c r="G165">
        <f>IF([@StageTime]="","",HOUR([@StageTime])*3600 + MINUTE([@StageTime])*60 + SECOND([@StageTime]))</f>
      </c>
      <c r="H165">
        <f>IF([@StageSeconds]="","",RANK([@StageSeconds],tblStage1[StageSeconds],1))</f>
      </c>
      <c r="I165">
        <f>IF([@Position]="",0,XLOOKUP([@Position],Config!tblBonus[Place],Config!tblBonus[Stage1BonusSec],0))</f>
      </c>
      <c r="J165">
        <f>IF([@StageSeconds]="","",[@StageSeconds]-[@BonusSeconds])</f>
      </c>
      <c r="K165" s="3">
        <f>IF([@NetSeconds]="","",[@NetSeconds]/86400)</f>
      </c>
    </row>
    <row r="166" spans="1:11" x14ac:dyDescent="0.25">
      <c r="A166" t="s">
        <v>22</v>
      </c>
      <c r="B166">
        <f>IF([@Bib]="","",XLOOKUP([@Bib],tblReg[Bib],tblReg[Field],""))</f>
      </c>
      <c r="C166">
        <f>IF([@Bib]="","",XLOOKUP([@Bib],tblReg[Bib],tblReg[FirstName],""))</f>
      </c>
      <c r="D166">
        <f>IF([@Bib]="","",XLOOKUP([@Bib],tblReg[Bib],tblReg[LastName],""))</f>
      </c>
      <c r="E166">
        <f>IF([@Bib]="","",XLOOKUP([@Bib],tblReg[Bib],tblReg[Team],""))</f>
      </c>
      <c r="F166" s="3" t="s">
        <v>22</v>
      </c>
      <c r="G166">
        <f>IF([@StageTime]="","",HOUR([@StageTime])*3600 + MINUTE([@StageTime])*60 + SECOND([@StageTime]))</f>
      </c>
      <c r="H166">
        <f>IF([@StageSeconds]="","",RANK([@StageSeconds],tblStage1[StageSeconds],1))</f>
      </c>
      <c r="I166">
        <f>IF([@Position]="",0,XLOOKUP([@Position],Config!tblBonus[Place],Config!tblBonus[Stage1BonusSec],0))</f>
      </c>
      <c r="J166">
        <f>IF([@StageSeconds]="","",[@StageSeconds]-[@BonusSeconds])</f>
      </c>
      <c r="K166" s="3">
        <f>IF([@NetSeconds]="","",[@NetSeconds]/86400)</f>
      </c>
    </row>
    <row r="167" spans="1:11" x14ac:dyDescent="0.25">
      <c r="A167" t="s">
        <v>22</v>
      </c>
      <c r="B167">
        <f>IF([@Bib]="","",XLOOKUP([@Bib],tblReg[Bib],tblReg[Field],""))</f>
      </c>
      <c r="C167">
        <f>IF([@Bib]="","",XLOOKUP([@Bib],tblReg[Bib],tblReg[FirstName],""))</f>
      </c>
      <c r="D167">
        <f>IF([@Bib]="","",XLOOKUP([@Bib],tblReg[Bib],tblReg[LastName],""))</f>
      </c>
      <c r="E167">
        <f>IF([@Bib]="","",XLOOKUP([@Bib],tblReg[Bib],tblReg[Team],""))</f>
      </c>
      <c r="F167" s="3" t="s">
        <v>22</v>
      </c>
      <c r="G167">
        <f>IF([@StageTime]="","",HOUR([@StageTime])*3600 + MINUTE([@StageTime])*60 + SECOND([@StageTime]))</f>
      </c>
      <c r="H167">
        <f>IF([@StageSeconds]="","",RANK([@StageSeconds],tblStage1[StageSeconds],1))</f>
      </c>
      <c r="I167">
        <f>IF([@Position]="",0,XLOOKUP([@Position],Config!tblBonus[Place],Config!tblBonus[Stage1BonusSec],0))</f>
      </c>
      <c r="J167">
        <f>IF([@StageSeconds]="","",[@StageSeconds]-[@BonusSeconds])</f>
      </c>
      <c r="K167" s="3">
        <f>IF([@NetSeconds]="","",[@NetSeconds]/86400)</f>
      </c>
    </row>
    <row r="168" spans="1:11" x14ac:dyDescent="0.25">
      <c r="A168" t="s">
        <v>22</v>
      </c>
      <c r="B168">
        <f>IF([@Bib]="","",XLOOKUP([@Bib],tblReg[Bib],tblReg[Field],""))</f>
      </c>
      <c r="C168">
        <f>IF([@Bib]="","",XLOOKUP([@Bib],tblReg[Bib],tblReg[FirstName],""))</f>
      </c>
      <c r="D168">
        <f>IF([@Bib]="","",XLOOKUP([@Bib],tblReg[Bib],tblReg[LastName],""))</f>
      </c>
      <c r="E168">
        <f>IF([@Bib]="","",XLOOKUP([@Bib],tblReg[Bib],tblReg[Team],""))</f>
      </c>
      <c r="F168" s="3" t="s">
        <v>22</v>
      </c>
      <c r="G168">
        <f>IF([@StageTime]="","",HOUR([@StageTime])*3600 + MINUTE([@StageTime])*60 + SECOND([@StageTime]))</f>
      </c>
      <c r="H168">
        <f>IF([@StageSeconds]="","",RANK([@StageSeconds],tblStage1[StageSeconds],1))</f>
      </c>
      <c r="I168">
        <f>IF([@Position]="",0,XLOOKUP([@Position],Config!tblBonus[Place],Config!tblBonus[Stage1BonusSec],0))</f>
      </c>
      <c r="J168">
        <f>IF([@StageSeconds]="","",[@StageSeconds]-[@BonusSeconds])</f>
      </c>
      <c r="K168" s="3">
        <f>IF([@NetSeconds]="","",[@NetSeconds]/86400)</f>
      </c>
    </row>
    <row r="169" spans="1:11" x14ac:dyDescent="0.25">
      <c r="A169" t="s">
        <v>22</v>
      </c>
      <c r="B169">
        <f>IF([@Bib]="","",XLOOKUP([@Bib],tblReg[Bib],tblReg[Field],""))</f>
      </c>
      <c r="C169">
        <f>IF([@Bib]="","",XLOOKUP([@Bib],tblReg[Bib],tblReg[FirstName],""))</f>
      </c>
      <c r="D169">
        <f>IF([@Bib]="","",XLOOKUP([@Bib],tblReg[Bib],tblReg[LastName],""))</f>
      </c>
      <c r="E169">
        <f>IF([@Bib]="","",XLOOKUP([@Bib],tblReg[Bib],tblReg[Team],""))</f>
      </c>
      <c r="F169" s="3" t="s">
        <v>22</v>
      </c>
      <c r="G169">
        <f>IF([@StageTime]="","",HOUR([@StageTime])*3600 + MINUTE([@StageTime])*60 + SECOND([@StageTime]))</f>
      </c>
      <c r="H169">
        <f>IF([@StageSeconds]="","",RANK([@StageSeconds],tblStage1[StageSeconds],1))</f>
      </c>
      <c r="I169">
        <f>IF([@Position]="",0,XLOOKUP([@Position],Config!tblBonus[Place],Config!tblBonus[Stage1BonusSec],0))</f>
      </c>
      <c r="J169">
        <f>IF([@StageSeconds]="","",[@StageSeconds]-[@BonusSeconds])</f>
      </c>
      <c r="K169" s="3">
        <f>IF([@NetSeconds]="","",[@NetSeconds]/86400)</f>
      </c>
    </row>
    <row r="170" spans="1:11" x14ac:dyDescent="0.25">
      <c r="A170" t="s">
        <v>22</v>
      </c>
      <c r="B170">
        <f>IF([@Bib]="","",XLOOKUP([@Bib],tblReg[Bib],tblReg[Field],""))</f>
      </c>
      <c r="C170">
        <f>IF([@Bib]="","",XLOOKUP([@Bib],tblReg[Bib],tblReg[FirstName],""))</f>
      </c>
      <c r="D170">
        <f>IF([@Bib]="","",XLOOKUP([@Bib],tblReg[Bib],tblReg[LastName],""))</f>
      </c>
      <c r="E170">
        <f>IF([@Bib]="","",XLOOKUP([@Bib],tblReg[Bib],tblReg[Team],""))</f>
      </c>
      <c r="F170" s="3" t="s">
        <v>22</v>
      </c>
      <c r="G170">
        <f>IF([@StageTime]="","",HOUR([@StageTime])*3600 + MINUTE([@StageTime])*60 + SECOND([@StageTime]))</f>
      </c>
      <c r="H170">
        <f>IF([@StageSeconds]="","",RANK([@StageSeconds],tblStage1[StageSeconds],1))</f>
      </c>
      <c r="I170">
        <f>IF([@Position]="",0,XLOOKUP([@Position],Config!tblBonus[Place],Config!tblBonus[Stage1BonusSec],0))</f>
      </c>
      <c r="J170">
        <f>IF([@StageSeconds]="","",[@StageSeconds]-[@BonusSeconds])</f>
      </c>
      <c r="K170" s="3">
        <f>IF([@NetSeconds]="","",[@NetSeconds]/86400)</f>
      </c>
    </row>
    <row r="171" spans="1:11" x14ac:dyDescent="0.25">
      <c r="A171" t="s">
        <v>22</v>
      </c>
      <c r="B171">
        <f>IF([@Bib]="","",XLOOKUP([@Bib],tblReg[Bib],tblReg[Field],""))</f>
      </c>
      <c r="C171">
        <f>IF([@Bib]="","",XLOOKUP([@Bib],tblReg[Bib],tblReg[FirstName],""))</f>
      </c>
      <c r="D171">
        <f>IF([@Bib]="","",XLOOKUP([@Bib],tblReg[Bib],tblReg[LastName],""))</f>
      </c>
      <c r="E171">
        <f>IF([@Bib]="","",XLOOKUP([@Bib],tblReg[Bib],tblReg[Team],""))</f>
      </c>
      <c r="F171" s="3" t="s">
        <v>22</v>
      </c>
      <c r="G171">
        <f>IF([@StageTime]="","",HOUR([@StageTime])*3600 + MINUTE([@StageTime])*60 + SECOND([@StageTime]))</f>
      </c>
      <c r="H171">
        <f>IF([@StageSeconds]="","",RANK([@StageSeconds],tblStage1[StageSeconds],1))</f>
      </c>
      <c r="I171">
        <f>IF([@Position]="",0,XLOOKUP([@Position],Config!tblBonus[Place],Config!tblBonus[Stage1BonusSec],0))</f>
      </c>
      <c r="J171">
        <f>IF([@StageSeconds]="","",[@StageSeconds]-[@BonusSeconds])</f>
      </c>
      <c r="K171" s="3">
        <f>IF([@NetSeconds]="","",[@NetSeconds]/86400)</f>
      </c>
    </row>
    <row r="172" spans="1:11" x14ac:dyDescent="0.25">
      <c r="A172" t="s">
        <v>22</v>
      </c>
      <c r="B172">
        <f>IF([@Bib]="","",XLOOKUP([@Bib],tblReg[Bib],tblReg[Field],""))</f>
      </c>
      <c r="C172">
        <f>IF([@Bib]="","",XLOOKUP([@Bib],tblReg[Bib],tblReg[FirstName],""))</f>
      </c>
      <c r="D172">
        <f>IF([@Bib]="","",XLOOKUP([@Bib],tblReg[Bib],tblReg[LastName],""))</f>
      </c>
      <c r="E172">
        <f>IF([@Bib]="","",XLOOKUP([@Bib],tblReg[Bib],tblReg[Team],""))</f>
      </c>
      <c r="F172" s="3" t="s">
        <v>22</v>
      </c>
      <c r="G172">
        <f>IF([@StageTime]="","",HOUR([@StageTime])*3600 + MINUTE([@StageTime])*60 + SECOND([@StageTime]))</f>
      </c>
      <c r="H172">
        <f>IF([@StageSeconds]="","",RANK([@StageSeconds],tblStage1[StageSeconds],1))</f>
      </c>
      <c r="I172">
        <f>IF([@Position]="",0,XLOOKUP([@Position],Config!tblBonus[Place],Config!tblBonus[Stage1BonusSec],0))</f>
      </c>
      <c r="J172">
        <f>IF([@StageSeconds]="","",[@StageSeconds]-[@BonusSeconds])</f>
      </c>
      <c r="K172" s="3">
        <f>IF([@NetSeconds]="","",[@NetSeconds]/86400)</f>
      </c>
    </row>
    <row r="173" spans="1:11" x14ac:dyDescent="0.25">
      <c r="A173" t="s">
        <v>22</v>
      </c>
      <c r="B173">
        <f>IF([@Bib]="","",XLOOKUP([@Bib],tblReg[Bib],tblReg[Field],""))</f>
      </c>
      <c r="C173">
        <f>IF([@Bib]="","",XLOOKUP([@Bib],tblReg[Bib],tblReg[FirstName],""))</f>
      </c>
      <c r="D173">
        <f>IF([@Bib]="","",XLOOKUP([@Bib],tblReg[Bib],tblReg[LastName],""))</f>
      </c>
      <c r="E173">
        <f>IF([@Bib]="","",XLOOKUP([@Bib],tblReg[Bib],tblReg[Team],""))</f>
      </c>
      <c r="F173" s="3" t="s">
        <v>22</v>
      </c>
      <c r="G173">
        <f>IF([@StageTime]="","",HOUR([@StageTime])*3600 + MINUTE([@StageTime])*60 + SECOND([@StageTime]))</f>
      </c>
      <c r="H173">
        <f>IF([@StageSeconds]="","",RANK([@StageSeconds],tblStage1[StageSeconds],1))</f>
      </c>
      <c r="I173">
        <f>IF([@Position]="",0,XLOOKUP([@Position],Config!tblBonus[Place],Config!tblBonus[Stage1BonusSec],0))</f>
      </c>
      <c r="J173">
        <f>IF([@StageSeconds]="","",[@StageSeconds]-[@BonusSeconds])</f>
      </c>
      <c r="K173" s="3">
        <f>IF([@NetSeconds]="","",[@NetSeconds]/86400)</f>
      </c>
    </row>
    <row r="174" spans="1:11" x14ac:dyDescent="0.25">
      <c r="A174" t="s">
        <v>22</v>
      </c>
      <c r="B174">
        <f>IF([@Bib]="","",XLOOKUP([@Bib],tblReg[Bib],tblReg[Field],""))</f>
      </c>
      <c r="C174">
        <f>IF([@Bib]="","",XLOOKUP([@Bib],tblReg[Bib],tblReg[FirstName],""))</f>
      </c>
      <c r="D174">
        <f>IF([@Bib]="","",XLOOKUP([@Bib],tblReg[Bib],tblReg[LastName],""))</f>
      </c>
      <c r="E174">
        <f>IF([@Bib]="","",XLOOKUP([@Bib],tblReg[Bib],tblReg[Team],""))</f>
      </c>
      <c r="F174" s="3" t="s">
        <v>22</v>
      </c>
      <c r="G174">
        <f>IF([@StageTime]="","",HOUR([@StageTime])*3600 + MINUTE([@StageTime])*60 + SECOND([@StageTime]))</f>
      </c>
      <c r="H174">
        <f>IF([@StageSeconds]="","",RANK([@StageSeconds],tblStage1[StageSeconds],1))</f>
      </c>
      <c r="I174">
        <f>IF([@Position]="",0,XLOOKUP([@Position],Config!tblBonus[Place],Config!tblBonus[Stage1BonusSec],0))</f>
      </c>
      <c r="J174">
        <f>IF([@StageSeconds]="","",[@StageSeconds]-[@BonusSeconds])</f>
      </c>
      <c r="K174" s="3">
        <f>IF([@NetSeconds]="","",[@NetSeconds]/86400)</f>
      </c>
    </row>
    <row r="175" spans="1:11" x14ac:dyDescent="0.25">
      <c r="A175" t="s">
        <v>22</v>
      </c>
      <c r="B175">
        <f>IF([@Bib]="","",XLOOKUP([@Bib],tblReg[Bib],tblReg[Field],""))</f>
      </c>
      <c r="C175">
        <f>IF([@Bib]="","",XLOOKUP([@Bib],tblReg[Bib],tblReg[FirstName],""))</f>
      </c>
      <c r="D175">
        <f>IF([@Bib]="","",XLOOKUP([@Bib],tblReg[Bib],tblReg[LastName],""))</f>
      </c>
      <c r="E175">
        <f>IF([@Bib]="","",XLOOKUP([@Bib],tblReg[Bib],tblReg[Team],""))</f>
      </c>
      <c r="F175" s="3" t="s">
        <v>22</v>
      </c>
      <c r="G175">
        <f>IF([@StageTime]="","",HOUR([@StageTime])*3600 + MINUTE([@StageTime])*60 + SECOND([@StageTime]))</f>
      </c>
      <c r="H175">
        <f>IF([@StageSeconds]="","",RANK([@StageSeconds],tblStage1[StageSeconds],1))</f>
      </c>
      <c r="I175">
        <f>IF([@Position]="",0,XLOOKUP([@Position],Config!tblBonus[Place],Config!tblBonus[Stage1BonusSec],0))</f>
      </c>
      <c r="J175">
        <f>IF([@StageSeconds]="","",[@StageSeconds]-[@BonusSeconds])</f>
      </c>
      <c r="K175" s="3">
        <f>IF([@NetSeconds]="","",[@NetSeconds]/86400)</f>
      </c>
    </row>
    <row r="176" spans="1:11" x14ac:dyDescent="0.25">
      <c r="A176" t="s">
        <v>22</v>
      </c>
      <c r="B176">
        <f>IF([@Bib]="","",XLOOKUP([@Bib],tblReg[Bib],tblReg[Field],""))</f>
      </c>
      <c r="C176">
        <f>IF([@Bib]="","",XLOOKUP([@Bib],tblReg[Bib],tblReg[FirstName],""))</f>
      </c>
      <c r="D176">
        <f>IF([@Bib]="","",XLOOKUP([@Bib],tblReg[Bib],tblReg[LastName],""))</f>
      </c>
      <c r="E176">
        <f>IF([@Bib]="","",XLOOKUP([@Bib],tblReg[Bib],tblReg[Team],""))</f>
      </c>
      <c r="F176" s="3" t="s">
        <v>22</v>
      </c>
      <c r="G176">
        <f>IF([@StageTime]="","",HOUR([@StageTime])*3600 + MINUTE([@StageTime])*60 + SECOND([@StageTime]))</f>
      </c>
      <c r="H176">
        <f>IF([@StageSeconds]="","",RANK([@StageSeconds],tblStage1[StageSeconds],1))</f>
      </c>
      <c r="I176">
        <f>IF([@Position]="",0,XLOOKUP([@Position],Config!tblBonus[Place],Config!tblBonus[Stage1BonusSec],0))</f>
      </c>
      <c r="J176">
        <f>IF([@StageSeconds]="","",[@StageSeconds]-[@BonusSeconds])</f>
      </c>
      <c r="K176" s="3">
        <f>IF([@NetSeconds]="","",[@NetSeconds]/86400)</f>
      </c>
    </row>
    <row r="177" spans="1:11" x14ac:dyDescent="0.25">
      <c r="A177" t="s">
        <v>22</v>
      </c>
      <c r="B177">
        <f>IF([@Bib]="","",XLOOKUP([@Bib],tblReg[Bib],tblReg[Field],""))</f>
      </c>
      <c r="C177">
        <f>IF([@Bib]="","",XLOOKUP([@Bib],tblReg[Bib],tblReg[FirstName],""))</f>
      </c>
      <c r="D177">
        <f>IF([@Bib]="","",XLOOKUP([@Bib],tblReg[Bib],tblReg[LastName],""))</f>
      </c>
      <c r="E177">
        <f>IF([@Bib]="","",XLOOKUP([@Bib],tblReg[Bib],tblReg[Team],""))</f>
      </c>
      <c r="F177" s="3" t="s">
        <v>22</v>
      </c>
      <c r="G177">
        <f>IF([@StageTime]="","",HOUR([@StageTime])*3600 + MINUTE([@StageTime])*60 + SECOND([@StageTime]))</f>
      </c>
      <c r="H177">
        <f>IF([@StageSeconds]="","",RANK([@StageSeconds],tblStage1[StageSeconds],1))</f>
      </c>
      <c r="I177">
        <f>IF([@Position]="",0,XLOOKUP([@Position],Config!tblBonus[Place],Config!tblBonus[Stage1BonusSec],0))</f>
      </c>
      <c r="J177">
        <f>IF([@StageSeconds]="","",[@StageSeconds]-[@BonusSeconds])</f>
      </c>
      <c r="K177" s="3">
        <f>IF([@NetSeconds]="","",[@NetSeconds]/86400)</f>
      </c>
    </row>
    <row r="178" spans="1:11" x14ac:dyDescent="0.25">
      <c r="A178" t="s">
        <v>22</v>
      </c>
      <c r="B178">
        <f>IF([@Bib]="","",XLOOKUP([@Bib],tblReg[Bib],tblReg[Field],""))</f>
      </c>
      <c r="C178">
        <f>IF([@Bib]="","",XLOOKUP([@Bib],tblReg[Bib],tblReg[FirstName],""))</f>
      </c>
      <c r="D178">
        <f>IF([@Bib]="","",XLOOKUP([@Bib],tblReg[Bib],tblReg[LastName],""))</f>
      </c>
      <c r="E178">
        <f>IF([@Bib]="","",XLOOKUP([@Bib],tblReg[Bib],tblReg[Team],""))</f>
      </c>
      <c r="F178" s="3" t="s">
        <v>22</v>
      </c>
      <c r="G178">
        <f>IF([@StageTime]="","",HOUR([@StageTime])*3600 + MINUTE([@StageTime])*60 + SECOND([@StageTime]))</f>
      </c>
      <c r="H178">
        <f>IF([@StageSeconds]="","",RANK([@StageSeconds],tblStage1[StageSeconds],1))</f>
      </c>
      <c r="I178">
        <f>IF([@Position]="",0,XLOOKUP([@Position],Config!tblBonus[Place],Config!tblBonus[Stage1BonusSec],0))</f>
      </c>
      <c r="J178">
        <f>IF([@StageSeconds]="","",[@StageSeconds]-[@BonusSeconds])</f>
      </c>
      <c r="K178" s="3">
        <f>IF([@NetSeconds]="","",[@NetSeconds]/86400)</f>
      </c>
    </row>
    <row r="179" spans="1:11" x14ac:dyDescent="0.25">
      <c r="A179" t="s">
        <v>22</v>
      </c>
      <c r="B179">
        <f>IF([@Bib]="","",XLOOKUP([@Bib],tblReg[Bib],tblReg[Field],""))</f>
      </c>
      <c r="C179">
        <f>IF([@Bib]="","",XLOOKUP([@Bib],tblReg[Bib],tblReg[FirstName],""))</f>
      </c>
      <c r="D179">
        <f>IF([@Bib]="","",XLOOKUP([@Bib],tblReg[Bib],tblReg[LastName],""))</f>
      </c>
      <c r="E179">
        <f>IF([@Bib]="","",XLOOKUP([@Bib],tblReg[Bib],tblReg[Team],""))</f>
      </c>
      <c r="F179" s="3" t="s">
        <v>22</v>
      </c>
      <c r="G179">
        <f>IF([@StageTime]="","",HOUR([@StageTime])*3600 + MINUTE([@StageTime])*60 + SECOND([@StageTime]))</f>
      </c>
      <c r="H179">
        <f>IF([@StageSeconds]="","",RANK([@StageSeconds],tblStage1[StageSeconds],1))</f>
      </c>
      <c r="I179">
        <f>IF([@Position]="",0,XLOOKUP([@Position],Config!tblBonus[Place],Config!tblBonus[Stage1BonusSec],0))</f>
      </c>
      <c r="J179">
        <f>IF([@StageSeconds]="","",[@StageSeconds]-[@BonusSeconds])</f>
      </c>
      <c r="K179" s="3">
        <f>IF([@NetSeconds]="","",[@NetSeconds]/86400)</f>
      </c>
    </row>
    <row r="180" spans="1:11" x14ac:dyDescent="0.25">
      <c r="A180" t="s">
        <v>22</v>
      </c>
      <c r="B180">
        <f>IF([@Bib]="","",XLOOKUP([@Bib],tblReg[Bib],tblReg[Field],""))</f>
      </c>
      <c r="C180">
        <f>IF([@Bib]="","",XLOOKUP([@Bib],tblReg[Bib],tblReg[FirstName],""))</f>
      </c>
      <c r="D180">
        <f>IF([@Bib]="","",XLOOKUP([@Bib],tblReg[Bib],tblReg[LastName],""))</f>
      </c>
      <c r="E180">
        <f>IF([@Bib]="","",XLOOKUP([@Bib],tblReg[Bib],tblReg[Team],""))</f>
      </c>
      <c r="F180" s="3" t="s">
        <v>22</v>
      </c>
      <c r="G180">
        <f>IF([@StageTime]="","",HOUR([@StageTime])*3600 + MINUTE([@StageTime])*60 + SECOND([@StageTime]))</f>
      </c>
      <c r="H180">
        <f>IF([@StageSeconds]="","",RANK([@StageSeconds],tblStage1[StageSeconds],1))</f>
      </c>
      <c r="I180">
        <f>IF([@Position]="",0,XLOOKUP([@Position],Config!tblBonus[Place],Config!tblBonus[Stage1BonusSec],0))</f>
      </c>
      <c r="J180">
        <f>IF([@StageSeconds]="","",[@StageSeconds]-[@BonusSeconds])</f>
      </c>
      <c r="K180" s="3">
        <f>IF([@NetSeconds]="","",[@NetSeconds]/86400)</f>
      </c>
    </row>
    <row r="181" spans="1:11" x14ac:dyDescent="0.25">
      <c r="A181" t="s">
        <v>22</v>
      </c>
      <c r="B181">
        <f>IF([@Bib]="","",XLOOKUP([@Bib],tblReg[Bib],tblReg[Field],""))</f>
      </c>
      <c r="C181">
        <f>IF([@Bib]="","",XLOOKUP([@Bib],tblReg[Bib],tblReg[FirstName],""))</f>
      </c>
      <c r="D181">
        <f>IF([@Bib]="","",XLOOKUP([@Bib],tblReg[Bib],tblReg[LastName],""))</f>
      </c>
      <c r="E181">
        <f>IF([@Bib]="","",XLOOKUP([@Bib],tblReg[Bib],tblReg[Team],""))</f>
      </c>
      <c r="F181" s="3" t="s">
        <v>22</v>
      </c>
      <c r="G181">
        <f>IF([@StageTime]="","",HOUR([@StageTime])*3600 + MINUTE([@StageTime])*60 + SECOND([@StageTime]))</f>
      </c>
      <c r="H181">
        <f>IF([@StageSeconds]="","",RANK([@StageSeconds],tblStage1[StageSeconds],1))</f>
      </c>
      <c r="I181">
        <f>IF([@Position]="",0,XLOOKUP([@Position],Config!tblBonus[Place],Config!tblBonus[Stage1BonusSec],0))</f>
      </c>
      <c r="J181">
        <f>IF([@StageSeconds]="","",[@StageSeconds]-[@BonusSeconds])</f>
      </c>
      <c r="K181" s="3">
        <f>IF([@NetSeconds]="","",[@NetSeconds]/86400)</f>
      </c>
    </row>
    <row r="182" spans="1:11" x14ac:dyDescent="0.25">
      <c r="A182" t="s">
        <v>22</v>
      </c>
      <c r="B182">
        <f>IF([@Bib]="","",XLOOKUP([@Bib],tblReg[Bib],tblReg[Field],""))</f>
      </c>
      <c r="C182">
        <f>IF([@Bib]="","",XLOOKUP([@Bib],tblReg[Bib],tblReg[FirstName],""))</f>
      </c>
      <c r="D182">
        <f>IF([@Bib]="","",XLOOKUP([@Bib],tblReg[Bib],tblReg[LastName],""))</f>
      </c>
      <c r="E182">
        <f>IF([@Bib]="","",XLOOKUP([@Bib],tblReg[Bib],tblReg[Team],""))</f>
      </c>
      <c r="F182" s="3" t="s">
        <v>22</v>
      </c>
      <c r="G182">
        <f>IF([@StageTime]="","",HOUR([@StageTime])*3600 + MINUTE([@StageTime])*60 + SECOND([@StageTime]))</f>
      </c>
      <c r="H182">
        <f>IF([@StageSeconds]="","",RANK([@StageSeconds],tblStage1[StageSeconds],1))</f>
      </c>
      <c r="I182">
        <f>IF([@Position]="",0,XLOOKUP([@Position],Config!tblBonus[Place],Config!tblBonus[Stage1BonusSec],0))</f>
      </c>
      <c r="J182">
        <f>IF([@StageSeconds]="","",[@StageSeconds]-[@BonusSeconds])</f>
      </c>
      <c r="K182" s="3">
        <f>IF([@NetSeconds]="","",[@NetSeconds]/86400)</f>
      </c>
    </row>
    <row r="183" spans="1:11" x14ac:dyDescent="0.25">
      <c r="A183" t="s">
        <v>22</v>
      </c>
      <c r="B183">
        <f>IF([@Bib]="","",XLOOKUP([@Bib],tblReg[Bib],tblReg[Field],""))</f>
      </c>
      <c r="C183">
        <f>IF([@Bib]="","",XLOOKUP([@Bib],tblReg[Bib],tblReg[FirstName],""))</f>
      </c>
      <c r="D183">
        <f>IF([@Bib]="","",XLOOKUP([@Bib],tblReg[Bib],tblReg[LastName],""))</f>
      </c>
      <c r="E183">
        <f>IF([@Bib]="","",XLOOKUP([@Bib],tblReg[Bib],tblReg[Team],""))</f>
      </c>
      <c r="F183" s="3" t="s">
        <v>22</v>
      </c>
      <c r="G183">
        <f>IF([@StageTime]="","",HOUR([@StageTime])*3600 + MINUTE([@StageTime])*60 + SECOND([@StageTime]))</f>
      </c>
      <c r="H183">
        <f>IF([@StageSeconds]="","",RANK([@StageSeconds],tblStage1[StageSeconds],1))</f>
      </c>
      <c r="I183">
        <f>IF([@Position]="",0,XLOOKUP([@Position],Config!tblBonus[Place],Config!tblBonus[Stage1BonusSec],0))</f>
      </c>
      <c r="J183">
        <f>IF([@StageSeconds]="","",[@StageSeconds]-[@BonusSeconds])</f>
      </c>
      <c r="K183" s="3">
        <f>IF([@NetSeconds]="","",[@NetSeconds]/86400)</f>
      </c>
    </row>
    <row r="184" spans="1:11" x14ac:dyDescent="0.25">
      <c r="A184" t="s">
        <v>22</v>
      </c>
      <c r="B184">
        <f>IF([@Bib]="","",XLOOKUP([@Bib],tblReg[Bib],tblReg[Field],""))</f>
      </c>
      <c r="C184">
        <f>IF([@Bib]="","",XLOOKUP([@Bib],tblReg[Bib],tblReg[FirstName],""))</f>
      </c>
      <c r="D184">
        <f>IF([@Bib]="","",XLOOKUP([@Bib],tblReg[Bib],tblReg[LastName],""))</f>
      </c>
      <c r="E184">
        <f>IF([@Bib]="","",XLOOKUP([@Bib],tblReg[Bib],tblReg[Team],""))</f>
      </c>
      <c r="F184" s="3" t="s">
        <v>22</v>
      </c>
      <c r="G184">
        <f>IF([@StageTime]="","",HOUR([@StageTime])*3600 + MINUTE([@StageTime])*60 + SECOND([@StageTime]))</f>
      </c>
      <c r="H184">
        <f>IF([@StageSeconds]="","",RANK([@StageSeconds],tblStage1[StageSeconds],1))</f>
      </c>
      <c r="I184">
        <f>IF([@Position]="",0,XLOOKUP([@Position],Config!tblBonus[Place],Config!tblBonus[Stage1BonusSec],0))</f>
      </c>
      <c r="J184">
        <f>IF([@StageSeconds]="","",[@StageSeconds]-[@BonusSeconds])</f>
      </c>
      <c r="K184" s="3">
        <f>IF([@NetSeconds]="","",[@NetSeconds]/86400)</f>
      </c>
    </row>
    <row r="185" spans="1:11" x14ac:dyDescent="0.25">
      <c r="A185" t="s">
        <v>22</v>
      </c>
      <c r="B185">
        <f>IF([@Bib]="","",XLOOKUP([@Bib],tblReg[Bib],tblReg[Field],""))</f>
      </c>
      <c r="C185">
        <f>IF([@Bib]="","",XLOOKUP([@Bib],tblReg[Bib],tblReg[FirstName],""))</f>
      </c>
      <c r="D185">
        <f>IF([@Bib]="","",XLOOKUP([@Bib],tblReg[Bib],tblReg[LastName],""))</f>
      </c>
      <c r="E185">
        <f>IF([@Bib]="","",XLOOKUP([@Bib],tblReg[Bib],tblReg[Team],""))</f>
      </c>
      <c r="F185" s="3" t="s">
        <v>22</v>
      </c>
      <c r="G185">
        <f>IF([@StageTime]="","",HOUR([@StageTime])*3600 + MINUTE([@StageTime])*60 + SECOND([@StageTime]))</f>
      </c>
      <c r="H185">
        <f>IF([@StageSeconds]="","",RANK([@StageSeconds],tblStage1[StageSeconds],1))</f>
      </c>
      <c r="I185">
        <f>IF([@Position]="",0,XLOOKUP([@Position],Config!tblBonus[Place],Config!tblBonus[Stage1BonusSec],0))</f>
      </c>
      <c r="J185">
        <f>IF([@StageSeconds]="","",[@StageSeconds]-[@BonusSeconds])</f>
      </c>
      <c r="K185" s="3">
        <f>IF([@NetSeconds]="","",[@NetSeconds]/86400)</f>
      </c>
    </row>
    <row r="186" spans="1:11" x14ac:dyDescent="0.25">
      <c r="A186" t="s">
        <v>22</v>
      </c>
      <c r="B186">
        <f>IF([@Bib]="","",XLOOKUP([@Bib],tblReg[Bib],tblReg[Field],""))</f>
      </c>
      <c r="C186">
        <f>IF([@Bib]="","",XLOOKUP([@Bib],tblReg[Bib],tblReg[FirstName],""))</f>
      </c>
      <c r="D186">
        <f>IF([@Bib]="","",XLOOKUP([@Bib],tblReg[Bib],tblReg[LastName],""))</f>
      </c>
      <c r="E186">
        <f>IF([@Bib]="","",XLOOKUP([@Bib],tblReg[Bib],tblReg[Team],""))</f>
      </c>
      <c r="F186" s="3" t="s">
        <v>22</v>
      </c>
      <c r="G186">
        <f>IF([@StageTime]="","",HOUR([@StageTime])*3600 + MINUTE([@StageTime])*60 + SECOND([@StageTime]))</f>
      </c>
      <c r="H186">
        <f>IF([@StageSeconds]="","",RANK([@StageSeconds],tblStage1[StageSeconds],1))</f>
      </c>
      <c r="I186">
        <f>IF([@Position]="",0,XLOOKUP([@Position],Config!tblBonus[Place],Config!tblBonus[Stage1BonusSec],0))</f>
      </c>
      <c r="J186">
        <f>IF([@StageSeconds]="","",[@StageSeconds]-[@BonusSeconds])</f>
      </c>
      <c r="K186" s="3">
        <f>IF([@NetSeconds]="","",[@NetSeconds]/86400)</f>
      </c>
    </row>
    <row r="187" spans="1:11" x14ac:dyDescent="0.25">
      <c r="A187" t="s">
        <v>22</v>
      </c>
      <c r="B187">
        <f>IF([@Bib]="","",XLOOKUP([@Bib],tblReg[Bib],tblReg[Field],""))</f>
      </c>
      <c r="C187">
        <f>IF([@Bib]="","",XLOOKUP([@Bib],tblReg[Bib],tblReg[FirstName],""))</f>
      </c>
      <c r="D187">
        <f>IF([@Bib]="","",XLOOKUP([@Bib],tblReg[Bib],tblReg[LastName],""))</f>
      </c>
      <c r="E187">
        <f>IF([@Bib]="","",XLOOKUP([@Bib],tblReg[Bib],tblReg[Team],""))</f>
      </c>
      <c r="F187" s="3" t="s">
        <v>22</v>
      </c>
      <c r="G187">
        <f>IF([@StageTime]="","",HOUR([@StageTime])*3600 + MINUTE([@StageTime])*60 + SECOND([@StageTime]))</f>
      </c>
      <c r="H187">
        <f>IF([@StageSeconds]="","",RANK([@StageSeconds],tblStage1[StageSeconds],1))</f>
      </c>
      <c r="I187">
        <f>IF([@Position]="",0,XLOOKUP([@Position],Config!tblBonus[Place],Config!tblBonus[Stage1BonusSec],0))</f>
      </c>
      <c r="J187">
        <f>IF([@StageSeconds]="","",[@StageSeconds]-[@BonusSeconds])</f>
      </c>
      <c r="K187" s="3">
        <f>IF([@NetSeconds]="","",[@NetSeconds]/86400)</f>
      </c>
    </row>
    <row r="188" spans="1:11" x14ac:dyDescent="0.25">
      <c r="A188" t="s">
        <v>22</v>
      </c>
      <c r="B188">
        <f>IF([@Bib]="","",XLOOKUP([@Bib],tblReg[Bib],tblReg[Field],""))</f>
      </c>
      <c r="C188">
        <f>IF([@Bib]="","",XLOOKUP([@Bib],tblReg[Bib],tblReg[FirstName],""))</f>
      </c>
      <c r="D188">
        <f>IF([@Bib]="","",XLOOKUP([@Bib],tblReg[Bib],tblReg[LastName],""))</f>
      </c>
      <c r="E188">
        <f>IF([@Bib]="","",XLOOKUP([@Bib],tblReg[Bib],tblReg[Team],""))</f>
      </c>
      <c r="F188" s="3" t="s">
        <v>22</v>
      </c>
      <c r="G188">
        <f>IF([@StageTime]="","",HOUR([@StageTime])*3600 + MINUTE([@StageTime])*60 + SECOND([@StageTime]))</f>
      </c>
      <c r="H188">
        <f>IF([@StageSeconds]="","",RANK([@StageSeconds],tblStage1[StageSeconds],1))</f>
      </c>
      <c r="I188">
        <f>IF([@Position]="",0,XLOOKUP([@Position],Config!tblBonus[Place],Config!tblBonus[Stage1BonusSec],0))</f>
      </c>
      <c r="J188">
        <f>IF([@StageSeconds]="","",[@StageSeconds]-[@BonusSeconds])</f>
      </c>
      <c r="K188" s="3">
        <f>IF([@NetSeconds]="","",[@NetSeconds]/86400)</f>
      </c>
    </row>
    <row r="189" spans="1:11" x14ac:dyDescent="0.25">
      <c r="A189" t="s">
        <v>22</v>
      </c>
      <c r="B189">
        <f>IF([@Bib]="","",XLOOKUP([@Bib],tblReg[Bib],tblReg[Field],""))</f>
      </c>
      <c r="C189">
        <f>IF([@Bib]="","",XLOOKUP([@Bib],tblReg[Bib],tblReg[FirstName],""))</f>
      </c>
      <c r="D189">
        <f>IF([@Bib]="","",XLOOKUP([@Bib],tblReg[Bib],tblReg[LastName],""))</f>
      </c>
      <c r="E189">
        <f>IF([@Bib]="","",XLOOKUP([@Bib],tblReg[Bib],tblReg[Team],""))</f>
      </c>
      <c r="F189" s="3" t="s">
        <v>22</v>
      </c>
      <c r="G189">
        <f>IF([@StageTime]="","",HOUR([@StageTime])*3600 + MINUTE([@StageTime])*60 + SECOND([@StageTime]))</f>
      </c>
      <c r="H189">
        <f>IF([@StageSeconds]="","",RANK([@StageSeconds],tblStage1[StageSeconds],1))</f>
      </c>
      <c r="I189">
        <f>IF([@Position]="",0,XLOOKUP([@Position],Config!tblBonus[Place],Config!tblBonus[Stage1BonusSec],0))</f>
      </c>
      <c r="J189">
        <f>IF([@StageSeconds]="","",[@StageSeconds]-[@BonusSeconds])</f>
      </c>
      <c r="K189" s="3">
        <f>IF([@NetSeconds]="","",[@NetSeconds]/86400)</f>
      </c>
    </row>
    <row r="190" spans="1:11" x14ac:dyDescent="0.25">
      <c r="A190" t="s">
        <v>22</v>
      </c>
      <c r="B190">
        <f>IF([@Bib]="","",XLOOKUP([@Bib],tblReg[Bib],tblReg[Field],""))</f>
      </c>
      <c r="C190">
        <f>IF([@Bib]="","",XLOOKUP([@Bib],tblReg[Bib],tblReg[FirstName],""))</f>
      </c>
      <c r="D190">
        <f>IF([@Bib]="","",XLOOKUP([@Bib],tblReg[Bib],tblReg[LastName],""))</f>
      </c>
      <c r="E190">
        <f>IF([@Bib]="","",XLOOKUP([@Bib],tblReg[Bib],tblReg[Team],""))</f>
      </c>
      <c r="F190" s="3" t="s">
        <v>22</v>
      </c>
      <c r="G190">
        <f>IF([@StageTime]="","",HOUR([@StageTime])*3600 + MINUTE([@StageTime])*60 + SECOND([@StageTime]))</f>
      </c>
      <c r="H190">
        <f>IF([@StageSeconds]="","",RANK([@StageSeconds],tblStage1[StageSeconds],1))</f>
      </c>
      <c r="I190">
        <f>IF([@Position]="",0,XLOOKUP([@Position],Config!tblBonus[Place],Config!tblBonus[Stage1BonusSec],0))</f>
      </c>
      <c r="J190">
        <f>IF([@StageSeconds]="","",[@StageSeconds]-[@BonusSeconds])</f>
      </c>
      <c r="K190" s="3">
        <f>IF([@NetSeconds]="","",[@NetSeconds]/86400)</f>
      </c>
    </row>
    <row r="191" spans="1:11" x14ac:dyDescent="0.25">
      <c r="A191" t="s">
        <v>22</v>
      </c>
      <c r="B191">
        <f>IF([@Bib]="","",XLOOKUP([@Bib],tblReg[Bib],tblReg[Field],""))</f>
      </c>
      <c r="C191">
        <f>IF([@Bib]="","",XLOOKUP([@Bib],tblReg[Bib],tblReg[FirstName],""))</f>
      </c>
      <c r="D191">
        <f>IF([@Bib]="","",XLOOKUP([@Bib],tblReg[Bib],tblReg[LastName],""))</f>
      </c>
      <c r="E191">
        <f>IF([@Bib]="","",XLOOKUP([@Bib],tblReg[Bib],tblReg[Team],""))</f>
      </c>
      <c r="F191" s="3" t="s">
        <v>22</v>
      </c>
      <c r="G191">
        <f>IF([@StageTime]="","",HOUR([@StageTime])*3600 + MINUTE([@StageTime])*60 + SECOND([@StageTime]))</f>
      </c>
      <c r="H191">
        <f>IF([@StageSeconds]="","",RANK([@StageSeconds],tblStage1[StageSeconds],1))</f>
      </c>
      <c r="I191">
        <f>IF([@Position]="",0,XLOOKUP([@Position],Config!tblBonus[Place],Config!tblBonus[Stage1BonusSec],0))</f>
      </c>
      <c r="J191">
        <f>IF([@StageSeconds]="","",[@StageSeconds]-[@BonusSeconds])</f>
      </c>
      <c r="K191" s="3">
        <f>IF([@NetSeconds]="","",[@NetSeconds]/86400)</f>
      </c>
    </row>
    <row r="192" spans="1:11" x14ac:dyDescent="0.25">
      <c r="A192" t="s">
        <v>22</v>
      </c>
      <c r="B192">
        <f>IF([@Bib]="","",XLOOKUP([@Bib],tblReg[Bib],tblReg[Field],""))</f>
      </c>
      <c r="C192">
        <f>IF([@Bib]="","",XLOOKUP([@Bib],tblReg[Bib],tblReg[FirstName],""))</f>
      </c>
      <c r="D192">
        <f>IF([@Bib]="","",XLOOKUP([@Bib],tblReg[Bib],tblReg[LastName],""))</f>
      </c>
      <c r="E192">
        <f>IF([@Bib]="","",XLOOKUP([@Bib],tblReg[Bib],tblReg[Team],""))</f>
      </c>
      <c r="F192" s="3" t="s">
        <v>22</v>
      </c>
      <c r="G192">
        <f>IF([@StageTime]="","",HOUR([@StageTime])*3600 + MINUTE([@StageTime])*60 + SECOND([@StageTime]))</f>
      </c>
      <c r="H192">
        <f>IF([@StageSeconds]="","",RANK([@StageSeconds],tblStage1[StageSeconds],1))</f>
      </c>
      <c r="I192">
        <f>IF([@Position]="",0,XLOOKUP([@Position],Config!tblBonus[Place],Config!tblBonus[Stage1BonusSec],0))</f>
      </c>
      <c r="J192">
        <f>IF([@StageSeconds]="","",[@StageSeconds]-[@BonusSeconds])</f>
      </c>
      <c r="K192" s="3">
        <f>IF([@NetSeconds]="","",[@NetSeconds]/86400)</f>
      </c>
    </row>
    <row r="193" spans="1:11" x14ac:dyDescent="0.25">
      <c r="A193" t="s">
        <v>22</v>
      </c>
      <c r="B193">
        <f>IF([@Bib]="","",XLOOKUP([@Bib],tblReg[Bib],tblReg[Field],""))</f>
      </c>
      <c r="C193">
        <f>IF([@Bib]="","",XLOOKUP([@Bib],tblReg[Bib],tblReg[FirstName],""))</f>
      </c>
      <c r="D193">
        <f>IF([@Bib]="","",XLOOKUP([@Bib],tblReg[Bib],tblReg[LastName],""))</f>
      </c>
      <c r="E193">
        <f>IF([@Bib]="","",XLOOKUP([@Bib],tblReg[Bib],tblReg[Team],""))</f>
      </c>
      <c r="F193" s="3" t="s">
        <v>22</v>
      </c>
      <c r="G193">
        <f>IF([@StageTime]="","",HOUR([@StageTime])*3600 + MINUTE([@StageTime])*60 + SECOND([@StageTime]))</f>
      </c>
      <c r="H193">
        <f>IF([@StageSeconds]="","",RANK([@StageSeconds],tblStage1[StageSeconds],1))</f>
      </c>
      <c r="I193">
        <f>IF([@Position]="",0,XLOOKUP([@Position],Config!tblBonus[Place],Config!tblBonus[Stage1BonusSec],0))</f>
      </c>
      <c r="J193">
        <f>IF([@StageSeconds]="","",[@StageSeconds]-[@BonusSeconds])</f>
      </c>
      <c r="K193" s="3">
        <f>IF([@NetSeconds]="","",[@NetSeconds]/86400)</f>
      </c>
    </row>
    <row r="194" spans="1:11" x14ac:dyDescent="0.25">
      <c r="A194" t="s">
        <v>22</v>
      </c>
      <c r="B194">
        <f>IF([@Bib]="","",XLOOKUP([@Bib],tblReg[Bib],tblReg[Field],""))</f>
      </c>
      <c r="C194">
        <f>IF([@Bib]="","",XLOOKUP([@Bib],tblReg[Bib],tblReg[FirstName],""))</f>
      </c>
      <c r="D194">
        <f>IF([@Bib]="","",XLOOKUP([@Bib],tblReg[Bib],tblReg[LastName],""))</f>
      </c>
      <c r="E194">
        <f>IF([@Bib]="","",XLOOKUP([@Bib],tblReg[Bib],tblReg[Team],""))</f>
      </c>
      <c r="F194" s="3" t="s">
        <v>22</v>
      </c>
      <c r="G194">
        <f>IF([@StageTime]="","",HOUR([@StageTime])*3600 + MINUTE([@StageTime])*60 + SECOND([@StageTime]))</f>
      </c>
      <c r="H194">
        <f>IF([@StageSeconds]="","",RANK([@StageSeconds],tblStage1[StageSeconds],1))</f>
      </c>
      <c r="I194">
        <f>IF([@Position]="",0,XLOOKUP([@Position],Config!tblBonus[Place],Config!tblBonus[Stage1BonusSec],0))</f>
      </c>
      <c r="J194">
        <f>IF([@StageSeconds]="","",[@StageSeconds]-[@BonusSeconds])</f>
      </c>
      <c r="K194" s="3">
        <f>IF([@NetSeconds]="","",[@NetSeconds]/86400)</f>
      </c>
    </row>
    <row r="195" spans="1:11" x14ac:dyDescent="0.25">
      <c r="A195" t="s">
        <v>22</v>
      </c>
      <c r="B195">
        <f>IF([@Bib]="","",XLOOKUP([@Bib],tblReg[Bib],tblReg[Field],""))</f>
      </c>
      <c r="C195">
        <f>IF([@Bib]="","",XLOOKUP([@Bib],tblReg[Bib],tblReg[FirstName],""))</f>
      </c>
      <c r="D195">
        <f>IF([@Bib]="","",XLOOKUP([@Bib],tblReg[Bib],tblReg[LastName],""))</f>
      </c>
      <c r="E195">
        <f>IF([@Bib]="","",XLOOKUP([@Bib],tblReg[Bib],tblReg[Team],""))</f>
      </c>
      <c r="F195" s="3" t="s">
        <v>22</v>
      </c>
      <c r="G195">
        <f>IF([@StageTime]="","",HOUR([@StageTime])*3600 + MINUTE([@StageTime])*60 + SECOND([@StageTime]))</f>
      </c>
      <c r="H195">
        <f>IF([@StageSeconds]="","",RANK([@StageSeconds],tblStage1[StageSeconds],1))</f>
      </c>
      <c r="I195">
        <f>IF([@Position]="",0,XLOOKUP([@Position],Config!tblBonus[Place],Config!tblBonus[Stage1BonusSec],0))</f>
      </c>
      <c r="J195">
        <f>IF([@StageSeconds]="","",[@StageSeconds]-[@BonusSeconds])</f>
      </c>
      <c r="K195" s="3">
        <f>IF([@NetSeconds]="","",[@NetSeconds]/86400)</f>
      </c>
    </row>
    <row r="196" spans="1:11" x14ac:dyDescent="0.25">
      <c r="A196" t="s">
        <v>22</v>
      </c>
      <c r="B196">
        <f>IF([@Bib]="","",XLOOKUP([@Bib],tblReg[Bib],tblReg[Field],""))</f>
      </c>
      <c r="C196">
        <f>IF([@Bib]="","",XLOOKUP([@Bib],tblReg[Bib],tblReg[FirstName],""))</f>
      </c>
      <c r="D196">
        <f>IF([@Bib]="","",XLOOKUP([@Bib],tblReg[Bib],tblReg[LastName],""))</f>
      </c>
      <c r="E196">
        <f>IF([@Bib]="","",XLOOKUP([@Bib],tblReg[Bib],tblReg[Team],""))</f>
      </c>
      <c r="F196" s="3" t="s">
        <v>22</v>
      </c>
      <c r="G196">
        <f>IF([@StageTime]="","",HOUR([@StageTime])*3600 + MINUTE([@StageTime])*60 + SECOND([@StageTime]))</f>
      </c>
      <c r="H196">
        <f>IF([@StageSeconds]="","",RANK([@StageSeconds],tblStage1[StageSeconds],1))</f>
      </c>
      <c r="I196">
        <f>IF([@Position]="",0,XLOOKUP([@Position],Config!tblBonus[Place],Config!tblBonus[Stage1BonusSec],0))</f>
      </c>
      <c r="J196">
        <f>IF([@StageSeconds]="","",[@StageSeconds]-[@BonusSeconds])</f>
      </c>
      <c r="K196" s="3">
        <f>IF([@NetSeconds]="","",[@NetSeconds]/86400)</f>
      </c>
    </row>
    <row r="197" spans="1:11" x14ac:dyDescent="0.25">
      <c r="A197" t="s">
        <v>22</v>
      </c>
      <c r="B197">
        <f>IF([@Bib]="","",XLOOKUP([@Bib],tblReg[Bib],tblReg[Field],""))</f>
      </c>
      <c r="C197">
        <f>IF([@Bib]="","",XLOOKUP([@Bib],tblReg[Bib],tblReg[FirstName],""))</f>
      </c>
      <c r="D197">
        <f>IF([@Bib]="","",XLOOKUP([@Bib],tblReg[Bib],tblReg[LastName],""))</f>
      </c>
      <c r="E197">
        <f>IF([@Bib]="","",XLOOKUP([@Bib],tblReg[Bib],tblReg[Team],""))</f>
      </c>
      <c r="F197" s="3" t="s">
        <v>22</v>
      </c>
      <c r="G197">
        <f>IF([@StageTime]="","",HOUR([@StageTime])*3600 + MINUTE([@StageTime])*60 + SECOND([@StageTime]))</f>
      </c>
      <c r="H197">
        <f>IF([@StageSeconds]="","",RANK([@StageSeconds],tblStage1[StageSeconds],1))</f>
      </c>
      <c r="I197">
        <f>IF([@Position]="",0,XLOOKUP([@Position],Config!tblBonus[Place],Config!tblBonus[Stage1BonusSec],0))</f>
      </c>
      <c r="J197">
        <f>IF([@StageSeconds]="","",[@StageSeconds]-[@BonusSeconds])</f>
      </c>
      <c r="K197" s="3">
        <f>IF([@NetSeconds]="","",[@NetSeconds]/86400)</f>
      </c>
    </row>
    <row r="198" spans="1:11" x14ac:dyDescent="0.25">
      <c r="A198" t="s">
        <v>22</v>
      </c>
      <c r="B198">
        <f>IF([@Bib]="","",XLOOKUP([@Bib],tblReg[Bib],tblReg[Field],""))</f>
      </c>
      <c r="C198">
        <f>IF([@Bib]="","",XLOOKUP([@Bib],tblReg[Bib],tblReg[FirstName],""))</f>
      </c>
      <c r="D198">
        <f>IF([@Bib]="","",XLOOKUP([@Bib],tblReg[Bib],tblReg[LastName],""))</f>
      </c>
      <c r="E198">
        <f>IF([@Bib]="","",XLOOKUP([@Bib],tblReg[Bib],tblReg[Team],""))</f>
      </c>
      <c r="F198" s="3" t="s">
        <v>22</v>
      </c>
      <c r="G198">
        <f>IF([@StageTime]="","",HOUR([@StageTime])*3600 + MINUTE([@StageTime])*60 + SECOND([@StageTime]))</f>
      </c>
      <c r="H198">
        <f>IF([@StageSeconds]="","",RANK([@StageSeconds],tblStage1[StageSeconds],1))</f>
      </c>
      <c r="I198">
        <f>IF([@Position]="",0,XLOOKUP([@Position],Config!tblBonus[Place],Config!tblBonus[Stage1BonusSec],0))</f>
      </c>
      <c r="J198">
        <f>IF([@StageSeconds]="","",[@StageSeconds]-[@BonusSeconds])</f>
      </c>
      <c r="K198" s="3">
        <f>IF([@NetSeconds]="","",[@NetSeconds]/86400)</f>
      </c>
    </row>
    <row r="199" spans="1:11" x14ac:dyDescent="0.25">
      <c r="A199" t="s">
        <v>22</v>
      </c>
      <c r="B199">
        <f>IF([@Bib]="","",XLOOKUP([@Bib],tblReg[Bib],tblReg[Field],""))</f>
      </c>
      <c r="C199">
        <f>IF([@Bib]="","",XLOOKUP([@Bib],tblReg[Bib],tblReg[FirstName],""))</f>
      </c>
      <c r="D199">
        <f>IF([@Bib]="","",XLOOKUP([@Bib],tblReg[Bib],tblReg[LastName],""))</f>
      </c>
      <c r="E199">
        <f>IF([@Bib]="","",XLOOKUP([@Bib],tblReg[Bib],tblReg[Team],""))</f>
      </c>
      <c r="F199" s="3" t="s">
        <v>22</v>
      </c>
      <c r="G199">
        <f>IF([@StageTime]="","",HOUR([@StageTime])*3600 + MINUTE([@StageTime])*60 + SECOND([@StageTime]))</f>
      </c>
      <c r="H199">
        <f>IF([@StageSeconds]="","",RANK([@StageSeconds],tblStage1[StageSeconds],1))</f>
      </c>
      <c r="I199">
        <f>IF([@Position]="",0,XLOOKUP([@Position],Config!tblBonus[Place],Config!tblBonus[Stage1BonusSec],0))</f>
      </c>
      <c r="J199">
        <f>IF([@StageSeconds]="","",[@StageSeconds]-[@BonusSeconds])</f>
      </c>
      <c r="K199" s="3">
        <f>IF([@NetSeconds]="","",[@NetSeconds]/86400)</f>
      </c>
    </row>
    <row r="200" spans="1:11" x14ac:dyDescent="0.25">
      <c r="A200" t="s">
        <v>22</v>
      </c>
      <c r="B200">
        <f>IF([@Bib]="","",XLOOKUP([@Bib],tblReg[Bib],tblReg[Field],""))</f>
      </c>
      <c r="C200">
        <f>IF([@Bib]="","",XLOOKUP([@Bib],tblReg[Bib],tblReg[FirstName],""))</f>
      </c>
      <c r="D200">
        <f>IF([@Bib]="","",XLOOKUP([@Bib],tblReg[Bib],tblReg[LastName],""))</f>
      </c>
      <c r="E200">
        <f>IF([@Bib]="","",XLOOKUP([@Bib],tblReg[Bib],tblReg[Team],""))</f>
      </c>
      <c r="F200" s="3" t="s">
        <v>22</v>
      </c>
      <c r="G200">
        <f>IF([@StageTime]="","",HOUR([@StageTime])*3600 + MINUTE([@StageTime])*60 + SECOND([@StageTime]))</f>
      </c>
      <c r="H200">
        <f>IF([@StageSeconds]="","",RANK([@StageSeconds],tblStage1[StageSeconds],1))</f>
      </c>
      <c r="I200">
        <f>IF([@Position]="",0,XLOOKUP([@Position],Config!tblBonus[Place],Config!tblBonus[Stage1BonusSec],0))</f>
      </c>
      <c r="J200">
        <f>IF([@StageSeconds]="","",[@StageSeconds]-[@BonusSeconds])</f>
      </c>
      <c r="K200" s="3">
        <f>IF([@NetSeconds]="","",[@NetSeconds]/86400)</f>
      </c>
    </row>
    <row r="201" spans="1:11" x14ac:dyDescent="0.25">
      <c r="A201" t="s">
        <v>22</v>
      </c>
      <c r="B201">
        <f>IF([@Bib]="","",XLOOKUP([@Bib],tblReg[Bib],tblReg[Field],""))</f>
      </c>
      <c r="C201">
        <f>IF([@Bib]="","",XLOOKUP([@Bib],tblReg[Bib],tblReg[FirstName],""))</f>
      </c>
      <c r="D201">
        <f>IF([@Bib]="","",XLOOKUP([@Bib],tblReg[Bib],tblReg[LastName],""))</f>
      </c>
      <c r="E201">
        <f>IF([@Bib]="","",XLOOKUP([@Bib],tblReg[Bib],tblReg[Team],""))</f>
      </c>
      <c r="F201" s="3" t="s">
        <v>22</v>
      </c>
      <c r="G201">
        <f>IF([@StageTime]="","",HOUR([@StageTime])*3600 + MINUTE([@StageTime])*60 + SECOND([@StageTime]))</f>
      </c>
      <c r="H201">
        <f>IF([@StageSeconds]="","",RANK([@StageSeconds],tblStage1[StageSeconds],1))</f>
      </c>
      <c r="I201">
        <f>IF([@Position]="",0,XLOOKUP([@Position],Config!tblBonus[Place],Config!tblBonus[Stage1BonusSec],0))</f>
      </c>
      <c r="J201">
        <f>IF([@StageSeconds]="","",[@StageSeconds]-[@BonusSeconds])</f>
      </c>
      <c r="K201" s="3">
        <f>IF([@NetSeconds]="","",[@NetSeconds]/86400)</f>
      </c>
    </row>
    <row r="202" spans="1:11" x14ac:dyDescent="0.25">
      <c r="A202" t="s">
        <v>22</v>
      </c>
      <c r="B202">
        <f>IF([@Bib]="","",XLOOKUP([@Bib],tblReg[Bib],tblReg[Field],""))</f>
      </c>
      <c r="C202">
        <f>IF([@Bib]="","",XLOOKUP([@Bib],tblReg[Bib],tblReg[FirstName],""))</f>
      </c>
      <c r="D202">
        <f>IF([@Bib]="","",XLOOKUP([@Bib],tblReg[Bib],tblReg[LastName],""))</f>
      </c>
      <c r="E202">
        <f>IF([@Bib]="","",XLOOKUP([@Bib],tblReg[Bib],tblReg[Team],""))</f>
      </c>
      <c r="F202" s="3" t="s">
        <v>22</v>
      </c>
      <c r="G202">
        <f>IF([@StageTime]="","",HOUR([@StageTime])*3600 + MINUTE([@StageTime])*60 + SECOND([@StageTime]))</f>
      </c>
      <c r="H202">
        <f>IF([@StageSeconds]="","",RANK([@StageSeconds],tblStage1[StageSeconds],1))</f>
      </c>
      <c r="I202">
        <f>IF([@Position]="",0,XLOOKUP([@Position],Config!tblBonus[Place],Config!tblBonus[Stage1BonusSec],0))</f>
      </c>
      <c r="J202">
        <f>IF([@StageSeconds]="","",[@StageSeconds]-[@BonusSeconds])</f>
      </c>
      <c r="K202" s="3">
        <f>IF([@NetSeconds]="","",[@NetSeconds]/86400)</f>
      </c>
    </row>
    <row r="203" spans="1:11" x14ac:dyDescent="0.25">
      <c r="A203" t="s">
        <v>22</v>
      </c>
      <c r="B203">
        <f>IF([@Bib]="","",XLOOKUP([@Bib],tblReg[Bib],tblReg[Field],""))</f>
      </c>
      <c r="C203">
        <f>IF([@Bib]="","",XLOOKUP([@Bib],tblReg[Bib],tblReg[FirstName],""))</f>
      </c>
      <c r="D203">
        <f>IF([@Bib]="","",XLOOKUP([@Bib],tblReg[Bib],tblReg[LastName],""))</f>
      </c>
      <c r="E203">
        <f>IF([@Bib]="","",XLOOKUP([@Bib],tblReg[Bib],tblReg[Team],""))</f>
      </c>
      <c r="F203" s="3" t="s">
        <v>22</v>
      </c>
      <c r="G203">
        <f>IF([@StageTime]="","",HOUR([@StageTime])*3600 + MINUTE([@StageTime])*60 + SECOND([@StageTime]))</f>
      </c>
      <c r="H203">
        <f>IF([@StageSeconds]="","",RANK([@StageSeconds],tblStage1[StageSeconds],1))</f>
      </c>
      <c r="I203">
        <f>IF([@Position]="",0,XLOOKUP([@Position],Config!tblBonus[Place],Config!tblBonus[Stage1BonusSec],0))</f>
      </c>
      <c r="J203">
        <f>IF([@StageSeconds]="","",[@StageSeconds]-[@BonusSeconds])</f>
      </c>
      <c r="K203" s="3">
        <f>IF([@NetSeconds]="","",[@NetSeconds]/86400)</f>
      </c>
    </row>
    <row r="204" spans="1:11" x14ac:dyDescent="0.25">
      <c r="A204" t="s">
        <v>22</v>
      </c>
      <c r="B204">
        <f>IF([@Bib]="","",XLOOKUP([@Bib],tblReg[Bib],tblReg[Field],""))</f>
      </c>
      <c r="C204">
        <f>IF([@Bib]="","",XLOOKUP([@Bib],tblReg[Bib],tblReg[FirstName],""))</f>
      </c>
      <c r="D204">
        <f>IF([@Bib]="","",XLOOKUP([@Bib],tblReg[Bib],tblReg[LastName],""))</f>
      </c>
      <c r="E204">
        <f>IF([@Bib]="","",XLOOKUP([@Bib],tblReg[Bib],tblReg[Team],""))</f>
      </c>
      <c r="F204" s="3" t="s">
        <v>22</v>
      </c>
      <c r="G204">
        <f>IF([@StageTime]="","",HOUR([@StageTime])*3600 + MINUTE([@StageTime])*60 + SECOND([@StageTime]))</f>
      </c>
      <c r="H204">
        <f>IF([@StageSeconds]="","",RANK([@StageSeconds],tblStage1[StageSeconds],1))</f>
      </c>
      <c r="I204">
        <f>IF([@Position]="",0,XLOOKUP([@Position],Config!tblBonus[Place],Config!tblBonus[Stage1BonusSec],0))</f>
      </c>
      <c r="J204">
        <f>IF([@StageSeconds]="","",[@StageSeconds]-[@BonusSeconds])</f>
      </c>
      <c r="K204" s="3">
        <f>IF([@NetSeconds]="","",[@NetSeconds]/86400)</f>
      </c>
    </row>
    <row r="205" spans="1:11" x14ac:dyDescent="0.25">
      <c r="A205" t="s">
        <v>22</v>
      </c>
      <c r="B205">
        <f>IF([@Bib]="","",XLOOKUP([@Bib],tblReg[Bib],tblReg[Field],""))</f>
      </c>
      <c r="C205">
        <f>IF([@Bib]="","",XLOOKUP([@Bib],tblReg[Bib],tblReg[FirstName],""))</f>
      </c>
      <c r="D205">
        <f>IF([@Bib]="","",XLOOKUP([@Bib],tblReg[Bib],tblReg[LastName],""))</f>
      </c>
      <c r="E205">
        <f>IF([@Bib]="","",XLOOKUP([@Bib],tblReg[Bib],tblReg[Team],""))</f>
      </c>
      <c r="F205" s="3" t="s">
        <v>22</v>
      </c>
      <c r="G205">
        <f>IF([@StageTime]="","",HOUR([@StageTime])*3600 + MINUTE([@StageTime])*60 + SECOND([@StageTime]))</f>
      </c>
      <c r="H205">
        <f>IF([@StageSeconds]="","",RANK([@StageSeconds],tblStage1[StageSeconds],1))</f>
      </c>
      <c r="I205">
        <f>IF([@Position]="",0,XLOOKUP([@Position],Config!tblBonus[Place],Config!tblBonus[Stage1BonusSec],0))</f>
      </c>
      <c r="J205">
        <f>IF([@StageSeconds]="","",[@StageSeconds]-[@BonusSeconds])</f>
      </c>
      <c r="K205" s="3">
        <f>IF([@NetSeconds]="","",[@NetSeconds]/86400)</f>
      </c>
    </row>
    <row r="206" spans="1:11" x14ac:dyDescent="0.25">
      <c r="A206" t="s">
        <v>22</v>
      </c>
      <c r="B206">
        <f>IF([@Bib]="","",XLOOKUP([@Bib],tblReg[Bib],tblReg[Field],""))</f>
      </c>
      <c r="C206">
        <f>IF([@Bib]="","",XLOOKUP([@Bib],tblReg[Bib],tblReg[FirstName],""))</f>
      </c>
      <c r="D206">
        <f>IF([@Bib]="","",XLOOKUP([@Bib],tblReg[Bib],tblReg[LastName],""))</f>
      </c>
      <c r="E206">
        <f>IF([@Bib]="","",XLOOKUP([@Bib],tblReg[Bib],tblReg[Team],""))</f>
      </c>
      <c r="F206" s="3" t="s">
        <v>22</v>
      </c>
      <c r="G206">
        <f>IF([@StageTime]="","",HOUR([@StageTime])*3600 + MINUTE([@StageTime])*60 + SECOND([@StageTime]))</f>
      </c>
      <c r="H206">
        <f>IF([@StageSeconds]="","",RANK([@StageSeconds],tblStage1[StageSeconds],1))</f>
      </c>
      <c r="I206">
        <f>IF([@Position]="",0,XLOOKUP([@Position],Config!tblBonus[Place],Config!tblBonus[Stage1BonusSec],0))</f>
      </c>
      <c r="J206">
        <f>IF([@StageSeconds]="","",[@StageSeconds]-[@BonusSeconds])</f>
      </c>
      <c r="K206" s="3">
        <f>IF([@NetSeconds]="","",[@NetSeconds]/86400)</f>
      </c>
    </row>
    <row r="207" spans="1:11" x14ac:dyDescent="0.25">
      <c r="A207" t="s">
        <v>22</v>
      </c>
      <c r="B207">
        <f>IF([@Bib]="","",XLOOKUP([@Bib],tblReg[Bib],tblReg[Field],""))</f>
      </c>
      <c r="C207">
        <f>IF([@Bib]="","",XLOOKUP([@Bib],tblReg[Bib],tblReg[FirstName],""))</f>
      </c>
      <c r="D207">
        <f>IF([@Bib]="","",XLOOKUP([@Bib],tblReg[Bib],tblReg[LastName],""))</f>
      </c>
      <c r="E207">
        <f>IF([@Bib]="","",XLOOKUP([@Bib],tblReg[Bib],tblReg[Team],""))</f>
      </c>
      <c r="F207" s="3" t="s">
        <v>22</v>
      </c>
      <c r="G207">
        <f>IF([@StageTime]="","",HOUR([@StageTime])*3600 + MINUTE([@StageTime])*60 + SECOND([@StageTime]))</f>
      </c>
      <c r="H207">
        <f>IF([@StageSeconds]="","",RANK([@StageSeconds],tblStage1[StageSeconds],1))</f>
      </c>
      <c r="I207">
        <f>IF([@Position]="",0,XLOOKUP([@Position],Config!tblBonus[Place],Config!tblBonus[Stage1BonusSec],0))</f>
      </c>
      <c r="J207">
        <f>IF([@StageSeconds]="","",[@StageSeconds]-[@BonusSeconds])</f>
      </c>
      <c r="K207" s="3">
        <f>IF([@NetSeconds]="","",[@NetSeconds]/86400)</f>
      </c>
    </row>
    <row r="208" spans="1:11" x14ac:dyDescent="0.25">
      <c r="A208" t="s">
        <v>22</v>
      </c>
      <c r="B208">
        <f>IF([@Bib]="","",XLOOKUP([@Bib],tblReg[Bib],tblReg[Field],""))</f>
      </c>
      <c r="C208">
        <f>IF([@Bib]="","",XLOOKUP([@Bib],tblReg[Bib],tblReg[FirstName],""))</f>
      </c>
      <c r="D208">
        <f>IF([@Bib]="","",XLOOKUP([@Bib],tblReg[Bib],tblReg[LastName],""))</f>
      </c>
      <c r="E208">
        <f>IF([@Bib]="","",XLOOKUP([@Bib],tblReg[Bib],tblReg[Team],""))</f>
      </c>
      <c r="F208" s="3" t="s">
        <v>22</v>
      </c>
      <c r="G208">
        <f>IF([@StageTime]="","",HOUR([@StageTime])*3600 + MINUTE([@StageTime])*60 + SECOND([@StageTime]))</f>
      </c>
      <c r="H208">
        <f>IF([@StageSeconds]="","",RANK([@StageSeconds],tblStage1[StageSeconds],1))</f>
      </c>
      <c r="I208">
        <f>IF([@Position]="",0,XLOOKUP([@Position],Config!tblBonus[Place],Config!tblBonus[Stage1BonusSec],0))</f>
      </c>
      <c r="J208">
        <f>IF([@StageSeconds]="","",[@StageSeconds]-[@BonusSeconds])</f>
      </c>
      <c r="K208" s="3">
        <f>IF([@NetSeconds]="","",[@NetSeconds]/86400)</f>
      </c>
    </row>
    <row r="209" spans="1:11" x14ac:dyDescent="0.25">
      <c r="A209" t="s">
        <v>22</v>
      </c>
      <c r="B209">
        <f>IF([@Bib]="","",XLOOKUP([@Bib],tblReg[Bib],tblReg[Field],""))</f>
      </c>
      <c r="C209">
        <f>IF([@Bib]="","",XLOOKUP([@Bib],tblReg[Bib],tblReg[FirstName],""))</f>
      </c>
      <c r="D209">
        <f>IF([@Bib]="","",XLOOKUP([@Bib],tblReg[Bib],tblReg[LastName],""))</f>
      </c>
      <c r="E209">
        <f>IF([@Bib]="","",XLOOKUP([@Bib],tblReg[Bib],tblReg[Team],""))</f>
      </c>
      <c r="F209" s="3" t="s">
        <v>22</v>
      </c>
      <c r="G209">
        <f>IF([@StageTime]="","",HOUR([@StageTime])*3600 + MINUTE([@StageTime])*60 + SECOND([@StageTime]))</f>
      </c>
      <c r="H209">
        <f>IF([@StageSeconds]="","",RANK([@StageSeconds],tblStage1[StageSeconds],1))</f>
      </c>
      <c r="I209">
        <f>IF([@Position]="",0,XLOOKUP([@Position],Config!tblBonus[Place],Config!tblBonus[Stage1BonusSec],0))</f>
      </c>
      <c r="J209">
        <f>IF([@StageSeconds]="","",[@StageSeconds]-[@BonusSeconds])</f>
      </c>
      <c r="K209" s="3">
        <f>IF([@NetSeconds]="","",[@NetSeconds]/86400)</f>
      </c>
    </row>
    <row r="210" spans="1:11" x14ac:dyDescent="0.25">
      <c r="A210" t="s">
        <v>22</v>
      </c>
      <c r="B210">
        <f>IF([@Bib]="","",XLOOKUP([@Bib],tblReg[Bib],tblReg[Field],""))</f>
      </c>
      <c r="C210">
        <f>IF([@Bib]="","",XLOOKUP([@Bib],tblReg[Bib],tblReg[FirstName],""))</f>
      </c>
      <c r="D210">
        <f>IF([@Bib]="","",XLOOKUP([@Bib],tblReg[Bib],tblReg[LastName],""))</f>
      </c>
      <c r="E210">
        <f>IF([@Bib]="","",XLOOKUP([@Bib],tblReg[Bib],tblReg[Team],""))</f>
      </c>
      <c r="F210" s="3" t="s">
        <v>22</v>
      </c>
      <c r="G210">
        <f>IF([@StageTime]="","",HOUR([@StageTime])*3600 + MINUTE([@StageTime])*60 + SECOND([@StageTime]))</f>
      </c>
      <c r="H210">
        <f>IF([@StageSeconds]="","",RANK([@StageSeconds],tblStage1[StageSeconds],1))</f>
      </c>
      <c r="I210">
        <f>IF([@Position]="",0,XLOOKUP([@Position],Config!tblBonus[Place],Config!tblBonus[Stage1BonusSec],0))</f>
      </c>
      <c r="J210">
        <f>IF([@StageSeconds]="","",[@StageSeconds]-[@BonusSeconds])</f>
      </c>
      <c r="K210" s="3">
        <f>IF([@NetSeconds]="","",[@NetSeconds]/86400)</f>
      </c>
    </row>
    <row r="211" spans="1:11" x14ac:dyDescent="0.25">
      <c r="A211" t="s">
        <v>22</v>
      </c>
      <c r="B211">
        <f>IF([@Bib]="","",XLOOKUP([@Bib],tblReg[Bib],tblReg[Field],""))</f>
      </c>
      <c r="C211">
        <f>IF([@Bib]="","",XLOOKUP([@Bib],tblReg[Bib],tblReg[FirstName],""))</f>
      </c>
      <c r="D211">
        <f>IF([@Bib]="","",XLOOKUP([@Bib],tblReg[Bib],tblReg[LastName],""))</f>
      </c>
      <c r="E211">
        <f>IF([@Bib]="","",XLOOKUP([@Bib],tblReg[Bib],tblReg[Team],""))</f>
      </c>
      <c r="F211" s="3" t="s">
        <v>22</v>
      </c>
      <c r="G211">
        <f>IF([@StageTime]="","",HOUR([@StageTime])*3600 + MINUTE([@StageTime])*60 + SECOND([@StageTime]))</f>
      </c>
      <c r="H211">
        <f>IF([@StageSeconds]="","",RANK([@StageSeconds],tblStage1[StageSeconds],1))</f>
      </c>
      <c r="I211">
        <f>IF([@Position]="",0,XLOOKUP([@Position],Config!tblBonus[Place],Config!tblBonus[Stage1BonusSec],0))</f>
      </c>
      <c r="J211">
        <f>IF([@StageSeconds]="","",[@StageSeconds]-[@BonusSeconds])</f>
      </c>
      <c r="K211" s="3">
        <f>IF([@NetSeconds]="","",[@NetSeconds]/86400)</f>
      </c>
    </row>
    <row r="212" spans="1:11" x14ac:dyDescent="0.25">
      <c r="A212" t="s">
        <v>22</v>
      </c>
      <c r="B212">
        <f>IF([@Bib]="","",XLOOKUP([@Bib],tblReg[Bib],tblReg[Field],""))</f>
      </c>
      <c r="C212">
        <f>IF([@Bib]="","",XLOOKUP([@Bib],tblReg[Bib],tblReg[FirstName],""))</f>
      </c>
      <c r="D212">
        <f>IF([@Bib]="","",XLOOKUP([@Bib],tblReg[Bib],tblReg[LastName],""))</f>
      </c>
      <c r="E212">
        <f>IF([@Bib]="","",XLOOKUP([@Bib],tblReg[Bib],tblReg[Team],""))</f>
      </c>
      <c r="F212" s="3" t="s">
        <v>22</v>
      </c>
      <c r="G212">
        <f>IF([@StageTime]="","",HOUR([@StageTime])*3600 + MINUTE([@StageTime])*60 + SECOND([@StageTime]))</f>
      </c>
      <c r="H212">
        <f>IF([@StageSeconds]="","",RANK([@StageSeconds],tblStage1[StageSeconds],1))</f>
      </c>
      <c r="I212">
        <f>IF([@Position]="",0,XLOOKUP([@Position],Config!tblBonus[Place],Config!tblBonus[Stage1BonusSec],0))</f>
      </c>
      <c r="J212">
        <f>IF([@StageSeconds]="","",[@StageSeconds]-[@BonusSeconds])</f>
      </c>
      <c r="K212" s="3">
        <f>IF([@NetSeconds]="","",[@NetSeconds]/86400)</f>
      </c>
    </row>
    <row r="213" spans="1:11" x14ac:dyDescent="0.25">
      <c r="A213" t="s">
        <v>22</v>
      </c>
      <c r="B213">
        <f>IF([@Bib]="","",XLOOKUP([@Bib],tblReg[Bib],tblReg[Field],""))</f>
      </c>
      <c r="C213">
        <f>IF([@Bib]="","",XLOOKUP([@Bib],tblReg[Bib],tblReg[FirstName],""))</f>
      </c>
      <c r="D213">
        <f>IF([@Bib]="","",XLOOKUP([@Bib],tblReg[Bib],tblReg[LastName],""))</f>
      </c>
      <c r="E213">
        <f>IF([@Bib]="","",XLOOKUP([@Bib],tblReg[Bib],tblReg[Team],""))</f>
      </c>
      <c r="F213" s="3" t="s">
        <v>22</v>
      </c>
      <c r="G213">
        <f>IF([@StageTime]="","",HOUR([@StageTime])*3600 + MINUTE([@StageTime])*60 + SECOND([@StageTime]))</f>
      </c>
      <c r="H213">
        <f>IF([@StageSeconds]="","",RANK([@StageSeconds],tblStage1[StageSeconds],1))</f>
      </c>
      <c r="I213">
        <f>IF([@Position]="",0,XLOOKUP([@Position],Config!tblBonus[Place],Config!tblBonus[Stage1BonusSec],0))</f>
      </c>
      <c r="J213">
        <f>IF([@StageSeconds]="","",[@StageSeconds]-[@BonusSeconds])</f>
      </c>
      <c r="K213" s="3">
        <f>IF([@NetSeconds]="","",[@NetSeconds]/86400)</f>
      </c>
    </row>
    <row r="214" spans="1:11" x14ac:dyDescent="0.25">
      <c r="A214" t="s">
        <v>22</v>
      </c>
      <c r="B214">
        <f>IF([@Bib]="","",XLOOKUP([@Bib],tblReg[Bib],tblReg[Field],""))</f>
      </c>
      <c r="C214">
        <f>IF([@Bib]="","",XLOOKUP([@Bib],tblReg[Bib],tblReg[FirstName],""))</f>
      </c>
      <c r="D214">
        <f>IF([@Bib]="","",XLOOKUP([@Bib],tblReg[Bib],tblReg[LastName],""))</f>
      </c>
      <c r="E214">
        <f>IF([@Bib]="","",XLOOKUP([@Bib],tblReg[Bib],tblReg[Team],""))</f>
      </c>
      <c r="F214" s="3" t="s">
        <v>22</v>
      </c>
      <c r="G214">
        <f>IF([@StageTime]="","",HOUR([@StageTime])*3600 + MINUTE([@StageTime])*60 + SECOND([@StageTime]))</f>
      </c>
      <c r="H214">
        <f>IF([@StageSeconds]="","",RANK([@StageSeconds],tblStage1[StageSeconds],1))</f>
      </c>
      <c r="I214">
        <f>IF([@Position]="",0,XLOOKUP([@Position],Config!tblBonus[Place],Config!tblBonus[Stage1BonusSec],0))</f>
      </c>
      <c r="J214">
        <f>IF([@StageSeconds]="","",[@StageSeconds]-[@BonusSeconds])</f>
      </c>
      <c r="K214" s="3">
        <f>IF([@NetSeconds]="","",[@NetSeconds]/86400)</f>
      </c>
    </row>
    <row r="215" spans="1:11" x14ac:dyDescent="0.25">
      <c r="A215" t="s">
        <v>22</v>
      </c>
      <c r="B215">
        <f>IF([@Bib]="","",XLOOKUP([@Bib],tblReg[Bib],tblReg[Field],""))</f>
      </c>
      <c r="C215">
        <f>IF([@Bib]="","",XLOOKUP([@Bib],tblReg[Bib],tblReg[FirstName],""))</f>
      </c>
      <c r="D215">
        <f>IF([@Bib]="","",XLOOKUP([@Bib],tblReg[Bib],tblReg[LastName],""))</f>
      </c>
      <c r="E215">
        <f>IF([@Bib]="","",XLOOKUP([@Bib],tblReg[Bib],tblReg[Team],""))</f>
      </c>
      <c r="F215" s="3" t="s">
        <v>22</v>
      </c>
      <c r="G215">
        <f>IF([@StageTime]="","",HOUR([@StageTime])*3600 + MINUTE([@StageTime])*60 + SECOND([@StageTime]))</f>
      </c>
      <c r="H215">
        <f>IF([@StageSeconds]="","",RANK([@StageSeconds],tblStage1[StageSeconds],1))</f>
      </c>
      <c r="I215">
        <f>IF([@Position]="",0,XLOOKUP([@Position],Config!tblBonus[Place],Config!tblBonus[Stage1BonusSec],0))</f>
      </c>
      <c r="J215">
        <f>IF([@StageSeconds]="","",[@StageSeconds]-[@BonusSeconds])</f>
      </c>
      <c r="K215" s="3">
        <f>IF([@NetSeconds]="","",[@NetSeconds]/86400)</f>
      </c>
    </row>
    <row r="216" spans="1:11" x14ac:dyDescent="0.25">
      <c r="A216" t="s">
        <v>22</v>
      </c>
      <c r="B216">
        <f>IF([@Bib]="","",XLOOKUP([@Bib],tblReg[Bib],tblReg[Field],""))</f>
      </c>
      <c r="C216">
        <f>IF([@Bib]="","",XLOOKUP([@Bib],tblReg[Bib],tblReg[FirstName],""))</f>
      </c>
      <c r="D216">
        <f>IF([@Bib]="","",XLOOKUP([@Bib],tblReg[Bib],tblReg[LastName],""))</f>
      </c>
      <c r="E216">
        <f>IF([@Bib]="","",XLOOKUP([@Bib],tblReg[Bib],tblReg[Team],""))</f>
      </c>
      <c r="F216" s="3" t="s">
        <v>22</v>
      </c>
      <c r="G216">
        <f>IF([@StageTime]="","",HOUR([@StageTime])*3600 + MINUTE([@StageTime])*60 + SECOND([@StageTime]))</f>
      </c>
      <c r="H216">
        <f>IF([@StageSeconds]="","",RANK([@StageSeconds],tblStage1[StageSeconds],1))</f>
      </c>
      <c r="I216">
        <f>IF([@Position]="",0,XLOOKUP([@Position],Config!tblBonus[Place],Config!tblBonus[Stage1BonusSec],0))</f>
      </c>
      <c r="J216">
        <f>IF([@StageSeconds]="","",[@StageSeconds]-[@BonusSeconds])</f>
      </c>
      <c r="K216" s="3">
        <f>IF([@NetSeconds]="","",[@NetSeconds]/86400)</f>
      </c>
    </row>
    <row r="217" spans="1:11" x14ac:dyDescent="0.25">
      <c r="A217" t="s">
        <v>22</v>
      </c>
      <c r="B217">
        <f>IF([@Bib]="","",XLOOKUP([@Bib],tblReg[Bib],tblReg[Field],""))</f>
      </c>
      <c r="C217">
        <f>IF([@Bib]="","",XLOOKUP([@Bib],tblReg[Bib],tblReg[FirstName],""))</f>
      </c>
      <c r="D217">
        <f>IF([@Bib]="","",XLOOKUP([@Bib],tblReg[Bib],tblReg[LastName],""))</f>
      </c>
      <c r="E217">
        <f>IF([@Bib]="","",XLOOKUP([@Bib],tblReg[Bib],tblReg[Team],""))</f>
      </c>
      <c r="F217" s="3" t="s">
        <v>22</v>
      </c>
      <c r="G217">
        <f>IF([@StageTime]="","",HOUR([@StageTime])*3600 + MINUTE([@StageTime])*60 + SECOND([@StageTime]))</f>
      </c>
      <c r="H217">
        <f>IF([@StageSeconds]="","",RANK([@StageSeconds],tblStage1[StageSeconds],1))</f>
      </c>
      <c r="I217">
        <f>IF([@Position]="",0,XLOOKUP([@Position],Config!tblBonus[Place],Config!tblBonus[Stage1BonusSec],0))</f>
      </c>
      <c r="J217">
        <f>IF([@StageSeconds]="","",[@StageSeconds]-[@BonusSeconds])</f>
      </c>
      <c r="K217" s="3">
        <f>IF([@NetSeconds]="","",[@NetSeconds]/86400)</f>
      </c>
    </row>
    <row r="218" spans="1:11" x14ac:dyDescent="0.25">
      <c r="A218" t="s">
        <v>22</v>
      </c>
      <c r="B218">
        <f>IF([@Bib]="","",XLOOKUP([@Bib],tblReg[Bib],tblReg[Field],""))</f>
      </c>
      <c r="C218">
        <f>IF([@Bib]="","",XLOOKUP([@Bib],tblReg[Bib],tblReg[FirstName],""))</f>
      </c>
      <c r="D218">
        <f>IF([@Bib]="","",XLOOKUP([@Bib],tblReg[Bib],tblReg[LastName],""))</f>
      </c>
      <c r="E218">
        <f>IF([@Bib]="","",XLOOKUP([@Bib],tblReg[Bib],tblReg[Team],""))</f>
      </c>
      <c r="F218" s="3" t="s">
        <v>22</v>
      </c>
      <c r="G218">
        <f>IF([@StageTime]="","",HOUR([@StageTime])*3600 + MINUTE([@StageTime])*60 + SECOND([@StageTime]))</f>
      </c>
      <c r="H218">
        <f>IF([@StageSeconds]="","",RANK([@StageSeconds],tblStage1[StageSeconds],1))</f>
      </c>
      <c r="I218">
        <f>IF([@Position]="",0,XLOOKUP([@Position],Config!tblBonus[Place],Config!tblBonus[Stage1BonusSec],0))</f>
      </c>
      <c r="J218">
        <f>IF([@StageSeconds]="","",[@StageSeconds]-[@BonusSeconds])</f>
      </c>
      <c r="K218" s="3">
        <f>IF([@NetSeconds]="","",[@NetSeconds]/86400)</f>
      </c>
    </row>
    <row r="219" spans="1:11" x14ac:dyDescent="0.25">
      <c r="A219" t="s">
        <v>22</v>
      </c>
      <c r="B219">
        <f>IF([@Bib]="","",XLOOKUP([@Bib],tblReg[Bib],tblReg[Field],""))</f>
      </c>
      <c r="C219">
        <f>IF([@Bib]="","",XLOOKUP([@Bib],tblReg[Bib],tblReg[FirstName],""))</f>
      </c>
      <c r="D219">
        <f>IF([@Bib]="","",XLOOKUP([@Bib],tblReg[Bib],tblReg[LastName],""))</f>
      </c>
      <c r="E219">
        <f>IF([@Bib]="","",XLOOKUP([@Bib],tblReg[Bib],tblReg[Team],""))</f>
      </c>
      <c r="F219" s="3" t="s">
        <v>22</v>
      </c>
      <c r="G219">
        <f>IF([@StageTime]="","",HOUR([@StageTime])*3600 + MINUTE([@StageTime])*60 + SECOND([@StageTime]))</f>
      </c>
      <c r="H219">
        <f>IF([@StageSeconds]="","",RANK([@StageSeconds],tblStage1[StageSeconds],1))</f>
      </c>
      <c r="I219">
        <f>IF([@Position]="",0,XLOOKUP([@Position],Config!tblBonus[Place],Config!tblBonus[Stage1BonusSec],0))</f>
      </c>
      <c r="J219">
        <f>IF([@StageSeconds]="","",[@StageSeconds]-[@BonusSeconds])</f>
      </c>
      <c r="K219" s="3">
        <f>IF([@NetSeconds]="","",[@NetSeconds]/86400)</f>
      </c>
    </row>
    <row r="220" spans="1:11" x14ac:dyDescent="0.25">
      <c r="A220" t="s">
        <v>22</v>
      </c>
      <c r="B220">
        <f>IF([@Bib]="","",XLOOKUP([@Bib],tblReg[Bib],tblReg[Field],""))</f>
      </c>
      <c r="C220">
        <f>IF([@Bib]="","",XLOOKUP([@Bib],tblReg[Bib],tblReg[FirstName],""))</f>
      </c>
      <c r="D220">
        <f>IF([@Bib]="","",XLOOKUP([@Bib],tblReg[Bib],tblReg[LastName],""))</f>
      </c>
      <c r="E220">
        <f>IF([@Bib]="","",XLOOKUP([@Bib],tblReg[Bib],tblReg[Team],""))</f>
      </c>
      <c r="F220" s="3" t="s">
        <v>22</v>
      </c>
      <c r="G220">
        <f>IF([@StageTime]="","",HOUR([@StageTime])*3600 + MINUTE([@StageTime])*60 + SECOND([@StageTime]))</f>
      </c>
      <c r="H220">
        <f>IF([@StageSeconds]="","",RANK([@StageSeconds],tblStage1[StageSeconds],1))</f>
      </c>
      <c r="I220">
        <f>IF([@Position]="",0,XLOOKUP([@Position],Config!tblBonus[Place],Config!tblBonus[Stage1BonusSec],0))</f>
      </c>
      <c r="J220">
        <f>IF([@StageSeconds]="","",[@StageSeconds]-[@BonusSeconds])</f>
      </c>
      <c r="K220" s="3">
        <f>IF([@NetSeconds]="","",[@NetSeconds]/86400)</f>
      </c>
    </row>
    <row r="221" spans="1:11" x14ac:dyDescent="0.25">
      <c r="A221" t="s">
        <v>22</v>
      </c>
      <c r="B221">
        <f>IF([@Bib]="","",XLOOKUP([@Bib],tblReg[Bib],tblReg[Field],""))</f>
      </c>
      <c r="C221">
        <f>IF([@Bib]="","",XLOOKUP([@Bib],tblReg[Bib],tblReg[FirstName],""))</f>
      </c>
      <c r="D221">
        <f>IF([@Bib]="","",XLOOKUP([@Bib],tblReg[Bib],tblReg[LastName],""))</f>
      </c>
      <c r="E221">
        <f>IF([@Bib]="","",XLOOKUP([@Bib],tblReg[Bib],tblReg[Team],""))</f>
      </c>
      <c r="F221" s="3" t="s">
        <v>22</v>
      </c>
      <c r="G221">
        <f>IF([@StageTime]="","",HOUR([@StageTime])*3600 + MINUTE([@StageTime])*60 + SECOND([@StageTime]))</f>
      </c>
      <c r="H221">
        <f>IF([@StageSeconds]="","",RANK([@StageSeconds],tblStage1[StageSeconds],1))</f>
      </c>
      <c r="I221">
        <f>IF([@Position]="",0,XLOOKUP([@Position],Config!tblBonus[Place],Config!tblBonus[Stage1BonusSec],0))</f>
      </c>
      <c r="J221">
        <f>IF([@StageSeconds]="","",[@StageSeconds]-[@BonusSeconds])</f>
      </c>
      <c r="K221" s="3">
        <f>IF([@NetSeconds]="","",[@NetSeconds]/86400)</f>
      </c>
    </row>
    <row r="222" spans="1:11" x14ac:dyDescent="0.25">
      <c r="A222" t="s">
        <v>22</v>
      </c>
      <c r="B222">
        <f>IF([@Bib]="","",XLOOKUP([@Bib],tblReg[Bib],tblReg[Field],""))</f>
      </c>
      <c r="C222">
        <f>IF([@Bib]="","",XLOOKUP([@Bib],tblReg[Bib],tblReg[FirstName],""))</f>
      </c>
      <c r="D222">
        <f>IF([@Bib]="","",XLOOKUP([@Bib],tblReg[Bib],tblReg[LastName],""))</f>
      </c>
      <c r="E222">
        <f>IF([@Bib]="","",XLOOKUP([@Bib],tblReg[Bib],tblReg[Team],""))</f>
      </c>
      <c r="F222" s="3" t="s">
        <v>22</v>
      </c>
      <c r="G222">
        <f>IF([@StageTime]="","",HOUR([@StageTime])*3600 + MINUTE([@StageTime])*60 + SECOND([@StageTime]))</f>
      </c>
      <c r="H222">
        <f>IF([@StageSeconds]="","",RANK([@StageSeconds],tblStage1[StageSeconds],1))</f>
      </c>
      <c r="I222">
        <f>IF([@Position]="",0,XLOOKUP([@Position],Config!tblBonus[Place],Config!tblBonus[Stage1BonusSec],0))</f>
      </c>
      <c r="J222">
        <f>IF([@StageSeconds]="","",[@StageSeconds]-[@BonusSeconds])</f>
      </c>
      <c r="K222" s="3">
        <f>IF([@NetSeconds]="","",[@NetSeconds]/86400)</f>
      </c>
    </row>
    <row r="223" spans="1:11" x14ac:dyDescent="0.25">
      <c r="A223" t="s">
        <v>22</v>
      </c>
      <c r="B223">
        <f>IF([@Bib]="","",XLOOKUP([@Bib],tblReg[Bib],tblReg[Field],""))</f>
      </c>
      <c r="C223">
        <f>IF([@Bib]="","",XLOOKUP([@Bib],tblReg[Bib],tblReg[FirstName],""))</f>
      </c>
      <c r="D223">
        <f>IF([@Bib]="","",XLOOKUP([@Bib],tblReg[Bib],tblReg[LastName],""))</f>
      </c>
      <c r="E223">
        <f>IF([@Bib]="","",XLOOKUP([@Bib],tblReg[Bib],tblReg[Team],""))</f>
      </c>
      <c r="F223" s="3" t="s">
        <v>22</v>
      </c>
      <c r="G223">
        <f>IF([@StageTime]="","",HOUR([@StageTime])*3600 + MINUTE([@StageTime])*60 + SECOND([@StageTime]))</f>
      </c>
      <c r="H223">
        <f>IF([@StageSeconds]="","",RANK([@StageSeconds],tblStage1[StageSeconds],1))</f>
      </c>
      <c r="I223">
        <f>IF([@Position]="",0,XLOOKUP([@Position],Config!tblBonus[Place],Config!tblBonus[Stage1BonusSec],0))</f>
      </c>
      <c r="J223">
        <f>IF([@StageSeconds]="","",[@StageSeconds]-[@BonusSeconds])</f>
      </c>
      <c r="K223" s="3">
        <f>IF([@NetSeconds]="","",[@NetSeconds]/86400)</f>
      </c>
    </row>
    <row r="224" spans="1:11" x14ac:dyDescent="0.25">
      <c r="A224" t="s">
        <v>22</v>
      </c>
      <c r="B224">
        <f>IF([@Bib]="","",XLOOKUP([@Bib],tblReg[Bib],tblReg[Field],""))</f>
      </c>
      <c r="C224">
        <f>IF([@Bib]="","",XLOOKUP([@Bib],tblReg[Bib],tblReg[FirstName],""))</f>
      </c>
      <c r="D224">
        <f>IF([@Bib]="","",XLOOKUP([@Bib],tblReg[Bib],tblReg[LastName],""))</f>
      </c>
      <c r="E224">
        <f>IF([@Bib]="","",XLOOKUP([@Bib],tblReg[Bib],tblReg[Team],""))</f>
      </c>
      <c r="F224" s="3" t="s">
        <v>22</v>
      </c>
      <c r="G224">
        <f>IF([@StageTime]="","",HOUR([@StageTime])*3600 + MINUTE([@StageTime])*60 + SECOND([@StageTime]))</f>
      </c>
      <c r="H224">
        <f>IF([@StageSeconds]="","",RANK([@StageSeconds],tblStage1[StageSeconds],1))</f>
      </c>
      <c r="I224">
        <f>IF([@Position]="",0,XLOOKUP([@Position],Config!tblBonus[Place],Config!tblBonus[Stage1BonusSec],0))</f>
      </c>
      <c r="J224">
        <f>IF([@StageSeconds]="","",[@StageSeconds]-[@BonusSeconds])</f>
      </c>
      <c r="K224" s="3">
        <f>IF([@NetSeconds]="","",[@NetSeconds]/86400)</f>
      </c>
    </row>
    <row r="225" spans="1:11" x14ac:dyDescent="0.25">
      <c r="A225" t="s">
        <v>22</v>
      </c>
      <c r="B225">
        <f>IF([@Bib]="","",XLOOKUP([@Bib],tblReg[Bib],tblReg[Field],""))</f>
      </c>
      <c r="C225">
        <f>IF([@Bib]="","",XLOOKUP([@Bib],tblReg[Bib],tblReg[FirstName],""))</f>
      </c>
      <c r="D225">
        <f>IF([@Bib]="","",XLOOKUP([@Bib],tblReg[Bib],tblReg[LastName],""))</f>
      </c>
      <c r="E225">
        <f>IF([@Bib]="","",XLOOKUP([@Bib],tblReg[Bib],tblReg[Team],""))</f>
      </c>
      <c r="F225" s="3" t="s">
        <v>22</v>
      </c>
      <c r="G225">
        <f>IF([@StageTime]="","",HOUR([@StageTime])*3600 + MINUTE([@StageTime])*60 + SECOND([@StageTime]))</f>
      </c>
      <c r="H225">
        <f>IF([@StageSeconds]="","",RANK([@StageSeconds],tblStage1[StageSeconds],1))</f>
      </c>
      <c r="I225">
        <f>IF([@Position]="",0,XLOOKUP([@Position],Config!tblBonus[Place],Config!tblBonus[Stage1BonusSec],0))</f>
      </c>
      <c r="J225">
        <f>IF([@StageSeconds]="","",[@StageSeconds]-[@BonusSeconds])</f>
      </c>
      <c r="K225" s="3">
        <f>IF([@NetSeconds]="","",[@NetSeconds]/86400)</f>
      </c>
    </row>
    <row r="226" spans="1:11" x14ac:dyDescent="0.25">
      <c r="A226" t="s">
        <v>22</v>
      </c>
      <c r="B226">
        <f>IF([@Bib]="","",XLOOKUP([@Bib],tblReg[Bib],tblReg[Field],""))</f>
      </c>
      <c r="C226">
        <f>IF([@Bib]="","",XLOOKUP([@Bib],tblReg[Bib],tblReg[FirstName],""))</f>
      </c>
      <c r="D226">
        <f>IF([@Bib]="","",XLOOKUP([@Bib],tblReg[Bib],tblReg[LastName],""))</f>
      </c>
      <c r="E226">
        <f>IF([@Bib]="","",XLOOKUP([@Bib],tblReg[Bib],tblReg[Team],""))</f>
      </c>
      <c r="F226" s="3" t="s">
        <v>22</v>
      </c>
      <c r="G226">
        <f>IF([@StageTime]="","",HOUR([@StageTime])*3600 + MINUTE([@StageTime])*60 + SECOND([@StageTime]))</f>
      </c>
      <c r="H226">
        <f>IF([@StageSeconds]="","",RANK([@StageSeconds],tblStage1[StageSeconds],1))</f>
      </c>
      <c r="I226">
        <f>IF([@Position]="",0,XLOOKUP([@Position],Config!tblBonus[Place],Config!tblBonus[Stage1BonusSec],0))</f>
      </c>
      <c r="J226">
        <f>IF([@StageSeconds]="","",[@StageSeconds]-[@BonusSeconds])</f>
      </c>
      <c r="K226" s="3">
        <f>IF([@NetSeconds]="","",[@NetSeconds]/86400)</f>
      </c>
    </row>
    <row r="227" spans="1:11" x14ac:dyDescent="0.25">
      <c r="A227" t="s">
        <v>22</v>
      </c>
      <c r="B227">
        <f>IF([@Bib]="","",XLOOKUP([@Bib],tblReg[Bib],tblReg[Field],""))</f>
      </c>
      <c r="C227">
        <f>IF([@Bib]="","",XLOOKUP([@Bib],tblReg[Bib],tblReg[FirstName],""))</f>
      </c>
      <c r="D227">
        <f>IF([@Bib]="","",XLOOKUP([@Bib],tblReg[Bib],tblReg[LastName],""))</f>
      </c>
      <c r="E227">
        <f>IF([@Bib]="","",XLOOKUP([@Bib],tblReg[Bib],tblReg[Team],""))</f>
      </c>
      <c r="F227" s="3" t="s">
        <v>22</v>
      </c>
      <c r="G227">
        <f>IF([@StageTime]="","",HOUR([@StageTime])*3600 + MINUTE([@StageTime])*60 + SECOND([@StageTime]))</f>
      </c>
      <c r="H227">
        <f>IF([@StageSeconds]="","",RANK([@StageSeconds],tblStage1[StageSeconds],1))</f>
      </c>
      <c r="I227">
        <f>IF([@Position]="",0,XLOOKUP([@Position],Config!tblBonus[Place],Config!tblBonus[Stage1BonusSec],0))</f>
      </c>
      <c r="J227">
        <f>IF([@StageSeconds]="","",[@StageSeconds]-[@BonusSeconds])</f>
      </c>
      <c r="K227" s="3">
        <f>IF([@NetSeconds]="","",[@NetSeconds]/86400)</f>
      </c>
    </row>
    <row r="228" spans="1:11" x14ac:dyDescent="0.25">
      <c r="A228" t="s">
        <v>22</v>
      </c>
      <c r="B228">
        <f>IF([@Bib]="","",XLOOKUP([@Bib],tblReg[Bib],tblReg[Field],""))</f>
      </c>
      <c r="C228">
        <f>IF([@Bib]="","",XLOOKUP([@Bib],tblReg[Bib],tblReg[FirstName],""))</f>
      </c>
      <c r="D228">
        <f>IF([@Bib]="","",XLOOKUP([@Bib],tblReg[Bib],tblReg[LastName],""))</f>
      </c>
      <c r="E228">
        <f>IF([@Bib]="","",XLOOKUP([@Bib],tblReg[Bib],tblReg[Team],""))</f>
      </c>
      <c r="F228" s="3" t="s">
        <v>22</v>
      </c>
      <c r="G228">
        <f>IF([@StageTime]="","",HOUR([@StageTime])*3600 + MINUTE([@StageTime])*60 + SECOND([@StageTime]))</f>
      </c>
      <c r="H228">
        <f>IF([@StageSeconds]="","",RANK([@StageSeconds],tblStage1[StageSeconds],1))</f>
      </c>
      <c r="I228">
        <f>IF([@Position]="",0,XLOOKUP([@Position],Config!tblBonus[Place],Config!tblBonus[Stage1BonusSec],0))</f>
      </c>
      <c r="J228">
        <f>IF([@StageSeconds]="","",[@StageSeconds]-[@BonusSeconds])</f>
      </c>
      <c r="K228" s="3">
        <f>IF([@NetSeconds]="","",[@NetSeconds]/86400)</f>
      </c>
    </row>
    <row r="229" spans="1:11" x14ac:dyDescent="0.25">
      <c r="A229" t="s">
        <v>22</v>
      </c>
      <c r="B229">
        <f>IF([@Bib]="","",XLOOKUP([@Bib],tblReg[Bib],tblReg[Field],""))</f>
      </c>
      <c r="C229">
        <f>IF([@Bib]="","",XLOOKUP([@Bib],tblReg[Bib],tblReg[FirstName],""))</f>
      </c>
      <c r="D229">
        <f>IF([@Bib]="","",XLOOKUP([@Bib],tblReg[Bib],tblReg[LastName],""))</f>
      </c>
      <c r="E229">
        <f>IF([@Bib]="","",XLOOKUP([@Bib],tblReg[Bib],tblReg[Team],""))</f>
      </c>
      <c r="F229" s="3" t="s">
        <v>22</v>
      </c>
      <c r="G229">
        <f>IF([@StageTime]="","",HOUR([@StageTime])*3600 + MINUTE([@StageTime])*60 + SECOND([@StageTime]))</f>
      </c>
      <c r="H229">
        <f>IF([@StageSeconds]="","",RANK([@StageSeconds],tblStage1[StageSeconds],1))</f>
      </c>
      <c r="I229">
        <f>IF([@Position]="",0,XLOOKUP([@Position],Config!tblBonus[Place],Config!tblBonus[Stage1BonusSec],0))</f>
      </c>
      <c r="J229">
        <f>IF([@StageSeconds]="","",[@StageSeconds]-[@BonusSeconds])</f>
      </c>
      <c r="K229" s="3">
        <f>IF([@NetSeconds]="","",[@NetSeconds]/86400)</f>
      </c>
    </row>
    <row r="230" spans="1:11" x14ac:dyDescent="0.25">
      <c r="A230" t="s">
        <v>22</v>
      </c>
      <c r="B230">
        <f>IF([@Bib]="","",XLOOKUP([@Bib],tblReg[Bib],tblReg[Field],""))</f>
      </c>
      <c r="C230">
        <f>IF([@Bib]="","",XLOOKUP([@Bib],tblReg[Bib],tblReg[FirstName],""))</f>
      </c>
      <c r="D230">
        <f>IF([@Bib]="","",XLOOKUP([@Bib],tblReg[Bib],tblReg[LastName],""))</f>
      </c>
      <c r="E230">
        <f>IF([@Bib]="","",XLOOKUP([@Bib],tblReg[Bib],tblReg[Team],""))</f>
      </c>
      <c r="F230" s="3" t="s">
        <v>22</v>
      </c>
      <c r="G230">
        <f>IF([@StageTime]="","",HOUR([@StageTime])*3600 + MINUTE([@StageTime])*60 + SECOND([@StageTime]))</f>
      </c>
      <c r="H230">
        <f>IF([@StageSeconds]="","",RANK([@StageSeconds],tblStage1[StageSeconds],1))</f>
      </c>
      <c r="I230">
        <f>IF([@Position]="",0,XLOOKUP([@Position],Config!tblBonus[Place],Config!tblBonus[Stage1BonusSec],0))</f>
      </c>
      <c r="J230">
        <f>IF([@StageSeconds]="","",[@StageSeconds]-[@BonusSeconds])</f>
      </c>
      <c r="K230" s="3">
        <f>IF([@NetSeconds]="","",[@NetSeconds]/86400)</f>
      </c>
    </row>
    <row r="231" spans="1:11" x14ac:dyDescent="0.25">
      <c r="A231" t="s">
        <v>22</v>
      </c>
      <c r="B231">
        <f>IF([@Bib]="","",XLOOKUP([@Bib],tblReg[Bib],tblReg[Field],""))</f>
      </c>
      <c r="C231">
        <f>IF([@Bib]="","",XLOOKUP([@Bib],tblReg[Bib],tblReg[FirstName],""))</f>
      </c>
      <c r="D231">
        <f>IF([@Bib]="","",XLOOKUP([@Bib],tblReg[Bib],tblReg[LastName],""))</f>
      </c>
      <c r="E231">
        <f>IF([@Bib]="","",XLOOKUP([@Bib],tblReg[Bib],tblReg[Team],""))</f>
      </c>
      <c r="F231" s="3" t="s">
        <v>22</v>
      </c>
      <c r="G231">
        <f>IF([@StageTime]="","",HOUR([@StageTime])*3600 + MINUTE([@StageTime])*60 + SECOND([@StageTime]))</f>
      </c>
      <c r="H231">
        <f>IF([@StageSeconds]="","",RANK([@StageSeconds],tblStage1[StageSeconds],1))</f>
      </c>
      <c r="I231">
        <f>IF([@Position]="",0,XLOOKUP([@Position],Config!tblBonus[Place],Config!tblBonus[Stage1BonusSec],0))</f>
      </c>
      <c r="J231">
        <f>IF([@StageSeconds]="","",[@StageSeconds]-[@BonusSeconds])</f>
      </c>
      <c r="K231" s="3">
        <f>IF([@NetSeconds]="","",[@NetSeconds]/86400)</f>
      </c>
    </row>
    <row r="232" spans="1:11" x14ac:dyDescent="0.25">
      <c r="A232" t="s">
        <v>22</v>
      </c>
      <c r="B232">
        <f>IF([@Bib]="","",XLOOKUP([@Bib],tblReg[Bib],tblReg[Field],""))</f>
      </c>
      <c r="C232">
        <f>IF([@Bib]="","",XLOOKUP([@Bib],tblReg[Bib],tblReg[FirstName],""))</f>
      </c>
      <c r="D232">
        <f>IF([@Bib]="","",XLOOKUP([@Bib],tblReg[Bib],tblReg[LastName],""))</f>
      </c>
      <c r="E232">
        <f>IF([@Bib]="","",XLOOKUP([@Bib],tblReg[Bib],tblReg[Team],""))</f>
      </c>
      <c r="F232" s="3" t="s">
        <v>22</v>
      </c>
      <c r="G232">
        <f>IF([@StageTime]="","",HOUR([@StageTime])*3600 + MINUTE([@StageTime])*60 + SECOND([@StageTime]))</f>
      </c>
      <c r="H232">
        <f>IF([@StageSeconds]="","",RANK([@StageSeconds],tblStage1[StageSeconds],1))</f>
      </c>
      <c r="I232">
        <f>IF([@Position]="",0,XLOOKUP([@Position],Config!tblBonus[Place],Config!tblBonus[Stage1BonusSec],0))</f>
      </c>
      <c r="J232">
        <f>IF([@StageSeconds]="","",[@StageSeconds]-[@BonusSeconds])</f>
      </c>
      <c r="K232" s="3">
        <f>IF([@NetSeconds]="","",[@NetSeconds]/86400)</f>
      </c>
    </row>
    <row r="233" spans="1:11" x14ac:dyDescent="0.25">
      <c r="A233" t="s">
        <v>22</v>
      </c>
      <c r="B233">
        <f>IF([@Bib]="","",XLOOKUP([@Bib],tblReg[Bib],tblReg[Field],""))</f>
      </c>
      <c r="C233">
        <f>IF([@Bib]="","",XLOOKUP([@Bib],tblReg[Bib],tblReg[FirstName],""))</f>
      </c>
      <c r="D233">
        <f>IF([@Bib]="","",XLOOKUP([@Bib],tblReg[Bib],tblReg[LastName],""))</f>
      </c>
      <c r="E233">
        <f>IF([@Bib]="","",XLOOKUP([@Bib],tblReg[Bib],tblReg[Team],""))</f>
      </c>
      <c r="F233" s="3" t="s">
        <v>22</v>
      </c>
      <c r="G233">
        <f>IF([@StageTime]="","",HOUR([@StageTime])*3600 + MINUTE([@StageTime])*60 + SECOND([@StageTime]))</f>
      </c>
      <c r="H233">
        <f>IF([@StageSeconds]="","",RANK([@StageSeconds],tblStage1[StageSeconds],1))</f>
      </c>
      <c r="I233">
        <f>IF([@Position]="",0,XLOOKUP([@Position],Config!tblBonus[Place],Config!tblBonus[Stage1BonusSec],0))</f>
      </c>
      <c r="J233">
        <f>IF([@StageSeconds]="","",[@StageSeconds]-[@BonusSeconds])</f>
      </c>
      <c r="K233" s="3">
        <f>IF([@NetSeconds]="","",[@NetSeconds]/86400)</f>
      </c>
    </row>
    <row r="234" spans="1:11" x14ac:dyDescent="0.25">
      <c r="A234" t="s">
        <v>22</v>
      </c>
      <c r="B234">
        <f>IF([@Bib]="","",XLOOKUP([@Bib],tblReg[Bib],tblReg[Field],""))</f>
      </c>
      <c r="C234">
        <f>IF([@Bib]="","",XLOOKUP([@Bib],tblReg[Bib],tblReg[FirstName],""))</f>
      </c>
      <c r="D234">
        <f>IF([@Bib]="","",XLOOKUP([@Bib],tblReg[Bib],tblReg[LastName],""))</f>
      </c>
      <c r="E234">
        <f>IF([@Bib]="","",XLOOKUP([@Bib],tblReg[Bib],tblReg[Team],""))</f>
      </c>
      <c r="F234" s="3" t="s">
        <v>22</v>
      </c>
      <c r="G234">
        <f>IF([@StageTime]="","",HOUR([@StageTime])*3600 + MINUTE([@StageTime])*60 + SECOND([@StageTime]))</f>
      </c>
      <c r="H234">
        <f>IF([@StageSeconds]="","",RANK([@StageSeconds],tblStage1[StageSeconds],1))</f>
      </c>
      <c r="I234">
        <f>IF([@Position]="",0,XLOOKUP([@Position],Config!tblBonus[Place],Config!tblBonus[Stage1BonusSec],0))</f>
      </c>
      <c r="J234">
        <f>IF([@StageSeconds]="","",[@StageSeconds]-[@BonusSeconds])</f>
      </c>
      <c r="K234" s="3">
        <f>IF([@NetSeconds]="","",[@NetSeconds]/86400)</f>
      </c>
    </row>
    <row r="235" spans="1:11" x14ac:dyDescent="0.25">
      <c r="A235" t="s">
        <v>22</v>
      </c>
      <c r="B235">
        <f>IF([@Bib]="","",XLOOKUP([@Bib],tblReg[Bib],tblReg[Field],""))</f>
      </c>
      <c r="C235">
        <f>IF([@Bib]="","",XLOOKUP([@Bib],tblReg[Bib],tblReg[FirstName],""))</f>
      </c>
      <c r="D235">
        <f>IF([@Bib]="","",XLOOKUP([@Bib],tblReg[Bib],tblReg[LastName],""))</f>
      </c>
      <c r="E235">
        <f>IF([@Bib]="","",XLOOKUP([@Bib],tblReg[Bib],tblReg[Team],""))</f>
      </c>
      <c r="F235" s="3" t="s">
        <v>22</v>
      </c>
      <c r="G235">
        <f>IF([@StageTime]="","",HOUR([@StageTime])*3600 + MINUTE([@StageTime])*60 + SECOND([@StageTime]))</f>
      </c>
      <c r="H235">
        <f>IF([@StageSeconds]="","",RANK([@StageSeconds],tblStage1[StageSeconds],1))</f>
      </c>
      <c r="I235">
        <f>IF([@Position]="",0,XLOOKUP([@Position],Config!tblBonus[Place],Config!tblBonus[Stage1BonusSec],0))</f>
      </c>
      <c r="J235">
        <f>IF([@StageSeconds]="","",[@StageSeconds]-[@BonusSeconds])</f>
      </c>
      <c r="K235" s="3">
        <f>IF([@NetSeconds]="","",[@NetSeconds]/86400)</f>
      </c>
    </row>
    <row r="236" spans="1:11" x14ac:dyDescent="0.25">
      <c r="A236" t="s">
        <v>22</v>
      </c>
      <c r="B236">
        <f>IF([@Bib]="","",XLOOKUP([@Bib],tblReg[Bib],tblReg[Field],""))</f>
      </c>
      <c r="C236">
        <f>IF([@Bib]="","",XLOOKUP([@Bib],tblReg[Bib],tblReg[FirstName],""))</f>
      </c>
      <c r="D236">
        <f>IF([@Bib]="","",XLOOKUP([@Bib],tblReg[Bib],tblReg[LastName],""))</f>
      </c>
      <c r="E236">
        <f>IF([@Bib]="","",XLOOKUP([@Bib],tblReg[Bib],tblReg[Team],""))</f>
      </c>
      <c r="F236" s="3" t="s">
        <v>22</v>
      </c>
      <c r="G236">
        <f>IF([@StageTime]="","",HOUR([@StageTime])*3600 + MINUTE([@StageTime])*60 + SECOND([@StageTime]))</f>
      </c>
      <c r="H236">
        <f>IF([@StageSeconds]="","",RANK([@StageSeconds],tblStage1[StageSeconds],1))</f>
      </c>
      <c r="I236">
        <f>IF([@Position]="",0,XLOOKUP([@Position],Config!tblBonus[Place],Config!tblBonus[Stage1BonusSec],0))</f>
      </c>
      <c r="J236">
        <f>IF([@StageSeconds]="","",[@StageSeconds]-[@BonusSeconds])</f>
      </c>
      <c r="K236" s="3">
        <f>IF([@NetSeconds]="","",[@NetSeconds]/86400)</f>
      </c>
    </row>
    <row r="237" spans="1:11" x14ac:dyDescent="0.25">
      <c r="A237" t="s">
        <v>22</v>
      </c>
      <c r="B237">
        <f>IF([@Bib]="","",XLOOKUP([@Bib],tblReg[Bib],tblReg[Field],""))</f>
      </c>
      <c r="C237">
        <f>IF([@Bib]="","",XLOOKUP([@Bib],tblReg[Bib],tblReg[FirstName],""))</f>
      </c>
      <c r="D237">
        <f>IF([@Bib]="","",XLOOKUP([@Bib],tblReg[Bib],tblReg[LastName],""))</f>
      </c>
      <c r="E237">
        <f>IF([@Bib]="","",XLOOKUP([@Bib],tblReg[Bib],tblReg[Team],""))</f>
      </c>
      <c r="F237" s="3" t="s">
        <v>22</v>
      </c>
      <c r="G237">
        <f>IF([@StageTime]="","",HOUR([@StageTime])*3600 + MINUTE([@StageTime])*60 + SECOND([@StageTime]))</f>
      </c>
      <c r="H237">
        <f>IF([@StageSeconds]="","",RANK([@StageSeconds],tblStage1[StageSeconds],1))</f>
      </c>
      <c r="I237">
        <f>IF([@Position]="",0,XLOOKUP([@Position],Config!tblBonus[Place],Config!tblBonus[Stage1BonusSec],0))</f>
      </c>
      <c r="J237">
        <f>IF([@StageSeconds]="","",[@StageSeconds]-[@BonusSeconds])</f>
      </c>
      <c r="K237" s="3">
        <f>IF([@NetSeconds]="","",[@NetSeconds]/86400)</f>
      </c>
    </row>
    <row r="238" spans="1:11" x14ac:dyDescent="0.25">
      <c r="A238" t="s">
        <v>22</v>
      </c>
      <c r="B238">
        <f>IF([@Bib]="","",XLOOKUP([@Bib],tblReg[Bib],tblReg[Field],""))</f>
      </c>
      <c r="C238">
        <f>IF([@Bib]="","",XLOOKUP([@Bib],tblReg[Bib],tblReg[FirstName],""))</f>
      </c>
      <c r="D238">
        <f>IF([@Bib]="","",XLOOKUP([@Bib],tblReg[Bib],tblReg[LastName],""))</f>
      </c>
      <c r="E238">
        <f>IF([@Bib]="","",XLOOKUP([@Bib],tblReg[Bib],tblReg[Team],""))</f>
      </c>
      <c r="F238" s="3" t="s">
        <v>22</v>
      </c>
      <c r="G238">
        <f>IF([@StageTime]="","",HOUR([@StageTime])*3600 + MINUTE([@StageTime])*60 + SECOND([@StageTime]))</f>
      </c>
      <c r="H238">
        <f>IF([@StageSeconds]="","",RANK([@StageSeconds],tblStage1[StageSeconds],1))</f>
      </c>
      <c r="I238">
        <f>IF([@Position]="",0,XLOOKUP([@Position],Config!tblBonus[Place],Config!tblBonus[Stage1BonusSec],0))</f>
      </c>
      <c r="J238">
        <f>IF([@StageSeconds]="","",[@StageSeconds]-[@BonusSeconds])</f>
      </c>
      <c r="K238" s="3">
        <f>IF([@NetSeconds]="","",[@NetSeconds]/86400)</f>
      </c>
    </row>
    <row r="239" spans="1:11" x14ac:dyDescent="0.25">
      <c r="A239" t="s">
        <v>22</v>
      </c>
      <c r="B239">
        <f>IF([@Bib]="","",XLOOKUP([@Bib],tblReg[Bib],tblReg[Field],""))</f>
      </c>
      <c r="C239">
        <f>IF([@Bib]="","",XLOOKUP([@Bib],tblReg[Bib],tblReg[FirstName],""))</f>
      </c>
      <c r="D239">
        <f>IF([@Bib]="","",XLOOKUP([@Bib],tblReg[Bib],tblReg[LastName],""))</f>
      </c>
      <c r="E239">
        <f>IF([@Bib]="","",XLOOKUP([@Bib],tblReg[Bib],tblReg[Team],""))</f>
      </c>
      <c r="F239" s="3" t="s">
        <v>22</v>
      </c>
      <c r="G239">
        <f>IF([@StageTime]="","",HOUR([@StageTime])*3600 + MINUTE([@StageTime])*60 + SECOND([@StageTime]))</f>
      </c>
      <c r="H239">
        <f>IF([@StageSeconds]="","",RANK([@StageSeconds],tblStage1[StageSeconds],1))</f>
      </c>
      <c r="I239">
        <f>IF([@Position]="",0,XLOOKUP([@Position],Config!tblBonus[Place],Config!tblBonus[Stage1BonusSec],0))</f>
      </c>
      <c r="J239">
        <f>IF([@StageSeconds]="","",[@StageSeconds]-[@BonusSeconds])</f>
      </c>
      <c r="K239" s="3">
        <f>IF([@NetSeconds]="","",[@NetSeconds]/86400)</f>
      </c>
    </row>
    <row r="240" spans="1:11" x14ac:dyDescent="0.25">
      <c r="A240" t="s">
        <v>22</v>
      </c>
      <c r="B240">
        <f>IF([@Bib]="","",XLOOKUP([@Bib],tblReg[Bib],tblReg[Field],""))</f>
      </c>
      <c r="C240">
        <f>IF([@Bib]="","",XLOOKUP([@Bib],tblReg[Bib],tblReg[FirstName],""))</f>
      </c>
      <c r="D240">
        <f>IF([@Bib]="","",XLOOKUP([@Bib],tblReg[Bib],tblReg[LastName],""))</f>
      </c>
      <c r="E240">
        <f>IF([@Bib]="","",XLOOKUP([@Bib],tblReg[Bib],tblReg[Team],""))</f>
      </c>
      <c r="F240" s="3" t="s">
        <v>22</v>
      </c>
      <c r="G240">
        <f>IF([@StageTime]="","",HOUR([@StageTime])*3600 + MINUTE([@StageTime])*60 + SECOND([@StageTime]))</f>
      </c>
      <c r="H240">
        <f>IF([@StageSeconds]="","",RANK([@StageSeconds],tblStage1[StageSeconds],1))</f>
      </c>
      <c r="I240">
        <f>IF([@Position]="",0,XLOOKUP([@Position],Config!tblBonus[Place],Config!tblBonus[Stage1BonusSec],0))</f>
      </c>
      <c r="J240">
        <f>IF([@StageSeconds]="","",[@StageSeconds]-[@BonusSeconds])</f>
      </c>
      <c r="K240" s="3">
        <f>IF([@NetSeconds]="","",[@NetSeconds]/86400)</f>
      </c>
    </row>
    <row r="241" spans="1:11" x14ac:dyDescent="0.25">
      <c r="A241" t="s">
        <v>22</v>
      </c>
      <c r="B241">
        <f>IF([@Bib]="","",XLOOKUP([@Bib],tblReg[Bib],tblReg[Field],""))</f>
      </c>
      <c r="C241">
        <f>IF([@Bib]="","",XLOOKUP([@Bib],tblReg[Bib],tblReg[FirstName],""))</f>
      </c>
      <c r="D241">
        <f>IF([@Bib]="","",XLOOKUP([@Bib],tblReg[Bib],tblReg[LastName],""))</f>
      </c>
      <c r="E241">
        <f>IF([@Bib]="","",XLOOKUP([@Bib],tblReg[Bib],tblReg[Team],""))</f>
      </c>
      <c r="F241" s="3" t="s">
        <v>22</v>
      </c>
      <c r="G241">
        <f>IF([@StageTime]="","",HOUR([@StageTime])*3600 + MINUTE([@StageTime])*60 + SECOND([@StageTime]))</f>
      </c>
      <c r="H241">
        <f>IF([@StageSeconds]="","",RANK([@StageSeconds],tblStage1[StageSeconds],1))</f>
      </c>
      <c r="I241">
        <f>IF([@Position]="",0,XLOOKUP([@Position],Config!tblBonus[Place],Config!tblBonus[Stage1BonusSec],0))</f>
      </c>
      <c r="J241">
        <f>IF([@StageSeconds]="","",[@StageSeconds]-[@BonusSeconds])</f>
      </c>
      <c r="K241" s="3">
        <f>IF([@NetSeconds]="","",[@NetSeconds]/86400)</f>
      </c>
    </row>
    <row r="242" spans="1:11" x14ac:dyDescent="0.25">
      <c r="A242" t="s">
        <v>22</v>
      </c>
      <c r="B242">
        <f>IF([@Bib]="","",XLOOKUP([@Bib],tblReg[Bib],tblReg[Field],""))</f>
      </c>
      <c r="C242">
        <f>IF([@Bib]="","",XLOOKUP([@Bib],tblReg[Bib],tblReg[FirstName],""))</f>
      </c>
      <c r="D242">
        <f>IF([@Bib]="","",XLOOKUP([@Bib],tblReg[Bib],tblReg[LastName],""))</f>
      </c>
      <c r="E242">
        <f>IF([@Bib]="","",XLOOKUP([@Bib],tblReg[Bib],tblReg[Team],""))</f>
      </c>
      <c r="F242" s="3" t="s">
        <v>22</v>
      </c>
      <c r="G242">
        <f>IF([@StageTime]="","",HOUR([@StageTime])*3600 + MINUTE([@StageTime])*60 + SECOND([@StageTime]))</f>
      </c>
      <c r="H242">
        <f>IF([@StageSeconds]="","",RANK([@StageSeconds],tblStage1[StageSeconds],1))</f>
      </c>
      <c r="I242">
        <f>IF([@Position]="",0,XLOOKUP([@Position],Config!tblBonus[Place],Config!tblBonus[Stage1BonusSec],0))</f>
      </c>
      <c r="J242">
        <f>IF([@StageSeconds]="","",[@StageSeconds]-[@BonusSeconds])</f>
      </c>
      <c r="K242" s="3">
        <f>IF([@NetSeconds]="","",[@NetSeconds]/86400)</f>
      </c>
    </row>
    <row r="243" spans="1:11" x14ac:dyDescent="0.25">
      <c r="A243" t="s">
        <v>22</v>
      </c>
      <c r="B243">
        <f>IF([@Bib]="","",XLOOKUP([@Bib],tblReg[Bib],tblReg[Field],""))</f>
      </c>
      <c r="C243">
        <f>IF([@Bib]="","",XLOOKUP([@Bib],tblReg[Bib],tblReg[FirstName],""))</f>
      </c>
      <c r="D243">
        <f>IF([@Bib]="","",XLOOKUP([@Bib],tblReg[Bib],tblReg[LastName],""))</f>
      </c>
      <c r="E243">
        <f>IF([@Bib]="","",XLOOKUP([@Bib],tblReg[Bib],tblReg[Team],""))</f>
      </c>
      <c r="F243" s="3" t="s">
        <v>22</v>
      </c>
      <c r="G243">
        <f>IF([@StageTime]="","",HOUR([@StageTime])*3600 + MINUTE([@StageTime])*60 + SECOND([@StageTime]))</f>
      </c>
      <c r="H243">
        <f>IF([@StageSeconds]="","",RANK([@StageSeconds],tblStage1[StageSeconds],1))</f>
      </c>
      <c r="I243">
        <f>IF([@Position]="",0,XLOOKUP([@Position],Config!tblBonus[Place],Config!tblBonus[Stage1BonusSec],0))</f>
      </c>
      <c r="J243">
        <f>IF([@StageSeconds]="","",[@StageSeconds]-[@BonusSeconds])</f>
      </c>
      <c r="K243" s="3">
        <f>IF([@NetSeconds]="","",[@NetSeconds]/86400)</f>
      </c>
    </row>
    <row r="244" spans="1:11" x14ac:dyDescent="0.25">
      <c r="A244" t="s">
        <v>22</v>
      </c>
      <c r="B244">
        <f>IF([@Bib]="","",XLOOKUP([@Bib],tblReg[Bib],tblReg[Field],""))</f>
      </c>
      <c r="C244">
        <f>IF([@Bib]="","",XLOOKUP([@Bib],tblReg[Bib],tblReg[FirstName],""))</f>
      </c>
      <c r="D244">
        <f>IF([@Bib]="","",XLOOKUP([@Bib],tblReg[Bib],tblReg[LastName],""))</f>
      </c>
      <c r="E244">
        <f>IF([@Bib]="","",XLOOKUP([@Bib],tblReg[Bib],tblReg[Team],""))</f>
      </c>
      <c r="F244" s="3" t="s">
        <v>22</v>
      </c>
      <c r="G244">
        <f>IF([@StageTime]="","",HOUR([@StageTime])*3600 + MINUTE([@StageTime])*60 + SECOND([@StageTime]))</f>
      </c>
      <c r="H244">
        <f>IF([@StageSeconds]="","",RANK([@StageSeconds],tblStage1[StageSeconds],1))</f>
      </c>
      <c r="I244">
        <f>IF([@Position]="",0,XLOOKUP([@Position],Config!tblBonus[Place],Config!tblBonus[Stage1BonusSec],0))</f>
      </c>
      <c r="J244">
        <f>IF([@StageSeconds]="","",[@StageSeconds]-[@BonusSeconds])</f>
      </c>
      <c r="K244" s="3">
        <f>IF([@NetSeconds]="","",[@NetSeconds]/86400)</f>
      </c>
    </row>
    <row r="245" spans="1:11" x14ac:dyDescent="0.25">
      <c r="A245" t="s">
        <v>22</v>
      </c>
      <c r="B245">
        <f>IF([@Bib]="","",XLOOKUP([@Bib],tblReg[Bib],tblReg[Field],""))</f>
      </c>
      <c r="C245">
        <f>IF([@Bib]="","",XLOOKUP([@Bib],tblReg[Bib],tblReg[FirstName],""))</f>
      </c>
      <c r="D245">
        <f>IF([@Bib]="","",XLOOKUP([@Bib],tblReg[Bib],tblReg[LastName],""))</f>
      </c>
      <c r="E245">
        <f>IF([@Bib]="","",XLOOKUP([@Bib],tblReg[Bib],tblReg[Team],""))</f>
      </c>
      <c r="F245" s="3" t="s">
        <v>22</v>
      </c>
      <c r="G245">
        <f>IF([@StageTime]="","",HOUR([@StageTime])*3600 + MINUTE([@StageTime])*60 + SECOND([@StageTime]))</f>
      </c>
      <c r="H245">
        <f>IF([@StageSeconds]="","",RANK([@StageSeconds],tblStage1[StageSeconds],1))</f>
      </c>
      <c r="I245">
        <f>IF([@Position]="",0,XLOOKUP([@Position],Config!tblBonus[Place],Config!tblBonus[Stage1BonusSec],0))</f>
      </c>
      <c r="J245">
        <f>IF([@StageSeconds]="","",[@StageSeconds]-[@BonusSeconds])</f>
      </c>
      <c r="K245" s="3">
        <f>IF([@NetSeconds]="","",[@NetSeconds]/86400)</f>
      </c>
    </row>
    <row r="246" spans="1:11" x14ac:dyDescent="0.25">
      <c r="A246" t="s">
        <v>22</v>
      </c>
      <c r="B246">
        <f>IF([@Bib]="","",XLOOKUP([@Bib],tblReg[Bib],tblReg[Field],""))</f>
      </c>
      <c r="C246">
        <f>IF([@Bib]="","",XLOOKUP([@Bib],tblReg[Bib],tblReg[FirstName],""))</f>
      </c>
      <c r="D246">
        <f>IF([@Bib]="","",XLOOKUP([@Bib],tblReg[Bib],tblReg[LastName],""))</f>
      </c>
      <c r="E246">
        <f>IF([@Bib]="","",XLOOKUP([@Bib],tblReg[Bib],tblReg[Team],""))</f>
      </c>
      <c r="F246" s="3" t="s">
        <v>22</v>
      </c>
      <c r="G246">
        <f>IF([@StageTime]="","",HOUR([@StageTime])*3600 + MINUTE([@StageTime])*60 + SECOND([@StageTime]))</f>
      </c>
      <c r="H246">
        <f>IF([@StageSeconds]="","",RANK([@StageSeconds],tblStage1[StageSeconds],1))</f>
      </c>
      <c r="I246">
        <f>IF([@Position]="",0,XLOOKUP([@Position],Config!tblBonus[Place],Config!tblBonus[Stage1BonusSec],0))</f>
      </c>
      <c r="J246">
        <f>IF([@StageSeconds]="","",[@StageSeconds]-[@BonusSeconds])</f>
      </c>
      <c r="K246" s="3">
        <f>IF([@NetSeconds]="","",[@NetSeconds]/86400)</f>
      </c>
    </row>
    <row r="247" spans="1:11" x14ac:dyDescent="0.25">
      <c r="A247" t="s">
        <v>22</v>
      </c>
      <c r="B247">
        <f>IF([@Bib]="","",XLOOKUP([@Bib],tblReg[Bib],tblReg[Field],""))</f>
      </c>
      <c r="C247">
        <f>IF([@Bib]="","",XLOOKUP([@Bib],tblReg[Bib],tblReg[FirstName],""))</f>
      </c>
      <c r="D247">
        <f>IF([@Bib]="","",XLOOKUP([@Bib],tblReg[Bib],tblReg[LastName],""))</f>
      </c>
      <c r="E247">
        <f>IF([@Bib]="","",XLOOKUP([@Bib],tblReg[Bib],tblReg[Team],""))</f>
      </c>
      <c r="F247" s="3" t="s">
        <v>22</v>
      </c>
      <c r="G247">
        <f>IF([@StageTime]="","",HOUR([@StageTime])*3600 + MINUTE([@StageTime])*60 + SECOND([@StageTime]))</f>
      </c>
      <c r="H247">
        <f>IF([@StageSeconds]="","",RANK([@StageSeconds],tblStage1[StageSeconds],1))</f>
      </c>
      <c r="I247">
        <f>IF([@Position]="",0,XLOOKUP([@Position],Config!tblBonus[Place],Config!tblBonus[Stage1BonusSec],0))</f>
      </c>
      <c r="J247">
        <f>IF([@StageSeconds]="","",[@StageSeconds]-[@BonusSeconds])</f>
      </c>
      <c r="K247" s="3">
        <f>IF([@NetSeconds]="","",[@NetSeconds]/86400)</f>
      </c>
    </row>
    <row r="248" spans="1:11" x14ac:dyDescent="0.25">
      <c r="A248" t="s">
        <v>22</v>
      </c>
      <c r="B248">
        <f>IF([@Bib]="","",XLOOKUP([@Bib],tblReg[Bib],tblReg[Field],""))</f>
      </c>
      <c r="C248">
        <f>IF([@Bib]="","",XLOOKUP([@Bib],tblReg[Bib],tblReg[FirstName],""))</f>
      </c>
      <c r="D248">
        <f>IF([@Bib]="","",XLOOKUP([@Bib],tblReg[Bib],tblReg[LastName],""))</f>
      </c>
      <c r="E248">
        <f>IF([@Bib]="","",XLOOKUP([@Bib],tblReg[Bib],tblReg[Team],""))</f>
      </c>
      <c r="F248" s="3" t="s">
        <v>22</v>
      </c>
      <c r="G248">
        <f>IF([@StageTime]="","",HOUR([@StageTime])*3600 + MINUTE([@StageTime])*60 + SECOND([@StageTime]))</f>
      </c>
      <c r="H248">
        <f>IF([@StageSeconds]="","",RANK([@StageSeconds],tblStage1[StageSeconds],1))</f>
      </c>
      <c r="I248">
        <f>IF([@Position]="",0,XLOOKUP([@Position],Config!tblBonus[Place],Config!tblBonus[Stage1BonusSec],0))</f>
      </c>
      <c r="J248">
        <f>IF([@StageSeconds]="","",[@StageSeconds]-[@BonusSeconds])</f>
      </c>
      <c r="K248" s="3">
        <f>IF([@NetSeconds]="","",[@NetSeconds]/86400)</f>
      </c>
    </row>
    <row r="249" spans="1:11" x14ac:dyDescent="0.25">
      <c r="A249" t="s">
        <v>22</v>
      </c>
      <c r="B249">
        <f>IF([@Bib]="","",XLOOKUP([@Bib],tblReg[Bib],tblReg[Field],""))</f>
      </c>
      <c r="C249">
        <f>IF([@Bib]="","",XLOOKUP([@Bib],tblReg[Bib],tblReg[FirstName],""))</f>
      </c>
      <c r="D249">
        <f>IF([@Bib]="","",XLOOKUP([@Bib],tblReg[Bib],tblReg[LastName],""))</f>
      </c>
      <c r="E249">
        <f>IF([@Bib]="","",XLOOKUP([@Bib],tblReg[Bib],tblReg[Team],""))</f>
      </c>
      <c r="F249" s="3" t="s">
        <v>22</v>
      </c>
      <c r="G249">
        <f>IF([@StageTime]="","",HOUR([@StageTime])*3600 + MINUTE([@StageTime])*60 + SECOND([@StageTime]))</f>
      </c>
      <c r="H249">
        <f>IF([@StageSeconds]="","",RANK([@StageSeconds],tblStage1[StageSeconds],1))</f>
      </c>
      <c r="I249">
        <f>IF([@Position]="",0,XLOOKUP([@Position],Config!tblBonus[Place],Config!tblBonus[Stage1BonusSec],0))</f>
      </c>
      <c r="J249">
        <f>IF([@StageSeconds]="","",[@StageSeconds]-[@BonusSeconds])</f>
      </c>
      <c r="K249" s="3">
        <f>IF([@NetSeconds]="","",[@NetSeconds]/86400)</f>
      </c>
    </row>
    <row r="250" spans="1:11" x14ac:dyDescent="0.25">
      <c r="A250" t="s">
        <v>22</v>
      </c>
      <c r="B250">
        <f>IF([@Bib]="","",XLOOKUP([@Bib],tblReg[Bib],tblReg[Field],""))</f>
      </c>
      <c r="C250">
        <f>IF([@Bib]="","",XLOOKUP([@Bib],tblReg[Bib],tblReg[FirstName],""))</f>
      </c>
      <c r="D250">
        <f>IF([@Bib]="","",XLOOKUP([@Bib],tblReg[Bib],tblReg[LastName],""))</f>
      </c>
      <c r="E250">
        <f>IF([@Bib]="","",XLOOKUP([@Bib],tblReg[Bib],tblReg[Team],""))</f>
      </c>
      <c r="F250" s="3" t="s">
        <v>22</v>
      </c>
      <c r="G250">
        <f>IF([@StageTime]="","",HOUR([@StageTime])*3600 + MINUTE([@StageTime])*60 + SECOND([@StageTime]))</f>
      </c>
      <c r="H250">
        <f>IF([@StageSeconds]="","",RANK([@StageSeconds],tblStage1[StageSeconds],1))</f>
      </c>
      <c r="I250">
        <f>IF([@Position]="",0,XLOOKUP([@Position],Config!tblBonus[Place],Config!tblBonus[Stage1BonusSec],0))</f>
      </c>
      <c r="J250">
        <f>IF([@StageSeconds]="","",[@StageSeconds]-[@BonusSeconds])</f>
      </c>
      <c r="K250" s="3">
        <f>IF([@NetSeconds]="","",[@NetSeconds]/86400)</f>
      </c>
    </row>
    <row r="251" spans="1:11" x14ac:dyDescent="0.25">
      <c r="A251" t="s">
        <v>22</v>
      </c>
      <c r="B251">
        <f>IF([@Bib]="","",XLOOKUP([@Bib],tblReg[Bib],tblReg[Field],""))</f>
      </c>
      <c r="C251">
        <f>IF([@Bib]="","",XLOOKUP([@Bib],tblReg[Bib],tblReg[FirstName],""))</f>
      </c>
      <c r="D251">
        <f>IF([@Bib]="","",XLOOKUP([@Bib],tblReg[Bib],tblReg[LastName],""))</f>
      </c>
      <c r="E251">
        <f>IF([@Bib]="","",XLOOKUP([@Bib],tblReg[Bib],tblReg[Team],""))</f>
      </c>
      <c r="F251" s="3" t="s">
        <v>22</v>
      </c>
      <c r="G251">
        <f>IF([@StageTime]="","",HOUR([@StageTime])*3600 + MINUTE([@StageTime])*60 + SECOND([@StageTime]))</f>
      </c>
      <c r="H251">
        <f>IF([@StageSeconds]="","",RANK([@StageSeconds],tblStage1[StageSeconds],1))</f>
      </c>
      <c r="I251">
        <f>IF([@Position]="",0,XLOOKUP([@Position],Config!tblBonus[Place],Config!tblBonus[Stage1BonusSec],0))</f>
      </c>
      <c r="J251">
        <f>IF([@StageSeconds]="","",[@StageSeconds]-[@BonusSeconds])</f>
      </c>
      <c r="K251" s="3">
        <f>IF([@NetSeconds]="","",[@NetSeconds]/86400)</f>
      </c>
    </row>
    <row r="270" spans="1:4" x14ac:dyDescent="0.25">
      <c r="A270" s="1" t="s">
        <v>30</v>
      </c>
      <c r="B270" s="1"/>
      <c r="C270" s="1"/>
      <c r="D270" s="1"/>
    </row>
    <row r="271" spans="1:1" x14ac:dyDescent="0.25">
      <c r="A271" t="s">
        <v>31</v>
      </c>
    </row>
    <row r="330" spans="1:4" x14ac:dyDescent="0.25">
      <c r="A330" s="1" t="s">
        <v>32</v>
      </c>
      <c r="B330" s="1"/>
      <c r="C330" s="1"/>
      <c r="D330" s="1"/>
    </row>
    <row r="331" spans="1:1" x14ac:dyDescent="0.25">
      <c r="A331" t="s">
        <v>33</v>
      </c>
    </row>
    <row r="390" spans="1:4" x14ac:dyDescent="0.25">
      <c r="A390" s="1" t="s">
        <v>34</v>
      </c>
      <c r="B390" s="1"/>
      <c r="C390" s="1"/>
      <c r="D390" s="1"/>
    </row>
    <row r="391" spans="1:1" x14ac:dyDescent="0.25">
      <c r="A391" t="s">
        <v>35</v>
      </c>
    </row>
    <row r="450" spans="1:4" x14ac:dyDescent="0.25">
      <c r="A450" s="1" t="s">
        <v>36</v>
      </c>
      <c r="B450" s="1"/>
      <c r="C450" s="1"/>
      <c r="D450" s="1"/>
    </row>
    <row r="451" spans="1:1" x14ac:dyDescent="0.25">
      <c r="A451" t="s">
        <v>37</v>
      </c>
    </row>
  </sheetData>
  <mergeCells count="4">
    <mergeCell ref="A270:D270"/>
    <mergeCell ref="A330:D330"/>
    <mergeCell ref="A390:D390"/>
    <mergeCell ref="A450:D450"/>
  </mergeCells>
  <dataValidations count="2">
    <dataValidation type="list" allowBlank="1" sqref="A10:A251">
      <formula1>=tblReg[Bib]</formula1>
    </dataValidation>
    <dataValidation type="list" allowBlank="1" sqref="A2:A251">
      <formula1>=tblReg[Bib]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8" customWidth="1"/>
    <col min="6" max="13" width="14" customWidth="1"/>
  </cols>
  <sheetData>
    <row r="1" spans="1:11" x14ac:dyDescent="0.25">
      <c r="A1" t="s">
        <v>15</v>
      </c>
      <c r="B1" t="s">
        <v>18</v>
      </c>
      <c r="C1" t="s">
        <v>16</v>
      </c>
      <c r="D1" t="s">
        <v>17</v>
      </c>
      <c r="E1" t="s">
        <v>19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22</v>
      </c>
      <c r="B2">
        <f>IF([@Bib]="","",XLOOKUP([@Bib],tblReg[Bib],tblReg[Field],""))</f>
      </c>
      <c r="C2">
        <f>IF([@Bib]="","",XLOOKUP([@Bib],tblReg[Bib],tblReg[FirstName],""))</f>
      </c>
      <c r="D2">
        <f>IF([@Bib]="","",XLOOKUP([@Bib],tblReg[Bib],tblReg[LastName],""))</f>
      </c>
      <c r="E2">
        <f>IF([@Bib]="","",XLOOKUP([@Bib],tblReg[Bib],tblReg[Team],""))</f>
      </c>
      <c r="F2" s="3" t="s">
        <v>22</v>
      </c>
      <c r="G2">
        <f>IF([@StageTime]="","",HOUR([@StageTime])*3600 + MINUTE([@StageTime])*60 + SECOND([@StageTime]))</f>
      </c>
      <c r="H2">
        <f>IF([@StageSeconds]="","",RANK([@StageSeconds],tblStage2[StageSeconds],1))</f>
      </c>
      <c r="I2">
        <f>IF([@Position]="",0,XLOOKUP([@Position],Config!tblBonus[Place],Config!tblBonus[Stage2BonusSec],0))</f>
      </c>
      <c r="J2">
        <f>IF([@StageSeconds]="","",[@StageSeconds]-[@BonusSeconds])</f>
      </c>
      <c r="K2" s="3">
        <f>IF([@NetSeconds]="","",[@NetSeconds]/86400)</f>
      </c>
    </row>
    <row r="3" spans="1:11" x14ac:dyDescent="0.25">
      <c r="A3" t="s">
        <v>22</v>
      </c>
      <c r="B3">
        <f>IF([@Bib]="","",XLOOKUP([@Bib],tblReg[Bib],tblReg[Field],""))</f>
      </c>
      <c r="C3">
        <f>IF([@Bib]="","",XLOOKUP([@Bib],tblReg[Bib],tblReg[FirstName],""))</f>
      </c>
      <c r="D3">
        <f>IF([@Bib]="","",XLOOKUP([@Bib],tblReg[Bib],tblReg[LastName],""))</f>
      </c>
      <c r="E3">
        <f>IF([@Bib]="","",XLOOKUP([@Bib],tblReg[Bib],tblReg[Team],""))</f>
      </c>
      <c r="F3" s="3" t="s">
        <v>22</v>
      </c>
      <c r="G3">
        <f>IF([@StageTime]="","",HOUR([@StageTime])*3600 + MINUTE([@StageTime])*60 + SECOND([@StageTime]))</f>
      </c>
      <c r="H3">
        <f>IF([@StageSeconds]="","",RANK([@StageSeconds],tblStage2[StageSeconds],1))</f>
      </c>
      <c r="I3">
        <f>IF([@Position]="",0,XLOOKUP([@Position],Config!tblBonus[Place],Config!tblBonus[Stage2BonusSec],0))</f>
      </c>
      <c r="J3">
        <f>IF([@StageSeconds]="","",[@StageSeconds]-[@BonusSeconds])</f>
      </c>
      <c r="K3" s="3">
        <f>IF([@NetSeconds]="","",[@NetSeconds]/86400)</f>
      </c>
    </row>
    <row r="4" spans="1:11" x14ac:dyDescent="0.25">
      <c r="A4" t="s">
        <v>22</v>
      </c>
      <c r="B4">
        <f>IF([@Bib]="","",XLOOKUP([@Bib],tblReg[Bib],tblReg[Field],""))</f>
      </c>
      <c r="C4">
        <f>IF([@Bib]="","",XLOOKUP([@Bib],tblReg[Bib],tblReg[FirstName],""))</f>
      </c>
      <c r="D4">
        <f>IF([@Bib]="","",XLOOKUP([@Bib],tblReg[Bib],tblReg[LastName],""))</f>
      </c>
      <c r="E4">
        <f>IF([@Bib]="","",XLOOKUP([@Bib],tblReg[Bib],tblReg[Team],""))</f>
      </c>
      <c r="F4" s="3" t="s">
        <v>22</v>
      </c>
      <c r="G4">
        <f>IF([@StageTime]="","",HOUR([@StageTime])*3600 + MINUTE([@StageTime])*60 + SECOND([@StageTime]))</f>
      </c>
      <c r="H4">
        <f>IF([@StageSeconds]="","",RANK([@StageSeconds],tblStage2[StageSeconds],1))</f>
      </c>
      <c r="I4">
        <f>IF([@Position]="",0,XLOOKUP([@Position],Config!tblBonus[Place],Config!tblBonus[Stage2BonusSec],0))</f>
      </c>
      <c r="J4">
        <f>IF([@StageSeconds]="","",[@StageSeconds]-[@BonusSeconds])</f>
      </c>
      <c r="K4" s="3">
        <f>IF([@NetSeconds]="","",[@NetSeconds]/86400)</f>
      </c>
    </row>
    <row r="5" spans="1:11" x14ac:dyDescent="0.25">
      <c r="A5" t="s">
        <v>22</v>
      </c>
      <c r="B5">
        <f>IF([@Bib]="","",XLOOKUP([@Bib],tblReg[Bib],tblReg[Field],""))</f>
      </c>
      <c r="C5">
        <f>IF([@Bib]="","",XLOOKUP([@Bib],tblReg[Bib],tblReg[FirstName],""))</f>
      </c>
      <c r="D5">
        <f>IF([@Bib]="","",XLOOKUP([@Bib],tblReg[Bib],tblReg[LastName],""))</f>
      </c>
      <c r="E5">
        <f>IF([@Bib]="","",XLOOKUP([@Bib],tblReg[Bib],tblReg[Team],""))</f>
      </c>
      <c r="F5" s="3" t="s">
        <v>22</v>
      </c>
      <c r="G5">
        <f>IF([@StageTime]="","",HOUR([@StageTime])*3600 + MINUTE([@StageTime])*60 + SECOND([@StageTime]))</f>
      </c>
      <c r="H5">
        <f>IF([@StageSeconds]="","",RANK([@StageSeconds],tblStage2[StageSeconds],1))</f>
      </c>
      <c r="I5">
        <f>IF([@Position]="",0,XLOOKUP([@Position],Config!tblBonus[Place],Config!tblBonus[Stage2BonusSec],0))</f>
      </c>
      <c r="J5">
        <f>IF([@StageSeconds]="","",[@StageSeconds]-[@BonusSeconds])</f>
      </c>
      <c r="K5" s="3">
        <f>IF([@NetSeconds]="","",[@NetSeconds]/86400)</f>
      </c>
    </row>
    <row r="6" spans="1:11" x14ac:dyDescent="0.25">
      <c r="A6" t="s">
        <v>22</v>
      </c>
      <c r="B6">
        <f>IF([@Bib]="","",XLOOKUP([@Bib],tblReg[Bib],tblReg[Field],""))</f>
      </c>
      <c r="C6">
        <f>IF([@Bib]="","",XLOOKUP([@Bib],tblReg[Bib],tblReg[FirstName],""))</f>
      </c>
      <c r="D6">
        <f>IF([@Bib]="","",XLOOKUP([@Bib],tblReg[Bib],tblReg[LastName],""))</f>
      </c>
      <c r="E6">
        <f>IF([@Bib]="","",XLOOKUP([@Bib],tblReg[Bib],tblReg[Team],""))</f>
      </c>
      <c r="F6" s="3" t="s">
        <v>22</v>
      </c>
      <c r="G6">
        <f>IF([@StageTime]="","",HOUR([@StageTime])*3600 + MINUTE([@StageTime])*60 + SECOND([@StageTime]))</f>
      </c>
      <c r="H6">
        <f>IF([@StageSeconds]="","",RANK([@StageSeconds],tblStage2[StageSeconds],1))</f>
      </c>
      <c r="I6">
        <f>IF([@Position]="",0,XLOOKUP([@Position],Config!tblBonus[Place],Config!tblBonus[Stage2BonusSec],0))</f>
      </c>
      <c r="J6">
        <f>IF([@StageSeconds]="","",[@StageSeconds]-[@BonusSeconds])</f>
      </c>
      <c r="K6" s="3">
        <f>IF([@NetSeconds]="","",[@NetSeconds]/86400)</f>
      </c>
    </row>
    <row r="7" spans="1:11" x14ac:dyDescent="0.25">
      <c r="A7" t="s">
        <v>22</v>
      </c>
      <c r="B7">
        <f>IF([@Bib]="","",XLOOKUP([@Bib],tblReg[Bib],tblReg[Field],""))</f>
      </c>
      <c r="C7">
        <f>IF([@Bib]="","",XLOOKUP([@Bib],tblReg[Bib],tblReg[FirstName],""))</f>
      </c>
      <c r="D7">
        <f>IF([@Bib]="","",XLOOKUP([@Bib],tblReg[Bib],tblReg[LastName],""))</f>
      </c>
      <c r="E7">
        <f>IF([@Bib]="","",XLOOKUP([@Bib],tblReg[Bib],tblReg[Team],""))</f>
      </c>
      <c r="F7" s="3" t="s">
        <v>22</v>
      </c>
      <c r="G7">
        <f>IF([@StageTime]="","",HOUR([@StageTime])*3600 + MINUTE([@StageTime])*60 + SECOND([@StageTime]))</f>
      </c>
      <c r="H7">
        <f>IF([@StageSeconds]="","",RANK([@StageSeconds],tblStage2[StageSeconds],1))</f>
      </c>
      <c r="I7">
        <f>IF([@Position]="",0,XLOOKUP([@Position],Config!tblBonus[Place],Config!tblBonus[Stage2BonusSec],0))</f>
      </c>
      <c r="J7">
        <f>IF([@StageSeconds]="","",[@StageSeconds]-[@BonusSeconds])</f>
      </c>
      <c r="K7" s="3">
        <f>IF([@NetSeconds]="","",[@NetSeconds]/86400)</f>
      </c>
    </row>
    <row r="8" spans="1:11" x14ac:dyDescent="0.25">
      <c r="A8" t="s">
        <v>22</v>
      </c>
      <c r="B8">
        <f>IF([@Bib]="","",XLOOKUP([@Bib],tblReg[Bib],tblReg[Field],""))</f>
      </c>
      <c r="C8">
        <f>IF([@Bib]="","",XLOOKUP([@Bib],tblReg[Bib],tblReg[FirstName],""))</f>
      </c>
      <c r="D8">
        <f>IF([@Bib]="","",XLOOKUP([@Bib],tblReg[Bib],tblReg[LastName],""))</f>
      </c>
      <c r="E8">
        <f>IF([@Bib]="","",XLOOKUP([@Bib],tblReg[Bib],tblReg[Team],""))</f>
      </c>
      <c r="F8" s="3" t="s">
        <v>22</v>
      </c>
      <c r="G8">
        <f>IF([@StageTime]="","",HOUR([@StageTime])*3600 + MINUTE([@StageTime])*60 + SECOND([@StageTime]))</f>
      </c>
      <c r="H8">
        <f>IF([@StageSeconds]="","",RANK([@StageSeconds],tblStage2[StageSeconds],1))</f>
      </c>
      <c r="I8">
        <f>IF([@Position]="",0,XLOOKUP([@Position],Config!tblBonus[Place],Config!tblBonus[Stage2BonusSec],0))</f>
      </c>
      <c r="J8">
        <f>IF([@StageSeconds]="","",[@StageSeconds]-[@BonusSeconds])</f>
      </c>
      <c r="K8" s="3">
        <f>IF([@NetSeconds]="","",[@NetSeconds]/86400)</f>
      </c>
    </row>
    <row r="9" spans="1:11" x14ac:dyDescent="0.25">
      <c r="A9" t="s">
        <v>22</v>
      </c>
      <c r="B9">
        <f>IF([@Bib]="","",XLOOKUP([@Bib],tblReg[Bib],tblReg[Field],""))</f>
      </c>
      <c r="C9">
        <f>IF([@Bib]="","",XLOOKUP([@Bib],tblReg[Bib],tblReg[FirstName],""))</f>
      </c>
      <c r="D9">
        <f>IF([@Bib]="","",XLOOKUP([@Bib],tblReg[Bib],tblReg[LastName],""))</f>
      </c>
      <c r="E9">
        <f>IF([@Bib]="","",XLOOKUP([@Bib],tblReg[Bib],tblReg[Team],""))</f>
      </c>
      <c r="F9" s="3" t="s">
        <v>22</v>
      </c>
      <c r="G9">
        <f>IF([@StageTime]="","",HOUR([@StageTime])*3600 + MINUTE([@StageTime])*60 + SECOND([@StageTime]))</f>
      </c>
      <c r="H9">
        <f>IF([@StageSeconds]="","",RANK([@StageSeconds],tblStage2[StageSeconds],1))</f>
      </c>
      <c r="I9">
        <f>IF([@Position]="",0,XLOOKUP([@Position],Config!tblBonus[Place],Config!tblBonus[Stage2BonusSec],0))</f>
      </c>
      <c r="J9">
        <f>IF([@StageSeconds]="","",[@StageSeconds]-[@BonusSeconds])</f>
      </c>
      <c r="K9" s="3">
        <f>IF([@NetSeconds]="","",[@NetSeconds]/86400)</f>
      </c>
    </row>
    <row r="10" spans="1:11" x14ac:dyDescent="0.25">
      <c r="A10" t="s">
        <v>22</v>
      </c>
      <c r="B10">
        <f>IF([@Bib]="","",XLOOKUP([@Bib],tblReg[Bib],tblReg[Field],""))</f>
      </c>
      <c r="C10">
        <f>IF([@Bib]="","",XLOOKUP([@Bib],tblReg[Bib],tblReg[FirstName],""))</f>
      </c>
      <c r="D10">
        <f>IF([@Bib]="","",XLOOKUP([@Bib],tblReg[Bib],tblReg[LastName],""))</f>
      </c>
      <c r="E10">
        <f>IF([@Bib]="","",XLOOKUP([@Bib],tblReg[Bib],tblReg[Team],""))</f>
      </c>
      <c r="F10" s="3" t="s">
        <v>22</v>
      </c>
      <c r="G10">
        <f>IF([@StageTime]="","",HOUR([@StageTime])*3600 + MINUTE([@StageTime])*60 + SECOND([@StageTime]))</f>
      </c>
      <c r="H10">
        <f>IF([@StageSeconds]="","",RANK([@StageSeconds],tblStage2[StageSeconds],1))</f>
      </c>
      <c r="I10">
        <f>IF([@Position]="",0,XLOOKUP([@Position],Config!tblBonus[Place],Config!tblBonus[Stage2BonusSec],0))</f>
      </c>
      <c r="J10">
        <f>IF([@StageSeconds]="","",[@StageSeconds]-[@BonusSeconds])</f>
      </c>
      <c r="K10" s="3">
        <f>IF([@NetSeconds]="","",[@NetSeconds]/86400)</f>
      </c>
    </row>
    <row r="11" spans="1:11" x14ac:dyDescent="0.25">
      <c r="A11" t="s">
        <v>22</v>
      </c>
      <c r="B11">
        <f>IF([@Bib]="","",XLOOKUP([@Bib],tblReg[Bib],tblReg[Field],""))</f>
      </c>
      <c r="C11">
        <f>IF([@Bib]="","",XLOOKUP([@Bib],tblReg[Bib],tblReg[FirstName],""))</f>
      </c>
      <c r="D11">
        <f>IF([@Bib]="","",XLOOKUP([@Bib],tblReg[Bib],tblReg[LastName],""))</f>
      </c>
      <c r="E11">
        <f>IF([@Bib]="","",XLOOKUP([@Bib],tblReg[Bib],tblReg[Team],""))</f>
      </c>
      <c r="F11" s="3" t="s">
        <v>22</v>
      </c>
      <c r="G11">
        <f>IF([@StageTime]="","",HOUR([@StageTime])*3600 + MINUTE([@StageTime])*60 + SECOND([@StageTime]))</f>
      </c>
      <c r="H11">
        <f>IF([@StageSeconds]="","",RANK([@StageSeconds],tblStage2[StageSeconds],1))</f>
      </c>
      <c r="I11">
        <f>IF([@Position]="",0,XLOOKUP([@Position],Config!tblBonus[Place],Config!tblBonus[Stage2BonusSec],0))</f>
      </c>
      <c r="J11">
        <f>IF([@StageSeconds]="","",[@StageSeconds]-[@BonusSeconds])</f>
      </c>
      <c r="K11" s="3">
        <f>IF([@NetSeconds]="","",[@NetSeconds]/86400)</f>
      </c>
    </row>
    <row r="12" spans="1:11" x14ac:dyDescent="0.25">
      <c r="A12" t="s">
        <v>22</v>
      </c>
      <c r="B12">
        <f>IF([@Bib]="","",XLOOKUP([@Bib],tblReg[Bib],tblReg[Field],""))</f>
      </c>
      <c r="C12">
        <f>IF([@Bib]="","",XLOOKUP([@Bib],tblReg[Bib],tblReg[FirstName],""))</f>
      </c>
      <c r="D12">
        <f>IF([@Bib]="","",XLOOKUP([@Bib],tblReg[Bib],tblReg[LastName],""))</f>
      </c>
      <c r="E12">
        <f>IF([@Bib]="","",XLOOKUP([@Bib],tblReg[Bib],tblReg[Team],""))</f>
      </c>
      <c r="F12" s="3" t="s">
        <v>22</v>
      </c>
      <c r="G12">
        <f>IF([@StageTime]="","",HOUR([@StageTime])*3600 + MINUTE([@StageTime])*60 + SECOND([@StageTime]))</f>
      </c>
      <c r="H12">
        <f>IF([@StageSeconds]="","",RANK([@StageSeconds],tblStage2[StageSeconds],1))</f>
      </c>
      <c r="I12">
        <f>IF([@Position]="",0,XLOOKUP([@Position],Config!tblBonus[Place],Config!tblBonus[Stage2BonusSec],0))</f>
      </c>
      <c r="J12">
        <f>IF([@StageSeconds]="","",[@StageSeconds]-[@BonusSeconds])</f>
      </c>
      <c r="K12" s="3">
        <f>IF([@NetSeconds]="","",[@NetSeconds]/86400)</f>
      </c>
    </row>
    <row r="13" spans="1:11" x14ac:dyDescent="0.25">
      <c r="A13" t="s">
        <v>22</v>
      </c>
      <c r="B13">
        <f>IF([@Bib]="","",XLOOKUP([@Bib],tblReg[Bib],tblReg[Field],""))</f>
      </c>
      <c r="C13">
        <f>IF([@Bib]="","",XLOOKUP([@Bib],tblReg[Bib],tblReg[FirstName],""))</f>
      </c>
      <c r="D13">
        <f>IF([@Bib]="","",XLOOKUP([@Bib],tblReg[Bib],tblReg[LastName],""))</f>
      </c>
      <c r="E13">
        <f>IF([@Bib]="","",XLOOKUP([@Bib],tblReg[Bib],tblReg[Team],""))</f>
      </c>
      <c r="F13" s="3" t="s">
        <v>22</v>
      </c>
      <c r="G13">
        <f>IF([@StageTime]="","",HOUR([@StageTime])*3600 + MINUTE([@StageTime])*60 + SECOND([@StageTime]))</f>
      </c>
      <c r="H13">
        <f>IF([@StageSeconds]="","",RANK([@StageSeconds],tblStage2[StageSeconds],1))</f>
      </c>
      <c r="I13">
        <f>IF([@Position]="",0,XLOOKUP([@Position],Config!tblBonus[Place],Config!tblBonus[Stage2BonusSec],0))</f>
      </c>
      <c r="J13">
        <f>IF([@StageSeconds]="","",[@StageSeconds]-[@BonusSeconds])</f>
      </c>
      <c r="K13" s="3">
        <f>IF([@NetSeconds]="","",[@NetSeconds]/86400)</f>
      </c>
    </row>
    <row r="14" spans="1:11" x14ac:dyDescent="0.25">
      <c r="A14" t="s">
        <v>22</v>
      </c>
      <c r="B14">
        <f>IF([@Bib]="","",XLOOKUP([@Bib],tblReg[Bib],tblReg[Field],""))</f>
      </c>
      <c r="C14">
        <f>IF([@Bib]="","",XLOOKUP([@Bib],tblReg[Bib],tblReg[FirstName],""))</f>
      </c>
      <c r="D14">
        <f>IF([@Bib]="","",XLOOKUP([@Bib],tblReg[Bib],tblReg[LastName],""))</f>
      </c>
      <c r="E14">
        <f>IF([@Bib]="","",XLOOKUP([@Bib],tblReg[Bib],tblReg[Team],""))</f>
      </c>
      <c r="F14" s="3" t="s">
        <v>22</v>
      </c>
      <c r="G14">
        <f>IF([@StageTime]="","",HOUR([@StageTime])*3600 + MINUTE([@StageTime])*60 + SECOND([@StageTime]))</f>
      </c>
      <c r="H14">
        <f>IF([@StageSeconds]="","",RANK([@StageSeconds],tblStage2[StageSeconds],1))</f>
      </c>
      <c r="I14">
        <f>IF([@Position]="",0,XLOOKUP([@Position],Config!tblBonus[Place],Config!tblBonus[Stage2BonusSec],0))</f>
      </c>
      <c r="J14">
        <f>IF([@StageSeconds]="","",[@StageSeconds]-[@BonusSeconds])</f>
      </c>
      <c r="K14" s="3">
        <f>IF([@NetSeconds]="","",[@NetSeconds]/86400)</f>
      </c>
    </row>
    <row r="15" spans="1:11" x14ac:dyDescent="0.25">
      <c r="A15" t="s">
        <v>22</v>
      </c>
      <c r="B15">
        <f>IF([@Bib]="","",XLOOKUP([@Bib],tblReg[Bib],tblReg[Field],""))</f>
      </c>
      <c r="C15">
        <f>IF([@Bib]="","",XLOOKUP([@Bib],tblReg[Bib],tblReg[FirstName],""))</f>
      </c>
      <c r="D15">
        <f>IF([@Bib]="","",XLOOKUP([@Bib],tblReg[Bib],tblReg[LastName],""))</f>
      </c>
      <c r="E15">
        <f>IF([@Bib]="","",XLOOKUP([@Bib],tblReg[Bib],tblReg[Team],""))</f>
      </c>
      <c r="F15" s="3" t="s">
        <v>22</v>
      </c>
      <c r="G15">
        <f>IF([@StageTime]="","",HOUR([@StageTime])*3600 + MINUTE([@StageTime])*60 + SECOND([@StageTime]))</f>
      </c>
      <c r="H15">
        <f>IF([@StageSeconds]="","",RANK([@StageSeconds],tblStage2[StageSeconds],1))</f>
      </c>
      <c r="I15">
        <f>IF([@Position]="",0,XLOOKUP([@Position],Config!tblBonus[Place],Config!tblBonus[Stage2BonusSec],0))</f>
      </c>
      <c r="J15">
        <f>IF([@StageSeconds]="","",[@StageSeconds]-[@BonusSeconds])</f>
      </c>
      <c r="K15" s="3">
        <f>IF([@NetSeconds]="","",[@NetSeconds]/86400)</f>
      </c>
    </row>
    <row r="16" spans="1:11" x14ac:dyDescent="0.25">
      <c r="A16" t="s">
        <v>22</v>
      </c>
      <c r="B16">
        <f>IF([@Bib]="","",XLOOKUP([@Bib],tblReg[Bib],tblReg[Field],""))</f>
      </c>
      <c r="C16">
        <f>IF([@Bib]="","",XLOOKUP([@Bib],tblReg[Bib],tblReg[FirstName],""))</f>
      </c>
      <c r="D16">
        <f>IF([@Bib]="","",XLOOKUP([@Bib],tblReg[Bib],tblReg[LastName],""))</f>
      </c>
      <c r="E16">
        <f>IF([@Bib]="","",XLOOKUP([@Bib],tblReg[Bib],tblReg[Team],""))</f>
      </c>
      <c r="F16" s="3" t="s">
        <v>22</v>
      </c>
      <c r="G16">
        <f>IF([@StageTime]="","",HOUR([@StageTime])*3600 + MINUTE([@StageTime])*60 + SECOND([@StageTime]))</f>
      </c>
      <c r="H16">
        <f>IF([@StageSeconds]="","",RANK([@StageSeconds],tblStage2[StageSeconds],1))</f>
      </c>
      <c r="I16">
        <f>IF([@Position]="",0,XLOOKUP([@Position],Config!tblBonus[Place],Config!tblBonus[Stage2BonusSec],0))</f>
      </c>
      <c r="J16">
        <f>IF([@StageSeconds]="","",[@StageSeconds]-[@BonusSeconds])</f>
      </c>
      <c r="K16" s="3">
        <f>IF([@NetSeconds]="","",[@NetSeconds]/86400)</f>
      </c>
    </row>
    <row r="17" spans="1:11" x14ac:dyDescent="0.25">
      <c r="A17" t="s">
        <v>22</v>
      </c>
      <c r="B17">
        <f>IF([@Bib]="","",XLOOKUP([@Bib],tblReg[Bib],tblReg[Field],""))</f>
      </c>
      <c r="C17">
        <f>IF([@Bib]="","",XLOOKUP([@Bib],tblReg[Bib],tblReg[FirstName],""))</f>
      </c>
      <c r="D17">
        <f>IF([@Bib]="","",XLOOKUP([@Bib],tblReg[Bib],tblReg[LastName],""))</f>
      </c>
      <c r="E17">
        <f>IF([@Bib]="","",XLOOKUP([@Bib],tblReg[Bib],tblReg[Team],""))</f>
      </c>
      <c r="F17" s="3" t="s">
        <v>22</v>
      </c>
      <c r="G17">
        <f>IF([@StageTime]="","",HOUR([@StageTime])*3600 + MINUTE([@StageTime])*60 + SECOND([@StageTime]))</f>
      </c>
      <c r="H17">
        <f>IF([@StageSeconds]="","",RANK([@StageSeconds],tblStage2[StageSeconds],1))</f>
      </c>
      <c r="I17">
        <f>IF([@Position]="",0,XLOOKUP([@Position],Config!tblBonus[Place],Config!tblBonus[Stage2BonusSec],0))</f>
      </c>
      <c r="J17">
        <f>IF([@StageSeconds]="","",[@StageSeconds]-[@BonusSeconds])</f>
      </c>
      <c r="K17" s="3">
        <f>IF([@NetSeconds]="","",[@NetSeconds]/86400)</f>
      </c>
    </row>
    <row r="18" spans="1:11" x14ac:dyDescent="0.25">
      <c r="A18" t="s">
        <v>22</v>
      </c>
      <c r="B18">
        <f>IF([@Bib]="","",XLOOKUP([@Bib],tblReg[Bib],tblReg[Field],""))</f>
      </c>
      <c r="C18">
        <f>IF([@Bib]="","",XLOOKUP([@Bib],tblReg[Bib],tblReg[FirstName],""))</f>
      </c>
      <c r="D18">
        <f>IF([@Bib]="","",XLOOKUP([@Bib],tblReg[Bib],tblReg[LastName],""))</f>
      </c>
      <c r="E18">
        <f>IF([@Bib]="","",XLOOKUP([@Bib],tblReg[Bib],tblReg[Team],""))</f>
      </c>
      <c r="F18" s="3" t="s">
        <v>22</v>
      </c>
      <c r="G18">
        <f>IF([@StageTime]="","",HOUR([@StageTime])*3600 + MINUTE([@StageTime])*60 + SECOND([@StageTime]))</f>
      </c>
      <c r="H18">
        <f>IF([@StageSeconds]="","",RANK([@StageSeconds],tblStage2[StageSeconds],1))</f>
      </c>
      <c r="I18">
        <f>IF([@Position]="",0,XLOOKUP([@Position],Config!tblBonus[Place],Config!tblBonus[Stage2BonusSec],0))</f>
      </c>
      <c r="J18">
        <f>IF([@StageSeconds]="","",[@StageSeconds]-[@BonusSeconds])</f>
      </c>
      <c r="K18" s="3">
        <f>IF([@NetSeconds]="","",[@NetSeconds]/86400)</f>
      </c>
    </row>
    <row r="19" spans="1:11" x14ac:dyDescent="0.25">
      <c r="A19" t="s">
        <v>22</v>
      </c>
      <c r="B19">
        <f>IF([@Bib]="","",XLOOKUP([@Bib],tblReg[Bib],tblReg[Field],""))</f>
      </c>
      <c r="C19">
        <f>IF([@Bib]="","",XLOOKUP([@Bib],tblReg[Bib],tblReg[FirstName],""))</f>
      </c>
      <c r="D19">
        <f>IF([@Bib]="","",XLOOKUP([@Bib],tblReg[Bib],tblReg[LastName],""))</f>
      </c>
      <c r="E19">
        <f>IF([@Bib]="","",XLOOKUP([@Bib],tblReg[Bib],tblReg[Team],""))</f>
      </c>
      <c r="F19" s="3" t="s">
        <v>22</v>
      </c>
      <c r="G19">
        <f>IF([@StageTime]="","",HOUR([@StageTime])*3600 + MINUTE([@StageTime])*60 + SECOND([@StageTime]))</f>
      </c>
      <c r="H19">
        <f>IF([@StageSeconds]="","",RANK([@StageSeconds],tblStage2[StageSeconds],1))</f>
      </c>
      <c r="I19">
        <f>IF([@Position]="",0,XLOOKUP([@Position],Config!tblBonus[Place],Config!tblBonus[Stage2BonusSec],0))</f>
      </c>
      <c r="J19">
        <f>IF([@StageSeconds]="","",[@StageSeconds]-[@BonusSeconds])</f>
      </c>
      <c r="K19" s="3">
        <f>IF([@NetSeconds]="","",[@NetSeconds]/86400)</f>
      </c>
    </row>
    <row r="20" spans="1:11" x14ac:dyDescent="0.25">
      <c r="A20" t="s">
        <v>22</v>
      </c>
      <c r="B20">
        <f>IF([@Bib]="","",XLOOKUP([@Bib],tblReg[Bib],tblReg[Field],""))</f>
      </c>
      <c r="C20">
        <f>IF([@Bib]="","",XLOOKUP([@Bib],tblReg[Bib],tblReg[FirstName],""))</f>
      </c>
      <c r="D20">
        <f>IF([@Bib]="","",XLOOKUP([@Bib],tblReg[Bib],tblReg[LastName],""))</f>
      </c>
      <c r="E20">
        <f>IF([@Bib]="","",XLOOKUP([@Bib],tblReg[Bib],tblReg[Team],""))</f>
      </c>
      <c r="F20" s="3" t="s">
        <v>22</v>
      </c>
      <c r="G20">
        <f>IF([@StageTime]="","",HOUR([@StageTime])*3600 + MINUTE([@StageTime])*60 + SECOND([@StageTime]))</f>
      </c>
      <c r="H20">
        <f>IF([@StageSeconds]="","",RANK([@StageSeconds],tblStage2[StageSeconds],1))</f>
      </c>
      <c r="I20">
        <f>IF([@Position]="",0,XLOOKUP([@Position],Config!tblBonus[Place],Config!tblBonus[Stage2BonusSec],0))</f>
      </c>
      <c r="J20">
        <f>IF([@StageSeconds]="","",[@StageSeconds]-[@BonusSeconds])</f>
      </c>
      <c r="K20" s="3">
        <f>IF([@NetSeconds]="","",[@NetSeconds]/86400)</f>
      </c>
    </row>
    <row r="21" spans="1:11" x14ac:dyDescent="0.25">
      <c r="A21" t="s">
        <v>22</v>
      </c>
      <c r="B21">
        <f>IF([@Bib]="","",XLOOKUP([@Bib],tblReg[Bib],tblReg[Field],""))</f>
      </c>
      <c r="C21">
        <f>IF([@Bib]="","",XLOOKUP([@Bib],tblReg[Bib],tblReg[FirstName],""))</f>
      </c>
      <c r="D21">
        <f>IF([@Bib]="","",XLOOKUP([@Bib],tblReg[Bib],tblReg[LastName],""))</f>
      </c>
      <c r="E21">
        <f>IF([@Bib]="","",XLOOKUP([@Bib],tblReg[Bib],tblReg[Team],""))</f>
      </c>
      <c r="F21" s="3" t="s">
        <v>22</v>
      </c>
      <c r="G21">
        <f>IF([@StageTime]="","",HOUR([@StageTime])*3600 + MINUTE([@StageTime])*60 + SECOND([@StageTime]))</f>
      </c>
      <c r="H21">
        <f>IF([@StageSeconds]="","",RANK([@StageSeconds],tblStage2[StageSeconds],1))</f>
      </c>
      <c r="I21">
        <f>IF([@Position]="",0,XLOOKUP([@Position],Config!tblBonus[Place],Config!tblBonus[Stage2BonusSec],0))</f>
      </c>
      <c r="J21">
        <f>IF([@StageSeconds]="","",[@StageSeconds]-[@BonusSeconds])</f>
      </c>
      <c r="K21" s="3">
        <f>IF([@NetSeconds]="","",[@NetSeconds]/86400)</f>
      </c>
    </row>
    <row r="22" spans="1:11" x14ac:dyDescent="0.25">
      <c r="A22" t="s">
        <v>22</v>
      </c>
      <c r="B22">
        <f>IF([@Bib]="","",XLOOKUP([@Bib],tblReg[Bib],tblReg[Field],""))</f>
      </c>
      <c r="C22">
        <f>IF([@Bib]="","",XLOOKUP([@Bib],tblReg[Bib],tblReg[FirstName],""))</f>
      </c>
      <c r="D22">
        <f>IF([@Bib]="","",XLOOKUP([@Bib],tblReg[Bib],tblReg[LastName],""))</f>
      </c>
      <c r="E22">
        <f>IF([@Bib]="","",XLOOKUP([@Bib],tblReg[Bib],tblReg[Team],""))</f>
      </c>
      <c r="F22" s="3" t="s">
        <v>22</v>
      </c>
      <c r="G22">
        <f>IF([@StageTime]="","",HOUR([@StageTime])*3600 + MINUTE([@StageTime])*60 + SECOND([@StageTime]))</f>
      </c>
      <c r="H22">
        <f>IF([@StageSeconds]="","",RANK([@StageSeconds],tblStage2[StageSeconds],1))</f>
      </c>
      <c r="I22">
        <f>IF([@Position]="",0,XLOOKUP([@Position],Config!tblBonus[Place],Config!tblBonus[Stage2BonusSec],0))</f>
      </c>
      <c r="J22">
        <f>IF([@StageSeconds]="","",[@StageSeconds]-[@BonusSeconds])</f>
      </c>
      <c r="K22" s="3">
        <f>IF([@NetSeconds]="","",[@NetSeconds]/86400)</f>
      </c>
    </row>
    <row r="23" spans="1:11" x14ac:dyDescent="0.25">
      <c r="A23" t="s">
        <v>22</v>
      </c>
      <c r="B23">
        <f>IF([@Bib]="","",XLOOKUP([@Bib],tblReg[Bib],tblReg[Field],""))</f>
      </c>
      <c r="C23">
        <f>IF([@Bib]="","",XLOOKUP([@Bib],tblReg[Bib],tblReg[FirstName],""))</f>
      </c>
      <c r="D23">
        <f>IF([@Bib]="","",XLOOKUP([@Bib],tblReg[Bib],tblReg[LastName],""))</f>
      </c>
      <c r="E23">
        <f>IF([@Bib]="","",XLOOKUP([@Bib],tblReg[Bib],tblReg[Team],""))</f>
      </c>
      <c r="F23" s="3" t="s">
        <v>22</v>
      </c>
      <c r="G23">
        <f>IF([@StageTime]="","",HOUR([@StageTime])*3600 + MINUTE([@StageTime])*60 + SECOND([@StageTime]))</f>
      </c>
      <c r="H23">
        <f>IF([@StageSeconds]="","",RANK([@StageSeconds],tblStage2[StageSeconds],1))</f>
      </c>
      <c r="I23">
        <f>IF([@Position]="",0,XLOOKUP([@Position],Config!tblBonus[Place],Config!tblBonus[Stage2BonusSec],0))</f>
      </c>
      <c r="J23">
        <f>IF([@StageSeconds]="","",[@StageSeconds]-[@BonusSeconds])</f>
      </c>
      <c r="K23" s="3">
        <f>IF([@NetSeconds]="","",[@NetSeconds]/86400)</f>
      </c>
    </row>
    <row r="24" spans="1:11" x14ac:dyDescent="0.25">
      <c r="A24" t="s">
        <v>22</v>
      </c>
      <c r="B24">
        <f>IF([@Bib]="","",XLOOKUP([@Bib],tblReg[Bib],tblReg[Field],""))</f>
      </c>
      <c r="C24">
        <f>IF([@Bib]="","",XLOOKUP([@Bib],tblReg[Bib],tblReg[FirstName],""))</f>
      </c>
      <c r="D24">
        <f>IF([@Bib]="","",XLOOKUP([@Bib],tblReg[Bib],tblReg[LastName],""))</f>
      </c>
      <c r="E24">
        <f>IF([@Bib]="","",XLOOKUP([@Bib],tblReg[Bib],tblReg[Team],""))</f>
      </c>
      <c r="F24" s="3" t="s">
        <v>22</v>
      </c>
      <c r="G24">
        <f>IF([@StageTime]="","",HOUR([@StageTime])*3600 + MINUTE([@StageTime])*60 + SECOND([@StageTime]))</f>
      </c>
      <c r="H24">
        <f>IF([@StageSeconds]="","",RANK([@StageSeconds],tblStage2[StageSeconds],1))</f>
      </c>
      <c r="I24">
        <f>IF([@Position]="",0,XLOOKUP([@Position],Config!tblBonus[Place],Config!tblBonus[Stage2BonusSec],0))</f>
      </c>
      <c r="J24">
        <f>IF([@StageSeconds]="","",[@StageSeconds]-[@BonusSeconds])</f>
      </c>
      <c r="K24" s="3">
        <f>IF([@NetSeconds]="","",[@NetSeconds]/86400)</f>
      </c>
    </row>
    <row r="25" spans="1:11" x14ac:dyDescent="0.25">
      <c r="A25" t="s">
        <v>22</v>
      </c>
      <c r="B25">
        <f>IF([@Bib]="","",XLOOKUP([@Bib],tblReg[Bib],tblReg[Field],""))</f>
      </c>
      <c r="C25">
        <f>IF([@Bib]="","",XLOOKUP([@Bib],tblReg[Bib],tblReg[FirstName],""))</f>
      </c>
      <c r="D25">
        <f>IF([@Bib]="","",XLOOKUP([@Bib],tblReg[Bib],tblReg[LastName],""))</f>
      </c>
      <c r="E25">
        <f>IF([@Bib]="","",XLOOKUP([@Bib],tblReg[Bib],tblReg[Team],""))</f>
      </c>
      <c r="F25" s="3" t="s">
        <v>22</v>
      </c>
      <c r="G25">
        <f>IF([@StageTime]="","",HOUR([@StageTime])*3600 + MINUTE([@StageTime])*60 + SECOND([@StageTime]))</f>
      </c>
      <c r="H25">
        <f>IF([@StageSeconds]="","",RANK([@StageSeconds],tblStage2[StageSeconds],1))</f>
      </c>
      <c r="I25">
        <f>IF([@Position]="",0,XLOOKUP([@Position],Config!tblBonus[Place],Config!tblBonus[Stage2BonusSec],0))</f>
      </c>
      <c r="J25">
        <f>IF([@StageSeconds]="","",[@StageSeconds]-[@BonusSeconds])</f>
      </c>
      <c r="K25" s="3">
        <f>IF([@NetSeconds]="","",[@NetSeconds]/86400)</f>
      </c>
    </row>
    <row r="26" spans="1:11" x14ac:dyDescent="0.25">
      <c r="A26" t="s">
        <v>22</v>
      </c>
      <c r="B26">
        <f>IF([@Bib]="","",XLOOKUP([@Bib],tblReg[Bib],tblReg[Field],""))</f>
      </c>
      <c r="C26">
        <f>IF([@Bib]="","",XLOOKUP([@Bib],tblReg[Bib],tblReg[FirstName],""))</f>
      </c>
      <c r="D26">
        <f>IF([@Bib]="","",XLOOKUP([@Bib],tblReg[Bib],tblReg[LastName],""))</f>
      </c>
      <c r="E26">
        <f>IF([@Bib]="","",XLOOKUP([@Bib],tblReg[Bib],tblReg[Team],""))</f>
      </c>
      <c r="F26" s="3" t="s">
        <v>22</v>
      </c>
      <c r="G26">
        <f>IF([@StageTime]="","",HOUR([@StageTime])*3600 + MINUTE([@StageTime])*60 + SECOND([@StageTime]))</f>
      </c>
      <c r="H26">
        <f>IF([@StageSeconds]="","",RANK([@StageSeconds],tblStage2[StageSeconds],1))</f>
      </c>
      <c r="I26">
        <f>IF([@Position]="",0,XLOOKUP([@Position],Config!tblBonus[Place],Config!tblBonus[Stage2BonusSec],0))</f>
      </c>
      <c r="J26">
        <f>IF([@StageSeconds]="","",[@StageSeconds]-[@BonusSeconds])</f>
      </c>
      <c r="K26" s="3">
        <f>IF([@NetSeconds]="","",[@NetSeconds]/86400)</f>
      </c>
    </row>
    <row r="27" spans="1:11" x14ac:dyDescent="0.25">
      <c r="A27" t="s">
        <v>22</v>
      </c>
      <c r="B27">
        <f>IF([@Bib]="","",XLOOKUP([@Bib],tblReg[Bib],tblReg[Field],""))</f>
      </c>
      <c r="C27">
        <f>IF([@Bib]="","",XLOOKUP([@Bib],tblReg[Bib],tblReg[FirstName],""))</f>
      </c>
      <c r="D27">
        <f>IF([@Bib]="","",XLOOKUP([@Bib],tblReg[Bib],tblReg[LastName],""))</f>
      </c>
      <c r="E27">
        <f>IF([@Bib]="","",XLOOKUP([@Bib],tblReg[Bib],tblReg[Team],""))</f>
      </c>
      <c r="F27" s="3" t="s">
        <v>22</v>
      </c>
      <c r="G27">
        <f>IF([@StageTime]="","",HOUR([@StageTime])*3600 + MINUTE([@StageTime])*60 + SECOND([@StageTime]))</f>
      </c>
      <c r="H27">
        <f>IF([@StageSeconds]="","",RANK([@StageSeconds],tblStage2[StageSeconds],1))</f>
      </c>
      <c r="I27">
        <f>IF([@Position]="",0,XLOOKUP([@Position],Config!tblBonus[Place],Config!tblBonus[Stage2BonusSec],0))</f>
      </c>
      <c r="J27">
        <f>IF([@StageSeconds]="","",[@StageSeconds]-[@BonusSeconds])</f>
      </c>
      <c r="K27" s="3">
        <f>IF([@NetSeconds]="","",[@NetSeconds]/86400)</f>
      </c>
    </row>
    <row r="28" spans="1:11" x14ac:dyDescent="0.25">
      <c r="A28" t="s">
        <v>22</v>
      </c>
      <c r="B28">
        <f>IF([@Bib]="","",XLOOKUP([@Bib],tblReg[Bib],tblReg[Field],""))</f>
      </c>
      <c r="C28">
        <f>IF([@Bib]="","",XLOOKUP([@Bib],tblReg[Bib],tblReg[FirstName],""))</f>
      </c>
      <c r="D28">
        <f>IF([@Bib]="","",XLOOKUP([@Bib],tblReg[Bib],tblReg[LastName],""))</f>
      </c>
      <c r="E28">
        <f>IF([@Bib]="","",XLOOKUP([@Bib],tblReg[Bib],tblReg[Team],""))</f>
      </c>
      <c r="F28" s="3" t="s">
        <v>22</v>
      </c>
      <c r="G28">
        <f>IF([@StageTime]="","",HOUR([@StageTime])*3600 + MINUTE([@StageTime])*60 + SECOND([@StageTime]))</f>
      </c>
      <c r="H28">
        <f>IF([@StageSeconds]="","",RANK([@StageSeconds],tblStage2[StageSeconds],1))</f>
      </c>
      <c r="I28">
        <f>IF([@Position]="",0,XLOOKUP([@Position],Config!tblBonus[Place],Config!tblBonus[Stage2BonusSec],0))</f>
      </c>
      <c r="J28">
        <f>IF([@StageSeconds]="","",[@StageSeconds]-[@BonusSeconds])</f>
      </c>
      <c r="K28" s="3">
        <f>IF([@NetSeconds]="","",[@NetSeconds]/86400)</f>
      </c>
    </row>
    <row r="29" spans="1:11" x14ac:dyDescent="0.25">
      <c r="A29" t="s">
        <v>22</v>
      </c>
      <c r="B29">
        <f>IF([@Bib]="","",XLOOKUP([@Bib],tblReg[Bib],tblReg[Field],""))</f>
      </c>
      <c r="C29">
        <f>IF([@Bib]="","",XLOOKUP([@Bib],tblReg[Bib],tblReg[FirstName],""))</f>
      </c>
      <c r="D29">
        <f>IF([@Bib]="","",XLOOKUP([@Bib],tblReg[Bib],tblReg[LastName],""))</f>
      </c>
      <c r="E29">
        <f>IF([@Bib]="","",XLOOKUP([@Bib],tblReg[Bib],tblReg[Team],""))</f>
      </c>
      <c r="F29" s="3" t="s">
        <v>22</v>
      </c>
      <c r="G29">
        <f>IF([@StageTime]="","",HOUR([@StageTime])*3600 + MINUTE([@StageTime])*60 + SECOND([@StageTime]))</f>
      </c>
      <c r="H29">
        <f>IF([@StageSeconds]="","",RANK([@StageSeconds],tblStage2[StageSeconds],1))</f>
      </c>
      <c r="I29">
        <f>IF([@Position]="",0,XLOOKUP([@Position],Config!tblBonus[Place],Config!tblBonus[Stage2BonusSec],0))</f>
      </c>
      <c r="J29">
        <f>IF([@StageSeconds]="","",[@StageSeconds]-[@BonusSeconds])</f>
      </c>
      <c r="K29" s="3">
        <f>IF([@NetSeconds]="","",[@NetSeconds]/86400)</f>
      </c>
    </row>
    <row r="30" spans="1:11" x14ac:dyDescent="0.25">
      <c r="A30" t="s">
        <v>22</v>
      </c>
      <c r="B30">
        <f>IF([@Bib]="","",XLOOKUP([@Bib],tblReg[Bib],tblReg[Field],""))</f>
      </c>
      <c r="C30">
        <f>IF([@Bib]="","",XLOOKUP([@Bib],tblReg[Bib],tblReg[FirstName],""))</f>
      </c>
      <c r="D30">
        <f>IF([@Bib]="","",XLOOKUP([@Bib],tblReg[Bib],tblReg[LastName],""))</f>
      </c>
      <c r="E30">
        <f>IF([@Bib]="","",XLOOKUP([@Bib],tblReg[Bib],tblReg[Team],""))</f>
      </c>
      <c r="F30" s="3" t="s">
        <v>22</v>
      </c>
      <c r="G30">
        <f>IF([@StageTime]="","",HOUR([@StageTime])*3600 + MINUTE([@StageTime])*60 + SECOND([@StageTime]))</f>
      </c>
      <c r="H30">
        <f>IF([@StageSeconds]="","",RANK([@StageSeconds],tblStage2[StageSeconds],1))</f>
      </c>
      <c r="I30">
        <f>IF([@Position]="",0,XLOOKUP([@Position],Config!tblBonus[Place],Config!tblBonus[Stage2BonusSec],0))</f>
      </c>
      <c r="J30">
        <f>IF([@StageSeconds]="","",[@StageSeconds]-[@BonusSeconds])</f>
      </c>
      <c r="K30" s="3">
        <f>IF([@NetSeconds]="","",[@NetSeconds]/86400)</f>
      </c>
    </row>
    <row r="31" spans="1:11" x14ac:dyDescent="0.25">
      <c r="A31" t="s">
        <v>22</v>
      </c>
      <c r="B31">
        <f>IF([@Bib]="","",XLOOKUP([@Bib],tblReg[Bib],tblReg[Field],""))</f>
      </c>
      <c r="C31">
        <f>IF([@Bib]="","",XLOOKUP([@Bib],tblReg[Bib],tblReg[FirstName],""))</f>
      </c>
      <c r="D31">
        <f>IF([@Bib]="","",XLOOKUP([@Bib],tblReg[Bib],tblReg[LastName],""))</f>
      </c>
      <c r="E31">
        <f>IF([@Bib]="","",XLOOKUP([@Bib],tblReg[Bib],tblReg[Team],""))</f>
      </c>
      <c r="F31" s="3" t="s">
        <v>22</v>
      </c>
      <c r="G31">
        <f>IF([@StageTime]="","",HOUR([@StageTime])*3600 + MINUTE([@StageTime])*60 + SECOND([@StageTime]))</f>
      </c>
      <c r="H31">
        <f>IF([@StageSeconds]="","",RANK([@StageSeconds],tblStage2[StageSeconds],1))</f>
      </c>
      <c r="I31">
        <f>IF([@Position]="",0,XLOOKUP([@Position],Config!tblBonus[Place],Config!tblBonus[Stage2BonusSec],0))</f>
      </c>
      <c r="J31">
        <f>IF([@StageSeconds]="","",[@StageSeconds]-[@BonusSeconds])</f>
      </c>
      <c r="K31" s="3">
        <f>IF([@NetSeconds]="","",[@NetSeconds]/86400)</f>
      </c>
    </row>
    <row r="32" spans="1:11" x14ac:dyDescent="0.25">
      <c r="A32" t="s">
        <v>22</v>
      </c>
      <c r="B32">
        <f>IF([@Bib]="","",XLOOKUP([@Bib],tblReg[Bib],tblReg[Field],""))</f>
      </c>
      <c r="C32">
        <f>IF([@Bib]="","",XLOOKUP([@Bib],tblReg[Bib],tblReg[FirstName],""))</f>
      </c>
      <c r="D32">
        <f>IF([@Bib]="","",XLOOKUP([@Bib],tblReg[Bib],tblReg[LastName],""))</f>
      </c>
      <c r="E32">
        <f>IF([@Bib]="","",XLOOKUP([@Bib],tblReg[Bib],tblReg[Team],""))</f>
      </c>
      <c r="F32" s="3" t="s">
        <v>22</v>
      </c>
      <c r="G32">
        <f>IF([@StageTime]="","",HOUR([@StageTime])*3600 + MINUTE([@StageTime])*60 + SECOND([@StageTime]))</f>
      </c>
      <c r="H32">
        <f>IF([@StageSeconds]="","",RANK([@StageSeconds],tblStage2[StageSeconds],1))</f>
      </c>
      <c r="I32">
        <f>IF([@Position]="",0,XLOOKUP([@Position],Config!tblBonus[Place],Config!tblBonus[Stage2BonusSec],0))</f>
      </c>
      <c r="J32">
        <f>IF([@StageSeconds]="","",[@StageSeconds]-[@BonusSeconds])</f>
      </c>
      <c r="K32" s="3">
        <f>IF([@NetSeconds]="","",[@NetSeconds]/86400)</f>
      </c>
    </row>
    <row r="33" spans="1:11" x14ac:dyDescent="0.25">
      <c r="A33" t="s">
        <v>22</v>
      </c>
      <c r="B33">
        <f>IF([@Bib]="","",XLOOKUP([@Bib],tblReg[Bib],tblReg[Field],""))</f>
      </c>
      <c r="C33">
        <f>IF([@Bib]="","",XLOOKUP([@Bib],tblReg[Bib],tblReg[FirstName],""))</f>
      </c>
      <c r="D33">
        <f>IF([@Bib]="","",XLOOKUP([@Bib],tblReg[Bib],tblReg[LastName],""))</f>
      </c>
      <c r="E33">
        <f>IF([@Bib]="","",XLOOKUP([@Bib],tblReg[Bib],tblReg[Team],""))</f>
      </c>
      <c r="F33" s="3" t="s">
        <v>22</v>
      </c>
      <c r="G33">
        <f>IF([@StageTime]="","",HOUR([@StageTime])*3600 + MINUTE([@StageTime])*60 + SECOND([@StageTime]))</f>
      </c>
      <c r="H33">
        <f>IF([@StageSeconds]="","",RANK([@StageSeconds],tblStage2[StageSeconds],1))</f>
      </c>
      <c r="I33">
        <f>IF([@Position]="",0,XLOOKUP([@Position],Config!tblBonus[Place],Config!tblBonus[Stage2BonusSec],0))</f>
      </c>
      <c r="J33">
        <f>IF([@StageSeconds]="","",[@StageSeconds]-[@BonusSeconds])</f>
      </c>
      <c r="K33" s="3">
        <f>IF([@NetSeconds]="","",[@NetSeconds]/86400)</f>
      </c>
    </row>
    <row r="34" spans="1:11" x14ac:dyDescent="0.25">
      <c r="A34" t="s">
        <v>22</v>
      </c>
      <c r="B34">
        <f>IF([@Bib]="","",XLOOKUP([@Bib],tblReg[Bib],tblReg[Field],""))</f>
      </c>
      <c r="C34">
        <f>IF([@Bib]="","",XLOOKUP([@Bib],tblReg[Bib],tblReg[FirstName],""))</f>
      </c>
      <c r="D34">
        <f>IF([@Bib]="","",XLOOKUP([@Bib],tblReg[Bib],tblReg[LastName],""))</f>
      </c>
      <c r="E34">
        <f>IF([@Bib]="","",XLOOKUP([@Bib],tblReg[Bib],tblReg[Team],""))</f>
      </c>
      <c r="F34" s="3" t="s">
        <v>22</v>
      </c>
      <c r="G34">
        <f>IF([@StageTime]="","",HOUR([@StageTime])*3600 + MINUTE([@StageTime])*60 + SECOND([@StageTime]))</f>
      </c>
      <c r="H34">
        <f>IF([@StageSeconds]="","",RANK([@StageSeconds],tblStage2[StageSeconds],1))</f>
      </c>
      <c r="I34">
        <f>IF([@Position]="",0,XLOOKUP([@Position],Config!tblBonus[Place],Config!tblBonus[Stage2BonusSec],0))</f>
      </c>
      <c r="J34">
        <f>IF([@StageSeconds]="","",[@StageSeconds]-[@BonusSeconds])</f>
      </c>
      <c r="K34" s="3">
        <f>IF([@NetSeconds]="","",[@NetSeconds]/86400)</f>
      </c>
    </row>
    <row r="35" spans="1:11" x14ac:dyDescent="0.25">
      <c r="A35" t="s">
        <v>22</v>
      </c>
      <c r="B35">
        <f>IF([@Bib]="","",XLOOKUP([@Bib],tblReg[Bib],tblReg[Field],""))</f>
      </c>
      <c r="C35">
        <f>IF([@Bib]="","",XLOOKUP([@Bib],tblReg[Bib],tblReg[FirstName],""))</f>
      </c>
      <c r="D35">
        <f>IF([@Bib]="","",XLOOKUP([@Bib],tblReg[Bib],tblReg[LastName],""))</f>
      </c>
      <c r="E35">
        <f>IF([@Bib]="","",XLOOKUP([@Bib],tblReg[Bib],tblReg[Team],""))</f>
      </c>
      <c r="F35" s="3" t="s">
        <v>22</v>
      </c>
      <c r="G35">
        <f>IF([@StageTime]="","",HOUR([@StageTime])*3600 + MINUTE([@StageTime])*60 + SECOND([@StageTime]))</f>
      </c>
      <c r="H35">
        <f>IF([@StageSeconds]="","",RANK([@StageSeconds],tblStage2[StageSeconds],1))</f>
      </c>
      <c r="I35">
        <f>IF([@Position]="",0,XLOOKUP([@Position],Config!tblBonus[Place],Config!tblBonus[Stage2BonusSec],0))</f>
      </c>
      <c r="J35">
        <f>IF([@StageSeconds]="","",[@StageSeconds]-[@BonusSeconds])</f>
      </c>
      <c r="K35" s="3">
        <f>IF([@NetSeconds]="","",[@NetSeconds]/86400)</f>
      </c>
    </row>
    <row r="36" spans="1:11" x14ac:dyDescent="0.25">
      <c r="A36" t="s">
        <v>22</v>
      </c>
      <c r="B36">
        <f>IF([@Bib]="","",XLOOKUP([@Bib],tblReg[Bib],tblReg[Field],""))</f>
      </c>
      <c r="C36">
        <f>IF([@Bib]="","",XLOOKUP([@Bib],tblReg[Bib],tblReg[FirstName],""))</f>
      </c>
      <c r="D36">
        <f>IF([@Bib]="","",XLOOKUP([@Bib],tblReg[Bib],tblReg[LastName],""))</f>
      </c>
      <c r="E36">
        <f>IF([@Bib]="","",XLOOKUP([@Bib],tblReg[Bib],tblReg[Team],""))</f>
      </c>
      <c r="F36" s="3" t="s">
        <v>22</v>
      </c>
      <c r="G36">
        <f>IF([@StageTime]="","",HOUR([@StageTime])*3600 + MINUTE([@StageTime])*60 + SECOND([@StageTime]))</f>
      </c>
      <c r="H36">
        <f>IF([@StageSeconds]="","",RANK([@StageSeconds],tblStage2[StageSeconds],1))</f>
      </c>
      <c r="I36">
        <f>IF([@Position]="",0,XLOOKUP([@Position],Config!tblBonus[Place],Config!tblBonus[Stage2BonusSec],0))</f>
      </c>
      <c r="J36">
        <f>IF([@StageSeconds]="","",[@StageSeconds]-[@BonusSeconds])</f>
      </c>
      <c r="K36" s="3">
        <f>IF([@NetSeconds]="","",[@NetSeconds]/86400)</f>
      </c>
    </row>
    <row r="37" spans="1:11" x14ac:dyDescent="0.25">
      <c r="A37" t="s">
        <v>22</v>
      </c>
      <c r="B37">
        <f>IF([@Bib]="","",XLOOKUP([@Bib],tblReg[Bib],tblReg[Field],""))</f>
      </c>
      <c r="C37">
        <f>IF([@Bib]="","",XLOOKUP([@Bib],tblReg[Bib],tblReg[FirstName],""))</f>
      </c>
      <c r="D37">
        <f>IF([@Bib]="","",XLOOKUP([@Bib],tblReg[Bib],tblReg[LastName],""))</f>
      </c>
      <c r="E37">
        <f>IF([@Bib]="","",XLOOKUP([@Bib],tblReg[Bib],tblReg[Team],""))</f>
      </c>
      <c r="F37" s="3" t="s">
        <v>22</v>
      </c>
      <c r="G37">
        <f>IF([@StageTime]="","",HOUR([@StageTime])*3600 + MINUTE([@StageTime])*60 + SECOND([@StageTime]))</f>
      </c>
      <c r="H37">
        <f>IF([@StageSeconds]="","",RANK([@StageSeconds],tblStage2[StageSeconds],1))</f>
      </c>
      <c r="I37">
        <f>IF([@Position]="",0,XLOOKUP([@Position],Config!tblBonus[Place],Config!tblBonus[Stage2BonusSec],0))</f>
      </c>
      <c r="J37">
        <f>IF([@StageSeconds]="","",[@StageSeconds]-[@BonusSeconds])</f>
      </c>
      <c r="K37" s="3">
        <f>IF([@NetSeconds]="","",[@NetSeconds]/86400)</f>
      </c>
    </row>
    <row r="38" spans="1:11" x14ac:dyDescent="0.25">
      <c r="A38" t="s">
        <v>22</v>
      </c>
      <c r="B38">
        <f>IF([@Bib]="","",XLOOKUP([@Bib],tblReg[Bib],tblReg[Field],""))</f>
      </c>
      <c r="C38">
        <f>IF([@Bib]="","",XLOOKUP([@Bib],tblReg[Bib],tblReg[FirstName],""))</f>
      </c>
      <c r="D38">
        <f>IF([@Bib]="","",XLOOKUP([@Bib],tblReg[Bib],tblReg[LastName],""))</f>
      </c>
      <c r="E38">
        <f>IF([@Bib]="","",XLOOKUP([@Bib],tblReg[Bib],tblReg[Team],""))</f>
      </c>
      <c r="F38" s="3" t="s">
        <v>22</v>
      </c>
      <c r="G38">
        <f>IF([@StageTime]="","",HOUR([@StageTime])*3600 + MINUTE([@StageTime])*60 + SECOND([@StageTime]))</f>
      </c>
      <c r="H38">
        <f>IF([@StageSeconds]="","",RANK([@StageSeconds],tblStage2[StageSeconds],1))</f>
      </c>
      <c r="I38">
        <f>IF([@Position]="",0,XLOOKUP([@Position],Config!tblBonus[Place],Config!tblBonus[Stage2BonusSec],0))</f>
      </c>
      <c r="J38">
        <f>IF([@StageSeconds]="","",[@StageSeconds]-[@BonusSeconds])</f>
      </c>
      <c r="K38" s="3">
        <f>IF([@NetSeconds]="","",[@NetSeconds]/86400)</f>
      </c>
    </row>
    <row r="39" spans="1:11" x14ac:dyDescent="0.25">
      <c r="A39" t="s">
        <v>22</v>
      </c>
      <c r="B39">
        <f>IF([@Bib]="","",XLOOKUP([@Bib],tblReg[Bib],tblReg[Field],""))</f>
      </c>
      <c r="C39">
        <f>IF([@Bib]="","",XLOOKUP([@Bib],tblReg[Bib],tblReg[FirstName],""))</f>
      </c>
      <c r="D39">
        <f>IF([@Bib]="","",XLOOKUP([@Bib],tblReg[Bib],tblReg[LastName],""))</f>
      </c>
      <c r="E39">
        <f>IF([@Bib]="","",XLOOKUP([@Bib],tblReg[Bib],tblReg[Team],""))</f>
      </c>
      <c r="F39" s="3" t="s">
        <v>22</v>
      </c>
      <c r="G39">
        <f>IF([@StageTime]="","",HOUR([@StageTime])*3600 + MINUTE([@StageTime])*60 + SECOND([@StageTime]))</f>
      </c>
      <c r="H39">
        <f>IF([@StageSeconds]="","",RANK([@StageSeconds],tblStage2[StageSeconds],1))</f>
      </c>
      <c r="I39">
        <f>IF([@Position]="",0,XLOOKUP([@Position],Config!tblBonus[Place],Config!tblBonus[Stage2BonusSec],0))</f>
      </c>
      <c r="J39">
        <f>IF([@StageSeconds]="","",[@StageSeconds]-[@BonusSeconds])</f>
      </c>
      <c r="K39" s="3">
        <f>IF([@NetSeconds]="","",[@NetSeconds]/86400)</f>
      </c>
    </row>
    <row r="40" spans="1:11" x14ac:dyDescent="0.25">
      <c r="A40" t="s">
        <v>22</v>
      </c>
      <c r="B40">
        <f>IF([@Bib]="","",XLOOKUP([@Bib],tblReg[Bib],tblReg[Field],""))</f>
      </c>
      <c r="C40">
        <f>IF([@Bib]="","",XLOOKUP([@Bib],tblReg[Bib],tblReg[FirstName],""))</f>
      </c>
      <c r="D40">
        <f>IF([@Bib]="","",XLOOKUP([@Bib],tblReg[Bib],tblReg[LastName],""))</f>
      </c>
      <c r="E40">
        <f>IF([@Bib]="","",XLOOKUP([@Bib],tblReg[Bib],tblReg[Team],""))</f>
      </c>
      <c r="F40" s="3" t="s">
        <v>22</v>
      </c>
      <c r="G40">
        <f>IF([@StageTime]="","",HOUR([@StageTime])*3600 + MINUTE([@StageTime])*60 + SECOND([@StageTime]))</f>
      </c>
      <c r="H40">
        <f>IF([@StageSeconds]="","",RANK([@StageSeconds],tblStage2[StageSeconds],1))</f>
      </c>
      <c r="I40">
        <f>IF([@Position]="",0,XLOOKUP([@Position],Config!tblBonus[Place],Config!tblBonus[Stage2BonusSec],0))</f>
      </c>
      <c r="J40">
        <f>IF([@StageSeconds]="","",[@StageSeconds]-[@BonusSeconds])</f>
      </c>
      <c r="K40" s="3">
        <f>IF([@NetSeconds]="","",[@NetSeconds]/86400)</f>
      </c>
    </row>
    <row r="41" spans="1:11" x14ac:dyDescent="0.25">
      <c r="A41" t="s">
        <v>22</v>
      </c>
      <c r="B41">
        <f>IF([@Bib]="","",XLOOKUP([@Bib],tblReg[Bib],tblReg[Field],""))</f>
      </c>
      <c r="C41">
        <f>IF([@Bib]="","",XLOOKUP([@Bib],tblReg[Bib],tblReg[FirstName],""))</f>
      </c>
      <c r="D41">
        <f>IF([@Bib]="","",XLOOKUP([@Bib],tblReg[Bib],tblReg[LastName],""))</f>
      </c>
      <c r="E41">
        <f>IF([@Bib]="","",XLOOKUP([@Bib],tblReg[Bib],tblReg[Team],""))</f>
      </c>
      <c r="F41" s="3" t="s">
        <v>22</v>
      </c>
      <c r="G41">
        <f>IF([@StageTime]="","",HOUR([@StageTime])*3600 + MINUTE([@StageTime])*60 + SECOND([@StageTime]))</f>
      </c>
      <c r="H41">
        <f>IF([@StageSeconds]="","",RANK([@StageSeconds],tblStage2[StageSeconds],1))</f>
      </c>
      <c r="I41">
        <f>IF([@Position]="",0,XLOOKUP([@Position],Config!tblBonus[Place],Config!tblBonus[Stage2BonusSec],0))</f>
      </c>
      <c r="J41">
        <f>IF([@StageSeconds]="","",[@StageSeconds]-[@BonusSeconds])</f>
      </c>
      <c r="K41" s="3">
        <f>IF([@NetSeconds]="","",[@NetSeconds]/86400)</f>
      </c>
    </row>
    <row r="42" spans="1:11" x14ac:dyDescent="0.25">
      <c r="A42" t="s">
        <v>22</v>
      </c>
      <c r="B42">
        <f>IF([@Bib]="","",XLOOKUP([@Bib],tblReg[Bib],tblReg[Field],""))</f>
      </c>
      <c r="C42">
        <f>IF([@Bib]="","",XLOOKUP([@Bib],tblReg[Bib],tblReg[FirstName],""))</f>
      </c>
      <c r="D42">
        <f>IF([@Bib]="","",XLOOKUP([@Bib],tblReg[Bib],tblReg[LastName],""))</f>
      </c>
      <c r="E42">
        <f>IF([@Bib]="","",XLOOKUP([@Bib],tblReg[Bib],tblReg[Team],""))</f>
      </c>
      <c r="F42" s="3" t="s">
        <v>22</v>
      </c>
      <c r="G42">
        <f>IF([@StageTime]="","",HOUR([@StageTime])*3600 + MINUTE([@StageTime])*60 + SECOND([@StageTime]))</f>
      </c>
      <c r="H42">
        <f>IF([@StageSeconds]="","",RANK([@StageSeconds],tblStage2[StageSeconds],1))</f>
      </c>
      <c r="I42">
        <f>IF([@Position]="",0,XLOOKUP([@Position],Config!tblBonus[Place],Config!tblBonus[Stage2BonusSec],0))</f>
      </c>
      <c r="J42">
        <f>IF([@StageSeconds]="","",[@StageSeconds]-[@BonusSeconds])</f>
      </c>
      <c r="K42" s="3">
        <f>IF([@NetSeconds]="","",[@NetSeconds]/86400)</f>
      </c>
    </row>
    <row r="43" spans="1:11" x14ac:dyDescent="0.25">
      <c r="A43" t="s">
        <v>22</v>
      </c>
      <c r="B43">
        <f>IF([@Bib]="","",XLOOKUP([@Bib],tblReg[Bib],tblReg[Field],""))</f>
      </c>
      <c r="C43">
        <f>IF([@Bib]="","",XLOOKUP([@Bib],tblReg[Bib],tblReg[FirstName],""))</f>
      </c>
      <c r="D43">
        <f>IF([@Bib]="","",XLOOKUP([@Bib],tblReg[Bib],tblReg[LastName],""))</f>
      </c>
      <c r="E43">
        <f>IF([@Bib]="","",XLOOKUP([@Bib],tblReg[Bib],tblReg[Team],""))</f>
      </c>
      <c r="F43" s="3" t="s">
        <v>22</v>
      </c>
      <c r="G43">
        <f>IF([@StageTime]="","",HOUR([@StageTime])*3600 + MINUTE([@StageTime])*60 + SECOND([@StageTime]))</f>
      </c>
      <c r="H43">
        <f>IF([@StageSeconds]="","",RANK([@StageSeconds],tblStage2[StageSeconds],1))</f>
      </c>
      <c r="I43">
        <f>IF([@Position]="",0,XLOOKUP([@Position],Config!tblBonus[Place],Config!tblBonus[Stage2BonusSec],0))</f>
      </c>
      <c r="J43">
        <f>IF([@StageSeconds]="","",[@StageSeconds]-[@BonusSeconds])</f>
      </c>
      <c r="K43" s="3">
        <f>IF([@NetSeconds]="","",[@NetSeconds]/86400)</f>
      </c>
    </row>
    <row r="44" spans="1:11" x14ac:dyDescent="0.25">
      <c r="A44" t="s">
        <v>22</v>
      </c>
      <c r="B44">
        <f>IF([@Bib]="","",XLOOKUP([@Bib],tblReg[Bib],tblReg[Field],""))</f>
      </c>
      <c r="C44">
        <f>IF([@Bib]="","",XLOOKUP([@Bib],tblReg[Bib],tblReg[FirstName],""))</f>
      </c>
      <c r="D44">
        <f>IF([@Bib]="","",XLOOKUP([@Bib],tblReg[Bib],tblReg[LastName],""))</f>
      </c>
      <c r="E44">
        <f>IF([@Bib]="","",XLOOKUP([@Bib],tblReg[Bib],tblReg[Team],""))</f>
      </c>
      <c r="F44" s="3" t="s">
        <v>22</v>
      </c>
      <c r="G44">
        <f>IF([@StageTime]="","",HOUR([@StageTime])*3600 + MINUTE([@StageTime])*60 + SECOND([@StageTime]))</f>
      </c>
      <c r="H44">
        <f>IF([@StageSeconds]="","",RANK([@StageSeconds],tblStage2[StageSeconds],1))</f>
      </c>
      <c r="I44">
        <f>IF([@Position]="",0,XLOOKUP([@Position],Config!tblBonus[Place],Config!tblBonus[Stage2BonusSec],0))</f>
      </c>
      <c r="J44">
        <f>IF([@StageSeconds]="","",[@StageSeconds]-[@BonusSeconds])</f>
      </c>
      <c r="K44" s="3">
        <f>IF([@NetSeconds]="","",[@NetSeconds]/86400)</f>
      </c>
    </row>
    <row r="45" spans="1:11" x14ac:dyDescent="0.25">
      <c r="A45" t="s">
        <v>22</v>
      </c>
      <c r="B45">
        <f>IF([@Bib]="","",XLOOKUP([@Bib],tblReg[Bib],tblReg[Field],""))</f>
      </c>
      <c r="C45">
        <f>IF([@Bib]="","",XLOOKUP([@Bib],tblReg[Bib],tblReg[FirstName],""))</f>
      </c>
      <c r="D45">
        <f>IF([@Bib]="","",XLOOKUP([@Bib],tblReg[Bib],tblReg[LastName],""))</f>
      </c>
      <c r="E45">
        <f>IF([@Bib]="","",XLOOKUP([@Bib],tblReg[Bib],tblReg[Team],""))</f>
      </c>
      <c r="F45" s="3" t="s">
        <v>22</v>
      </c>
      <c r="G45">
        <f>IF([@StageTime]="","",HOUR([@StageTime])*3600 + MINUTE([@StageTime])*60 + SECOND([@StageTime]))</f>
      </c>
      <c r="H45">
        <f>IF([@StageSeconds]="","",RANK([@StageSeconds],tblStage2[StageSeconds],1))</f>
      </c>
      <c r="I45">
        <f>IF([@Position]="",0,XLOOKUP([@Position],Config!tblBonus[Place],Config!tblBonus[Stage2BonusSec],0))</f>
      </c>
      <c r="J45">
        <f>IF([@StageSeconds]="","",[@StageSeconds]-[@BonusSeconds])</f>
      </c>
      <c r="K45" s="3">
        <f>IF([@NetSeconds]="","",[@NetSeconds]/86400)</f>
      </c>
    </row>
    <row r="46" spans="1:11" x14ac:dyDescent="0.25">
      <c r="A46" t="s">
        <v>22</v>
      </c>
      <c r="B46">
        <f>IF([@Bib]="","",XLOOKUP([@Bib],tblReg[Bib],tblReg[Field],""))</f>
      </c>
      <c r="C46">
        <f>IF([@Bib]="","",XLOOKUP([@Bib],tblReg[Bib],tblReg[FirstName],""))</f>
      </c>
      <c r="D46">
        <f>IF([@Bib]="","",XLOOKUP([@Bib],tblReg[Bib],tblReg[LastName],""))</f>
      </c>
      <c r="E46">
        <f>IF([@Bib]="","",XLOOKUP([@Bib],tblReg[Bib],tblReg[Team],""))</f>
      </c>
      <c r="F46" s="3" t="s">
        <v>22</v>
      </c>
      <c r="G46">
        <f>IF([@StageTime]="","",HOUR([@StageTime])*3600 + MINUTE([@StageTime])*60 + SECOND([@StageTime]))</f>
      </c>
      <c r="H46">
        <f>IF([@StageSeconds]="","",RANK([@StageSeconds],tblStage2[StageSeconds],1))</f>
      </c>
      <c r="I46">
        <f>IF([@Position]="",0,XLOOKUP([@Position],Config!tblBonus[Place],Config!tblBonus[Stage2BonusSec],0))</f>
      </c>
      <c r="J46">
        <f>IF([@StageSeconds]="","",[@StageSeconds]-[@BonusSeconds])</f>
      </c>
      <c r="K46" s="3">
        <f>IF([@NetSeconds]="","",[@NetSeconds]/86400)</f>
      </c>
    </row>
    <row r="47" spans="1:11" x14ac:dyDescent="0.25">
      <c r="A47" t="s">
        <v>22</v>
      </c>
      <c r="B47">
        <f>IF([@Bib]="","",XLOOKUP([@Bib],tblReg[Bib],tblReg[Field],""))</f>
      </c>
      <c r="C47">
        <f>IF([@Bib]="","",XLOOKUP([@Bib],tblReg[Bib],tblReg[FirstName],""))</f>
      </c>
      <c r="D47">
        <f>IF([@Bib]="","",XLOOKUP([@Bib],tblReg[Bib],tblReg[LastName],""))</f>
      </c>
      <c r="E47">
        <f>IF([@Bib]="","",XLOOKUP([@Bib],tblReg[Bib],tblReg[Team],""))</f>
      </c>
      <c r="F47" s="3" t="s">
        <v>22</v>
      </c>
      <c r="G47">
        <f>IF([@StageTime]="","",HOUR([@StageTime])*3600 + MINUTE([@StageTime])*60 + SECOND([@StageTime]))</f>
      </c>
      <c r="H47">
        <f>IF([@StageSeconds]="","",RANK([@StageSeconds],tblStage2[StageSeconds],1))</f>
      </c>
      <c r="I47">
        <f>IF([@Position]="",0,XLOOKUP([@Position],Config!tblBonus[Place],Config!tblBonus[Stage2BonusSec],0))</f>
      </c>
      <c r="J47">
        <f>IF([@StageSeconds]="","",[@StageSeconds]-[@BonusSeconds])</f>
      </c>
      <c r="K47" s="3">
        <f>IF([@NetSeconds]="","",[@NetSeconds]/86400)</f>
      </c>
    </row>
    <row r="48" spans="1:11" x14ac:dyDescent="0.25">
      <c r="A48" t="s">
        <v>22</v>
      </c>
      <c r="B48">
        <f>IF([@Bib]="","",XLOOKUP([@Bib],tblReg[Bib],tblReg[Field],""))</f>
      </c>
      <c r="C48">
        <f>IF([@Bib]="","",XLOOKUP([@Bib],tblReg[Bib],tblReg[FirstName],""))</f>
      </c>
      <c r="D48">
        <f>IF([@Bib]="","",XLOOKUP([@Bib],tblReg[Bib],tblReg[LastName],""))</f>
      </c>
      <c r="E48">
        <f>IF([@Bib]="","",XLOOKUP([@Bib],tblReg[Bib],tblReg[Team],""))</f>
      </c>
      <c r="F48" s="3" t="s">
        <v>22</v>
      </c>
      <c r="G48">
        <f>IF([@StageTime]="","",HOUR([@StageTime])*3600 + MINUTE([@StageTime])*60 + SECOND([@StageTime]))</f>
      </c>
      <c r="H48">
        <f>IF([@StageSeconds]="","",RANK([@StageSeconds],tblStage2[StageSeconds],1))</f>
      </c>
      <c r="I48">
        <f>IF([@Position]="",0,XLOOKUP([@Position],Config!tblBonus[Place],Config!tblBonus[Stage2BonusSec],0))</f>
      </c>
      <c r="J48">
        <f>IF([@StageSeconds]="","",[@StageSeconds]-[@BonusSeconds])</f>
      </c>
      <c r="K48" s="3">
        <f>IF([@NetSeconds]="","",[@NetSeconds]/86400)</f>
      </c>
    </row>
    <row r="49" spans="1:11" x14ac:dyDescent="0.25">
      <c r="A49" t="s">
        <v>22</v>
      </c>
      <c r="B49">
        <f>IF([@Bib]="","",XLOOKUP([@Bib],tblReg[Bib],tblReg[Field],""))</f>
      </c>
      <c r="C49">
        <f>IF([@Bib]="","",XLOOKUP([@Bib],tblReg[Bib],tblReg[FirstName],""))</f>
      </c>
      <c r="D49">
        <f>IF([@Bib]="","",XLOOKUP([@Bib],tblReg[Bib],tblReg[LastName],""))</f>
      </c>
      <c r="E49">
        <f>IF([@Bib]="","",XLOOKUP([@Bib],tblReg[Bib],tblReg[Team],""))</f>
      </c>
      <c r="F49" s="3" t="s">
        <v>22</v>
      </c>
      <c r="G49">
        <f>IF([@StageTime]="","",HOUR([@StageTime])*3600 + MINUTE([@StageTime])*60 + SECOND([@StageTime]))</f>
      </c>
      <c r="H49">
        <f>IF([@StageSeconds]="","",RANK([@StageSeconds],tblStage2[StageSeconds],1))</f>
      </c>
      <c r="I49">
        <f>IF([@Position]="",0,XLOOKUP([@Position],Config!tblBonus[Place],Config!tblBonus[Stage2BonusSec],0))</f>
      </c>
      <c r="J49">
        <f>IF([@StageSeconds]="","",[@StageSeconds]-[@BonusSeconds])</f>
      </c>
      <c r="K49" s="3">
        <f>IF([@NetSeconds]="","",[@NetSeconds]/86400)</f>
      </c>
    </row>
    <row r="50" spans="1:11" x14ac:dyDescent="0.25">
      <c r="A50" t="s">
        <v>22</v>
      </c>
      <c r="B50">
        <f>IF([@Bib]="","",XLOOKUP([@Bib],tblReg[Bib],tblReg[Field],""))</f>
      </c>
      <c r="C50">
        <f>IF([@Bib]="","",XLOOKUP([@Bib],tblReg[Bib],tblReg[FirstName],""))</f>
      </c>
      <c r="D50">
        <f>IF([@Bib]="","",XLOOKUP([@Bib],tblReg[Bib],tblReg[LastName],""))</f>
      </c>
      <c r="E50">
        <f>IF([@Bib]="","",XLOOKUP([@Bib],tblReg[Bib],tblReg[Team],""))</f>
      </c>
      <c r="F50" s="3" t="s">
        <v>22</v>
      </c>
      <c r="G50">
        <f>IF([@StageTime]="","",HOUR([@StageTime])*3600 + MINUTE([@StageTime])*60 + SECOND([@StageTime]))</f>
      </c>
      <c r="H50">
        <f>IF([@StageSeconds]="","",RANK([@StageSeconds],tblStage2[StageSeconds],1))</f>
      </c>
      <c r="I50">
        <f>IF([@Position]="",0,XLOOKUP([@Position],Config!tblBonus[Place],Config!tblBonus[Stage2BonusSec],0))</f>
      </c>
      <c r="J50">
        <f>IF([@StageSeconds]="","",[@StageSeconds]-[@BonusSeconds])</f>
      </c>
      <c r="K50" s="3">
        <f>IF([@NetSeconds]="","",[@NetSeconds]/86400)</f>
      </c>
    </row>
    <row r="51" spans="1:11" x14ac:dyDescent="0.25">
      <c r="A51" t="s">
        <v>22</v>
      </c>
      <c r="B51">
        <f>IF([@Bib]="","",XLOOKUP([@Bib],tblReg[Bib],tblReg[Field],""))</f>
      </c>
      <c r="C51">
        <f>IF([@Bib]="","",XLOOKUP([@Bib],tblReg[Bib],tblReg[FirstName],""))</f>
      </c>
      <c r="D51">
        <f>IF([@Bib]="","",XLOOKUP([@Bib],tblReg[Bib],tblReg[LastName],""))</f>
      </c>
      <c r="E51">
        <f>IF([@Bib]="","",XLOOKUP([@Bib],tblReg[Bib],tblReg[Team],""))</f>
      </c>
      <c r="F51" s="3" t="s">
        <v>22</v>
      </c>
      <c r="G51">
        <f>IF([@StageTime]="","",HOUR([@StageTime])*3600 + MINUTE([@StageTime])*60 + SECOND([@StageTime]))</f>
      </c>
      <c r="H51">
        <f>IF([@StageSeconds]="","",RANK([@StageSeconds],tblStage2[StageSeconds],1))</f>
      </c>
      <c r="I51">
        <f>IF([@Position]="",0,XLOOKUP([@Position],Config!tblBonus[Place],Config!tblBonus[Stage2BonusSec],0))</f>
      </c>
      <c r="J51">
        <f>IF([@StageSeconds]="","",[@StageSeconds]-[@BonusSeconds])</f>
      </c>
      <c r="K51" s="3">
        <f>IF([@NetSeconds]="","",[@NetSeconds]/86400)</f>
      </c>
    </row>
    <row r="52" spans="1:11" x14ac:dyDescent="0.25">
      <c r="A52" t="s">
        <v>22</v>
      </c>
      <c r="B52">
        <f>IF([@Bib]="","",XLOOKUP([@Bib],tblReg[Bib],tblReg[Field],""))</f>
      </c>
      <c r="C52">
        <f>IF([@Bib]="","",XLOOKUP([@Bib],tblReg[Bib],tblReg[FirstName],""))</f>
      </c>
      <c r="D52">
        <f>IF([@Bib]="","",XLOOKUP([@Bib],tblReg[Bib],tblReg[LastName],""))</f>
      </c>
      <c r="E52">
        <f>IF([@Bib]="","",XLOOKUP([@Bib],tblReg[Bib],tblReg[Team],""))</f>
      </c>
      <c r="F52" s="3" t="s">
        <v>22</v>
      </c>
      <c r="G52">
        <f>IF([@StageTime]="","",HOUR([@StageTime])*3600 + MINUTE([@StageTime])*60 + SECOND([@StageTime]))</f>
      </c>
      <c r="H52">
        <f>IF([@StageSeconds]="","",RANK([@StageSeconds],tblStage2[StageSeconds],1))</f>
      </c>
      <c r="I52">
        <f>IF([@Position]="",0,XLOOKUP([@Position],Config!tblBonus[Place],Config!tblBonus[Stage2BonusSec],0))</f>
      </c>
      <c r="J52">
        <f>IF([@StageSeconds]="","",[@StageSeconds]-[@BonusSeconds])</f>
      </c>
      <c r="K52" s="3">
        <f>IF([@NetSeconds]="","",[@NetSeconds]/86400)</f>
      </c>
    </row>
    <row r="53" spans="1:11" x14ac:dyDescent="0.25">
      <c r="A53" t="s">
        <v>22</v>
      </c>
      <c r="B53">
        <f>IF([@Bib]="","",XLOOKUP([@Bib],tblReg[Bib],tblReg[Field],""))</f>
      </c>
      <c r="C53">
        <f>IF([@Bib]="","",XLOOKUP([@Bib],tblReg[Bib],tblReg[FirstName],""))</f>
      </c>
      <c r="D53">
        <f>IF([@Bib]="","",XLOOKUP([@Bib],tblReg[Bib],tblReg[LastName],""))</f>
      </c>
      <c r="E53">
        <f>IF([@Bib]="","",XLOOKUP([@Bib],tblReg[Bib],tblReg[Team],""))</f>
      </c>
      <c r="F53" s="3" t="s">
        <v>22</v>
      </c>
      <c r="G53">
        <f>IF([@StageTime]="","",HOUR([@StageTime])*3600 + MINUTE([@StageTime])*60 + SECOND([@StageTime]))</f>
      </c>
      <c r="H53">
        <f>IF([@StageSeconds]="","",RANK([@StageSeconds],tblStage2[StageSeconds],1))</f>
      </c>
      <c r="I53">
        <f>IF([@Position]="",0,XLOOKUP([@Position],Config!tblBonus[Place],Config!tblBonus[Stage2BonusSec],0))</f>
      </c>
      <c r="J53">
        <f>IF([@StageSeconds]="","",[@StageSeconds]-[@BonusSeconds])</f>
      </c>
      <c r="K53" s="3">
        <f>IF([@NetSeconds]="","",[@NetSeconds]/86400)</f>
      </c>
    </row>
    <row r="54" spans="1:11" x14ac:dyDescent="0.25">
      <c r="A54" t="s">
        <v>22</v>
      </c>
      <c r="B54">
        <f>IF([@Bib]="","",XLOOKUP([@Bib],tblReg[Bib],tblReg[Field],""))</f>
      </c>
      <c r="C54">
        <f>IF([@Bib]="","",XLOOKUP([@Bib],tblReg[Bib],tblReg[FirstName],""))</f>
      </c>
      <c r="D54">
        <f>IF([@Bib]="","",XLOOKUP([@Bib],tblReg[Bib],tblReg[LastName],""))</f>
      </c>
      <c r="E54">
        <f>IF([@Bib]="","",XLOOKUP([@Bib],tblReg[Bib],tblReg[Team],""))</f>
      </c>
      <c r="F54" s="3" t="s">
        <v>22</v>
      </c>
      <c r="G54">
        <f>IF([@StageTime]="","",HOUR([@StageTime])*3600 + MINUTE([@StageTime])*60 + SECOND([@StageTime]))</f>
      </c>
      <c r="H54">
        <f>IF([@StageSeconds]="","",RANK([@StageSeconds],tblStage2[StageSeconds],1))</f>
      </c>
      <c r="I54">
        <f>IF([@Position]="",0,XLOOKUP([@Position],Config!tblBonus[Place],Config!tblBonus[Stage2BonusSec],0))</f>
      </c>
      <c r="J54">
        <f>IF([@StageSeconds]="","",[@StageSeconds]-[@BonusSeconds])</f>
      </c>
      <c r="K54" s="3">
        <f>IF([@NetSeconds]="","",[@NetSeconds]/86400)</f>
      </c>
    </row>
    <row r="55" spans="1:11" x14ac:dyDescent="0.25">
      <c r="A55" t="s">
        <v>22</v>
      </c>
      <c r="B55">
        <f>IF([@Bib]="","",XLOOKUP([@Bib],tblReg[Bib],tblReg[Field],""))</f>
      </c>
      <c r="C55">
        <f>IF([@Bib]="","",XLOOKUP([@Bib],tblReg[Bib],tblReg[FirstName],""))</f>
      </c>
      <c r="D55">
        <f>IF([@Bib]="","",XLOOKUP([@Bib],tblReg[Bib],tblReg[LastName],""))</f>
      </c>
      <c r="E55">
        <f>IF([@Bib]="","",XLOOKUP([@Bib],tblReg[Bib],tblReg[Team],""))</f>
      </c>
      <c r="F55" s="3" t="s">
        <v>22</v>
      </c>
      <c r="G55">
        <f>IF([@StageTime]="","",HOUR([@StageTime])*3600 + MINUTE([@StageTime])*60 + SECOND([@StageTime]))</f>
      </c>
      <c r="H55">
        <f>IF([@StageSeconds]="","",RANK([@StageSeconds],tblStage2[StageSeconds],1))</f>
      </c>
      <c r="I55">
        <f>IF([@Position]="",0,XLOOKUP([@Position],Config!tblBonus[Place],Config!tblBonus[Stage2BonusSec],0))</f>
      </c>
      <c r="J55">
        <f>IF([@StageSeconds]="","",[@StageSeconds]-[@BonusSeconds])</f>
      </c>
      <c r="K55" s="3">
        <f>IF([@NetSeconds]="","",[@NetSeconds]/86400)</f>
      </c>
    </row>
    <row r="56" spans="1:11" x14ac:dyDescent="0.25">
      <c r="A56" t="s">
        <v>22</v>
      </c>
      <c r="B56">
        <f>IF([@Bib]="","",XLOOKUP([@Bib],tblReg[Bib],tblReg[Field],""))</f>
      </c>
      <c r="C56">
        <f>IF([@Bib]="","",XLOOKUP([@Bib],tblReg[Bib],tblReg[FirstName],""))</f>
      </c>
      <c r="D56">
        <f>IF([@Bib]="","",XLOOKUP([@Bib],tblReg[Bib],tblReg[LastName],""))</f>
      </c>
      <c r="E56">
        <f>IF([@Bib]="","",XLOOKUP([@Bib],tblReg[Bib],tblReg[Team],""))</f>
      </c>
      <c r="F56" s="3" t="s">
        <v>22</v>
      </c>
      <c r="G56">
        <f>IF([@StageTime]="","",HOUR([@StageTime])*3600 + MINUTE([@StageTime])*60 + SECOND([@StageTime]))</f>
      </c>
      <c r="H56">
        <f>IF([@StageSeconds]="","",RANK([@StageSeconds],tblStage2[StageSeconds],1))</f>
      </c>
      <c r="I56">
        <f>IF([@Position]="",0,XLOOKUP([@Position],Config!tblBonus[Place],Config!tblBonus[Stage2BonusSec],0))</f>
      </c>
      <c r="J56">
        <f>IF([@StageSeconds]="","",[@StageSeconds]-[@BonusSeconds])</f>
      </c>
      <c r="K56" s="3">
        <f>IF([@NetSeconds]="","",[@NetSeconds]/86400)</f>
      </c>
    </row>
    <row r="57" spans="1:11" x14ac:dyDescent="0.25">
      <c r="A57" t="s">
        <v>22</v>
      </c>
      <c r="B57">
        <f>IF([@Bib]="","",XLOOKUP([@Bib],tblReg[Bib],tblReg[Field],""))</f>
      </c>
      <c r="C57">
        <f>IF([@Bib]="","",XLOOKUP([@Bib],tblReg[Bib],tblReg[FirstName],""))</f>
      </c>
      <c r="D57">
        <f>IF([@Bib]="","",XLOOKUP([@Bib],tblReg[Bib],tblReg[LastName],""))</f>
      </c>
      <c r="E57">
        <f>IF([@Bib]="","",XLOOKUP([@Bib],tblReg[Bib],tblReg[Team],""))</f>
      </c>
      <c r="F57" s="3" t="s">
        <v>22</v>
      </c>
      <c r="G57">
        <f>IF([@StageTime]="","",HOUR([@StageTime])*3600 + MINUTE([@StageTime])*60 + SECOND([@StageTime]))</f>
      </c>
      <c r="H57">
        <f>IF([@StageSeconds]="","",RANK([@StageSeconds],tblStage2[StageSeconds],1))</f>
      </c>
      <c r="I57">
        <f>IF([@Position]="",0,XLOOKUP([@Position],Config!tblBonus[Place],Config!tblBonus[Stage2BonusSec],0))</f>
      </c>
      <c r="J57">
        <f>IF([@StageSeconds]="","",[@StageSeconds]-[@BonusSeconds])</f>
      </c>
      <c r="K57" s="3">
        <f>IF([@NetSeconds]="","",[@NetSeconds]/86400)</f>
      </c>
    </row>
    <row r="58" spans="1:11" x14ac:dyDescent="0.25">
      <c r="A58" t="s">
        <v>22</v>
      </c>
      <c r="B58">
        <f>IF([@Bib]="","",XLOOKUP([@Bib],tblReg[Bib],tblReg[Field],""))</f>
      </c>
      <c r="C58">
        <f>IF([@Bib]="","",XLOOKUP([@Bib],tblReg[Bib],tblReg[FirstName],""))</f>
      </c>
      <c r="D58">
        <f>IF([@Bib]="","",XLOOKUP([@Bib],tblReg[Bib],tblReg[LastName],""))</f>
      </c>
      <c r="E58">
        <f>IF([@Bib]="","",XLOOKUP([@Bib],tblReg[Bib],tblReg[Team],""))</f>
      </c>
      <c r="F58" s="3" t="s">
        <v>22</v>
      </c>
      <c r="G58">
        <f>IF([@StageTime]="","",HOUR([@StageTime])*3600 + MINUTE([@StageTime])*60 + SECOND([@StageTime]))</f>
      </c>
      <c r="H58">
        <f>IF([@StageSeconds]="","",RANK([@StageSeconds],tblStage2[StageSeconds],1))</f>
      </c>
      <c r="I58">
        <f>IF([@Position]="",0,XLOOKUP([@Position],Config!tblBonus[Place],Config!tblBonus[Stage2BonusSec],0))</f>
      </c>
      <c r="J58">
        <f>IF([@StageSeconds]="","",[@StageSeconds]-[@BonusSeconds])</f>
      </c>
      <c r="K58" s="3">
        <f>IF([@NetSeconds]="","",[@NetSeconds]/86400)</f>
      </c>
    </row>
    <row r="59" spans="1:11" x14ac:dyDescent="0.25">
      <c r="A59" t="s">
        <v>22</v>
      </c>
      <c r="B59">
        <f>IF([@Bib]="","",XLOOKUP([@Bib],tblReg[Bib],tblReg[Field],""))</f>
      </c>
      <c r="C59">
        <f>IF([@Bib]="","",XLOOKUP([@Bib],tblReg[Bib],tblReg[FirstName],""))</f>
      </c>
      <c r="D59">
        <f>IF([@Bib]="","",XLOOKUP([@Bib],tblReg[Bib],tblReg[LastName],""))</f>
      </c>
      <c r="E59">
        <f>IF([@Bib]="","",XLOOKUP([@Bib],tblReg[Bib],tblReg[Team],""))</f>
      </c>
      <c r="F59" s="3" t="s">
        <v>22</v>
      </c>
      <c r="G59">
        <f>IF([@StageTime]="","",HOUR([@StageTime])*3600 + MINUTE([@StageTime])*60 + SECOND([@StageTime]))</f>
      </c>
      <c r="H59">
        <f>IF([@StageSeconds]="","",RANK([@StageSeconds],tblStage2[StageSeconds],1))</f>
      </c>
      <c r="I59">
        <f>IF([@Position]="",0,XLOOKUP([@Position],Config!tblBonus[Place],Config!tblBonus[Stage2BonusSec],0))</f>
      </c>
      <c r="J59">
        <f>IF([@StageSeconds]="","",[@StageSeconds]-[@BonusSeconds])</f>
      </c>
      <c r="K59" s="3">
        <f>IF([@NetSeconds]="","",[@NetSeconds]/86400)</f>
      </c>
    </row>
    <row r="60" spans="1:11" x14ac:dyDescent="0.25">
      <c r="A60" t="s">
        <v>22</v>
      </c>
      <c r="B60">
        <f>IF([@Bib]="","",XLOOKUP([@Bib],tblReg[Bib],tblReg[Field],""))</f>
      </c>
      <c r="C60">
        <f>IF([@Bib]="","",XLOOKUP([@Bib],tblReg[Bib],tblReg[FirstName],""))</f>
      </c>
      <c r="D60">
        <f>IF([@Bib]="","",XLOOKUP([@Bib],tblReg[Bib],tblReg[LastName],""))</f>
      </c>
      <c r="E60">
        <f>IF([@Bib]="","",XLOOKUP([@Bib],tblReg[Bib],tblReg[Team],""))</f>
      </c>
      <c r="F60" s="3" t="s">
        <v>22</v>
      </c>
      <c r="G60">
        <f>IF([@StageTime]="","",HOUR([@StageTime])*3600 + MINUTE([@StageTime])*60 + SECOND([@StageTime]))</f>
      </c>
      <c r="H60">
        <f>IF([@StageSeconds]="","",RANK([@StageSeconds],tblStage2[StageSeconds],1))</f>
      </c>
      <c r="I60">
        <f>IF([@Position]="",0,XLOOKUP([@Position],Config!tblBonus[Place],Config!tblBonus[Stage2BonusSec],0))</f>
      </c>
      <c r="J60">
        <f>IF([@StageSeconds]="","",[@StageSeconds]-[@BonusSeconds])</f>
      </c>
      <c r="K60" s="3">
        <f>IF([@NetSeconds]="","",[@NetSeconds]/86400)</f>
      </c>
    </row>
    <row r="61" spans="1:11" x14ac:dyDescent="0.25">
      <c r="A61" t="s">
        <v>22</v>
      </c>
      <c r="B61">
        <f>IF([@Bib]="","",XLOOKUP([@Bib],tblReg[Bib],tblReg[Field],""))</f>
      </c>
      <c r="C61">
        <f>IF([@Bib]="","",XLOOKUP([@Bib],tblReg[Bib],tblReg[FirstName],""))</f>
      </c>
      <c r="D61">
        <f>IF([@Bib]="","",XLOOKUP([@Bib],tblReg[Bib],tblReg[LastName],""))</f>
      </c>
      <c r="E61">
        <f>IF([@Bib]="","",XLOOKUP([@Bib],tblReg[Bib],tblReg[Team],""))</f>
      </c>
      <c r="F61" s="3" t="s">
        <v>22</v>
      </c>
      <c r="G61">
        <f>IF([@StageTime]="","",HOUR([@StageTime])*3600 + MINUTE([@StageTime])*60 + SECOND([@StageTime]))</f>
      </c>
      <c r="H61">
        <f>IF([@StageSeconds]="","",RANK([@StageSeconds],tblStage2[StageSeconds],1))</f>
      </c>
      <c r="I61">
        <f>IF([@Position]="",0,XLOOKUP([@Position],Config!tblBonus[Place],Config!tblBonus[Stage2BonusSec],0))</f>
      </c>
      <c r="J61">
        <f>IF([@StageSeconds]="","",[@StageSeconds]-[@BonusSeconds])</f>
      </c>
      <c r="K61" s="3">
        <f>IF([@NetSeconds]="","",[@NetSeconds]/86400)</f>
      </c>
    </row>
    <row r="62" spans="1:11" x14ac:dyDescent="0.25">
      <c r="A62" t="s">
        <v>22</v>
      </c>
      <c r="B62">
        <f>IF([@Bib]="","",XLOOKUP([@Bib],tblReg[Bib],tblReg[Field],""))</f>
      </c>
      <c r="C62">
        <f>IF([@Bib]="","",XLOOKUP([@Bib],tblReg[Bib],tblReg[FirstName],""))</f>
      </c>
      <c r="D62">
        <f>IF([@Bib]="","",XLOOKUP([@Bib],tblReg[Bib],tblReg[LastName],""))</f>
      </c>
      <c r="E62">
        <f>IF([@Bib]="","",XLOOKUP([@Bib],tblReg[Bib],tblReg[Team],""))</f>
      </c>
      <c r="F62" s="3" t="s">
        <v>22</v>
      </c>
      <c r="G62">
        <f>IF([@StageTime]="","",HOUR([@StageTime])*3600 + MINUTE([@StageTime])*60 + SECOND([@StageTime]))</f>
      </c>
      <c r="H62">
        <f>IF([@StageSeconds]="","",RANK([@StageSeconds],tblStage2[StageSeconds],1))</f>
      </c>
      <c r="I62">
        <f>IF([@Position]="",0,XLOOKUP([@Position],Config!tblBonus[Place],Config!tblBonus[Stage2BonusSec],0))</f>
      </c>
      <c r="J62">
        <f>IF([@StageSeconds]="","",[@StageSeconds]-[@BonusSeconds])</f>
      </c>
      <c r="K62" s="3">
        <f>IF([@NetSeconds]="","",[@NetSeconds]/86400)</f>
      </c>
    </row>
    <row r="63" spans="1:11" x14ac:dyDescent="0.25">
      <c r="A63" t="s">
        <v>22</v>
      </c>
      <c r="B63">
        <f>IF([@Bib]="","",XLOOKUP([@Bib],tblReg[Bib],tblReg[Field],""))</f>
      </c>
      <c r="C63">
        <f>IF([@Bib]="","",XLOOKUP([@Bib],tblReg[Bib],tblReg[FirstName],""))</f>
      </c>
      <c r="D63">
        <f>IF([@Bib]="","",XLOOKUP([@Bib],tblReg[Bib],tblReg[LastName],""))</f>
      </c>
      <c r="E63">
        <f>IF([@Bib]="","",XLOOKUP([@Bib],tblReg[Bib],tblReg[Team],""))</f>
      </c>
      <c r="F63" s="3" t="s">
        <v>22</v>
      </c>
      <c r="G63">
        <f>IF([@StageTime]="","",HOUR([@StageTime])*3600 + MINUTE([@StageTime])*60 + SECOND([@StageTime]))</f>
      </c>
      <c r="H63">
        <f>IF([@StageSeconds]="","",RANK([@StageSeconds],tblStage2[StageSeconds],1))</f>
      </c>
      <c r="I63">
        <f>IF([@Position]="",0,XLOOKUP([@Position],Config!tblBonus[Place],Config!tblBonus[Stage2BonusSec],0))</f>
      </c>
      <c r="J63">
        <f>IF([@StageSeconds]="","",[@StageSeconds]-[@BonusSeconds])</f>
      </c>
      <c r="K63" s="3">
        <f>IF([@NetSeconds]="","",[@NetSeconds]/86400)</f>
      </c>
    </row>
    <row r="64" spans="1:11" x14ac:dyDescent="0.25">
      <c r="A64" t="s">
        <v>22</v>
      </c>
      <c r="B64">
        <f>IF([@Bib]="","",XLOOKUP([@Bib],tblReg[Bib],tblReg[Field],""))</f>
      </c>
      <c r="C64">
        <f>IF([@Bib]="","",XLOOKUP([@Bib],tblReg[Bib],tblReg[FirstName],""))</f>
      </c>
      <c r="D64">
        <f>IF([@Bib]="","",XLOOKUP([@Bib],tblReg[Bib],tblReg[LastName],""))</f>
      </c>
      <c r="E64">
        <f>IF([@Bib]="","",XLOOKUP([@Bib],tblReg[Bib],tblReg[Team],""))</f>
      </c>
      <c r="F64" s="3" t="s">
        <v>22</v>
      </c>
      <c r="G64">
        <f>IF([@StageTime]="","",HOUR([@StageTime])*3600 + MINUTE([@StageTime])*60 + SECOND([@StageTime]))</f>
      </c>
      <c r="H64">
        <f>IF([@StageSeconds]="","",RANK([@StageSeconds],tblStage2[StageSeconds],1))</f>
      </c>
      <c r="I64">
        <f>IF([@Position]="",0,XLOOKUP([@Position],Config!tblBonus[Place],Config!tblBonus[Stage2BonusSec],0))</f>
      </c>
      <c r="J64">
        <f>IF([@StageSeconds]="","",[@StageSeconds]-[@BonusSeconds])</f>
      </c>
      <c r="K64" s="3">
        <f>IF([@NetSeconds]="","",[@NetSeconds]/86400)</f>
      </c>
    </row>
    <row r="65" spans="1:11" x14ac:dyDescent="0.25">
      <c r="A65" t="s">
        <v>22</v>
      </c>
      <c r="B65">
        <f>IF([@Bib]="","",XLOOKUP([@Bib],tblReg[Bib],tblReg[Field],""))</f>
      </c>
      <c r="C65">
        <f>IF([@Bib]="","",XLOOKUP([@Bib],tblReg[Bib],tblReg[FirstName],""))</f>
      </c>
      <c r="D65">
        <f>IF([@Bib]="","",XLOOKUP([@Bib],tblReg[Bib],tblReg[LastName],""))</f>
      </c>
      <c r="E65">
        <f>IF([@Bib]="","",XLOOKUP([@Bib],tblReg[Bib],tblReg[Team],""))</f>
      </c>
      <c r="F65" s="3" t="s">
        <v>22</v>
      </c>
      <c r="G65">
        <f>IF([@StageTime]="","",HOUR([@StageTime])*3600 + MINUTE([@StageTime])*60 + SECOND([@StageTime]))</f>
      </c>
      <c r="H65">
        <f>IF([@StageSeconds]="","",RANK([@StageSeconds],tblStage2[StageSeconds],1))</f>
      </c>
      <c r="I65">
        <f>IF([@Position]="",0,XLOOKUP([@Position],Config!tblBonus[Place],Config!tblBonus[Stage2BonusSec],0))</f>
      </c>
      <c r="J65">
        <f>IF([@StageSeconds]="","",[@StageSeconds]-[@BonusSeconds])</f>
      </c>
      <c r="K65" s="3">
        <f>IF([@NetSeconds]="","",[@NetSeconds]/86400)</f>
      </c>
    </row>
    <row r="66" spans="1:11" x14ac:dyDescent="0.25">
      <c r="A66" t="s">
        <v>22</v>
      </c>
      <c r="B66">
        <f>IF([@Bib]="","",XLOOKUP([@Bib],tblReg[Bib],tblReg[Field],""))</f>
      </c>
      <c r="C66">
        <f>IF([@Bib]="","",XLOOKUP([@Bib],tblReg[Bib],tblReg[FirstName],""))</f>
      </c>
      <c r="D66">
        <f>IF([@Bib]="","",XLOOKUP([@Bib],tblReg[Bib],tblReg[LastName],""))</f>
      </c>
      <c r="E66">
        <f>IF([@Bib]="","",XLOOKUP([@Bib],tblReg[Bib],tblReg[Team],""))</f>
      </c>
      <c r="F66" s="3" t="s">
        <v>22</v>
      </c>
      <c r="G66">
        <f>IF([@StageTime]="","",HOUR([@StageTime])*3600 + MINUTE([@StageTime])*60 + SECOND([@StageTime]))</f>
      </c>
      <c r="H66">
        <f>IF([@StageSeconds]="","",RANK([@StageSeconds],tblStage2[StageSeconds],1))</f>
      </c>
      <c r="I66">
        <f>IF([@Position]="",0,XLOOKUP([@Position],Config!tblBonus[Place],Config!tblBonus[Stage2BonusSec],0))</f>
      </c>
      <c r="J66">
        <f>IF([@StageSeconds]="","",[@StageSeconds]-[@BonusSeconds])</f>
      </c>
      <c r="K66" s="3">
        <f>IF([@NetSeconds]="","",[@NetSeconds]/86400)</f>
      </c>
    </row>
    <row r="67" spans="1:11" x14ac:dyDescent="0.25">
      <c r="A67" t="s">
        <v>22</v>
      </c>
      <c r="B67">
        <f>IF([@Bib]="","",XLOOKUP([@Bib],tblReg[Bib],tblReg[Field],""))</f>
      </c>
      <c r="C67">
        <f>IF([@Bib]="","",XLOOKUP([@Bib],tblReg[Bib],tblReg[FirstName],""))</f>
      </c>
      <c r="D67">
        <f>IF([@Bib]="","",XLOOKUP([@Bib],tblReg[Bib],tblReg[LastName],""))</f>
      </c>
      <c r="E67">
        <f>IF([@Bib]="","",XLOOKUP([@Bib],tblReg[Bib],tblReg[Team],""))</f>
      </c>
      <c r="F67" s="3" t="s">
        <v>22</v>
      </c>
      <c r="G67">
        <f>IF([@StageTime]="","",HOUR([@StageTime])*3600 + MINUTE([@StageTime])*60 + SECOND([@StageTime]))</f>
      </c>
      <c r="H67">
        <f>IF([@StageSeconds]="","",RANK([@StageSeconds],tblStage2[StageSeconds],1))</f>
      </c>
      <c r="I67">
        <f>IF([@Position]="",0,XLOOKUP([@Position],Config!tblBonus[Place],Config!tblBonus[Stage2BonusSec],0))</f>
      </c>
      <c r="J67">
        <f>IF([@StageSeconds]="","",[@StageSeconds]-[@BonusSeconds])</f>
      </c>
      <c r="K67" s="3">
        <f>IF([@NetSeconds]="","",[@NetSeconds]/86400)</f>
      </c>
    </row>
    <row r="68" spans="1:11" x14ac:dyDescent="0.25">
      <c r="A68" t="s">
        <v>22</v>
      </c>
      <c r="B68">
        <f>IF([@Bib]="","",XLOOKUP([@Bib],tblReg[Bib],tblReg[Field],""))</f>
      </c>
      <c r="C68">
        <f>IF([@Bib]="","",XLOOKUP([@Bib],tblReg[Bib],tblReg[FirstName],""))</f>
      </c>
      <c r="D68">
        <f>IF([@Bib]="","",XLOOKUP([@Bib],tblReg[Bib],tblReg[LastName],""))</f>
      </c>
      <c r="E68">
        <f>IF([@Bib]="","",XLOOKUP([@Bib],tblReg[Bib],tblReg[Team],""))</f>
      </c>
      <c r="F68" s="3" t="s">
        <v>22</v>
      </c>
      <c r="G68">
        <f>IF([@StageTime]="","",HOUR([@StageTime])*3600 + MINUTE([@StageTime])*60 + SECOND([@StageTime]))</f>
      </c>
      <c r="H68">
        <f>IF([@StageSeconds]="","",RANK([@StageSeconds],tblStage2[StageSeconds],1))</f>
      </c>
      <c r="I68">
        <f>IF([@Position]="",0,XLOOKUP([@Position],Config!tblBonus[Place],Config!tblBonus[Stage2BonusSec],0))</f>
      </c>
      <c r="J68">
        <f>IF([@StageSeconds]="","",[@StageSeconds]-[@BonusSeconds])</f>
      </c>
      <c r="K68" s="3">
        <f>IF([@NetSeconds]="","",[@NetSeconds]/86400)</f>
      </c>
    </row>
    <row r="69" spans="1:11" x14ac:dyDescent="0.25">
      <c r="A69" t="s">
        <v>22</v>
      </c>
      <c r="B69">
        <f>IF([@Bib]="","",XLOOKUP([@Bib],tblReg[Bib],tblReg[Field],""))</f>
      </c>
      <c r="C69">
        <f>IF([@Bib]="","",XLOOKUP([@Bib],tblReg[Bib],tblReg[FirstName],""))</f>
      </c>
      <c r="D69">
        <f>IF([@Bib]="","",XLOOKUP([@Bib],tblReg[Bib],tblReg[LastName],""))</f>
      </c>
      <c r="E69">
        <f>IF([@Bib]="","",XLOOKUP([@Bib],tblReg[Bib],tblReg[Team],""))</f>
      </c>
      <c r="F69" s="3" t="s">
        <v>22</v>
      </c>
      <c r="G69">
        <f>IF([@StageTime]="","",HOUR([@StageTime])*3600 + MINUTE([@StageTime])*60 + SECOND([@StageTime]))</f>
      </c>
      <c r="H69">
        <f>IF([@StageSeconds]="","",RANK([@StageSeconds],tblStage2[StageSeconds],1))</f>
      </c>
      <c r="I69">
        <f>IF([@Position]="",0,XLOOKUP([@Position],Config!tblBonus[Place],Config!tblBonus[Stage2BonusSec],0))</f>
      </c>
      <c r="J69">
        <f>IF([@StageSeconds]="","",[@StageSeconds]-[@BonusSeconds])</f>
      </c>
      <c r="K69" s="3">
        <f>IF([@NetSeconds]="","",[@NetSeconds]/86400)</f>
      </c>
    </row>
    <row r="70" spans="1:11" x14ac:dyDescent="0.25">
      <c r="A70" t="s">
        <v>22</v>
      </c>
      <c r="B70">
        <f>IF([@Bib]="","",XLOOKUP([@Bib],tblReg[Bib],tblReg[Field],""))</f>
      </c>
      <c r="C70">
        <f>IF([@Bib]="","",XLOOKUP([@Bib],tblReg[Bib],tblReg[FirstName],""))</f>
      </c>
      <c r="D70">
        <f>IF([@Bib]="","",XLOOKUP([@Bib],tblReg[Bib],tblReg[LastName],""))</f>
      </c>
      <c r="E70">
        <f>IF([@Bib]="","",XLOOKUP([@Bib],tblReg[Bib],tblReg[Team],""))</f>
      </c>
      <c r="F70" s="3" t="s">
        <v>22</v>
      </c>
      <c r="G70">
        <f>IF([@StageTime]="","",HOUR([@StageTime])*3600 + MINUTE([@StageTime])*60 + SECOND([@StageTime]))</f>
      </c>
      <c r="H70">
        <f>IF([@StageSeconds]="","",RANK([@StageSeconds],tblStage2[StageSeconds],1))</f>
      </c>
      <c r="I70">
        <f>IF([@Position]="",0,XLOOKUP([@Position],Config!tblBonus[Place],Config!tblBonus[Stage2BonusSec],0))</f>
      </c>
      <c r="J70">
        <f>IF([@StageSeconds]="","",[@StageSeconds]-[@BonusSeconds])</f>
      </c>
      <c r="K70" s="3">
        <f>IF([@NetSeconds]="","",[@NetSeconds]/86400)</f>
      </c>
    </row>
    <row r="71" spans="1:11" x14ac:dyDescent="0.25">
      <c r="A71" t="s">
        <v>22</v>
      </c>
      <c r="B71">
        <f>IF([@Bib]="","",XLOOKUP([@Bib],tblReg[Bib],tblReg[Field],""))</f>
      </c>
      <c r="C71">
        <f>IF([@Bib]="","",XLOOKUP([@Bib],tblReg[Bib],tblReg[FirstName],""))</f>
      </c>
      <c r="D71">
        <f>IF([@Bib]="","",XLOOKUP([@Bib],tblReg[Bib],tblReg[LastName],""))</f>
      </c>
      <c r="E71">
        <f>IF([@Bib]="","",XLOOKUP([@Bib],tblReg[Bib],tblReg[Team],""))</f>
      </c>
      <c r="F71" s="3" t="s">
        <v>22</v>
      </c>
      <c r="G71">
        <f>IF([@StageTime]="","",HOUR([@StageTime])*3600 + MINUTE([@StageTime])*60 + SECOND([@StageTime]))</f>
      </c>
      <c r="H71">
        <f>IF([@StageSeconds]="","",RANK([@StageSeconds],tblStage2[StageSeconds],1))</f>
      </c>
      <c r="I71">
        <f>IF([@Position]="",0,XLOOKUP([@Position],Config!tblBonus[Place],Config!tblBonus[Stage2BonusSec],0))</f>
      </c>
      <c r="J71">
        <f>IF([@StageSeconds]="","",[@StageSeconds]-[@BonusSeconds])</f>
      </c>
      <c r="K71" s="3">
        <f>IF([@NetSeconds]="","",[@NetSeconds]/86400)</f>
      </c>
    </row>
    <row r="72" spans="1:11" x14ac:dyDescent="0.25">
      <c r="A72" t="s">
        <v>22</v>
      </c>
      <c r="B72">
        <f>IF([@Bib]="","",XLOOKUP([@Bib],tblReg[Bib],tblReg[Field],""))</f>
      </c>
      <c r="C72">
        <f>IF([@Bib]="","",XLOOKUP([@Bib],tblReg[Bib],tblReg[FirstName],""))</f>
      </c>
      <c r="D72">
        <f>IF([@Bib]="","",XLOOKUP([@Bib],tblReg[Bib],tblReg[LastName],""))</f>
      </c>
      <c r="E72">
        <f>IF([@Bib]="","",XLOOKUP([@Bib],tblReg[Bib],tblReg[Team],""))</f>
      </c>
      <c r="F72" s="3" t="s">
        <v>22</v>
      </c>
      <c r="G72">
        <f>IF([@StageTime]="","",HOUR([@StageTime])*3600 + MINUTE([@StageTime])*60 + SECOND([@StageTime]))</f>
      </c>
      <c r="H72">
        <f>IF([@StageSeconds]="","",RANK([@StageSeconds],tblStage2[StageSeconds],1))</f>
      </c>
      <c r="I72">
        <f>IF([@Position]="",0,XLOOKUP([@Position],Config!tblBonus[Place],Config!tblBonus[Stage2BonusSec],0))</f>
      </c>
      <c r="J72">
        <f>IF([@StageSeconds]="","",[@StageSeconds]-[@BonusSeconds])</f>
      </c>
      <c r="K72" s="3">
        <f>IF([@NetSeconds]="","",[@NetSeconds]/86400)</f>
      </c>
    </row>
    <row r="73" spans="1:11" x14ac:dyDescent="0.25">
      <c r="A73" t="s">
        <v>22</v>
      </c>
      <c r="B73">
        <f>IF([@Bib]="","",XLOOKUP([@Bib],tblReg[Bib],tblReg[Field],""))</f>
      </c>
      <c r="C73">
        <f>IF([@Bib]="","",XLOOKUP([@Bib],tblReg[Bib],tblReg[FirstName],""))</f>
      </c>
      <c r="D73">
        <f>IF([@Bib]="","",XLOOKUP([@Bib],tblReg[Bib],tblReg[LastName],""))</f>
      </c>
      <c r="E73">
        <f>IF([@Bib]="","",XLOOKUP([@Bib],tblReg[Bib],tblReg[Team],""))</f>
      </c>
      <c r="F73" s="3" t="s">
        <v>22</v>
      </c>
      <c r="G73">
        <f>IF([@StageTime]="","",HOUR([@StageTime])*3600 + MINUTE([@StageTime])*60 + SECOND([@StageTime]))</f>
      </c>
      <c r="H73">
        <f>IF([@StageSeconds]="","",RANK([@StageSeconds],tblStage2[StageSeconds],1))</f>
      </c>
      <c r="I73">
        <f>IF([@Position]="",0,XLOOKUP([@Position],Config!tblBonus[Place],Config!tblBonus[Stage2BonusSec],0))</f>
      </c>
      <c r="J73">
        <f>IF([@StageSeconds]="","",[@StageSeconds]-[@BonusSeconds])</f>
      </c>
      <c r="K73" s="3">
        <f>IF([@NetSeconds]="","",[@NetSeconds]/86400)</f>
      </c>
    </row>
    <row r="74" spans="1:11" x14ac:dyDescent="0.25">
      <c r="A74" t="s">
        <v>22</v>
      </c>
      <c r="B74">
        <f>IF([@Bib]="","",XLOOKUP([@Bib],tblReg[Bib],tblReg[Field],""))</f>
      </c>
      <c r="C74">
        <f>IF([@Bib]="","",XLOOKUP([@Bib],tblReg[Bib],tblReg[FirstName],""))</f>
      </c>
      <c r="D74">
        <f>IF([@Bib]="","",XLOOKUP([@Bib],tblReg[Bib],tblReg[LastName],""))</f>
      </c>
      <c r="E74">
        <f>IF([@Bib]="","",XLOOKUP([@Bib],tblReg[Bib],tblReg[Team],""))</f>
      </c>
      <c r="F74" s="3" t="s">
        <v>22</v>
      </c>
      <c r="G74">
        <f>IF([@StageTime]="","",HOUR([@StageTime])*3600 + MINUTE([@StageTime])*60 + SECOND([@StageTime]))</f>
      </c>
      <c r="H74">
        <f>IF([@StageSeconds]="","",RANK([@StageSeconds],tblStage2[StageSeconds],1))</f>
      </c>
      <c r="I74">
        <f>IF([@Position]="",0,XLOOKUP([@Position],Config!tblBonus[Place],Config!tblBonus[Stage2BonusSec],0))</f>
      </c>
      <c r="J74">
        <f>IF([@StageSeconds]="","",[@StageSeconds]-[@BonusSeconds])</f>
      </c>
      <c r="K74" s="3">
        <f>IF([@NetSeconds]="","",[@NetSeconds]/86400)</f>
      </c>
    </row>
    <row r="75" spans="1:11" x14ac:dyDescent="0.25">
      <c r="A75" t="s">
        <v>22</v>
      </c>
      <c r="B75">
        <f>IF([@Bib]="","",XLOOKUP([@Bib],tblReg[Bib],tblReg[Field],""))</f>
      </c>
      <c r="C75">
        <f>IF([@Bib]="","",XLOOKUP([@Bib],tblReg[Bib],tblReg[FirstName],""))</f>
      </c>
      <c r="D75">
        <f>IF([@Bib]="","",XLOOKUP([@Bib],tblReg[Bib],tblReg[LastName],""))</f>
      </c>
      <c r="E75">
        <f>IF([@Bib]="","",XLOOKUP([@Bib],tblReg[Bib],tblReg[Team],""))</f>
      </c>
      <c r="F75" s="3" t="s">
        <v>22</v>
      </c>
      <c r="G75">
        <f>IF([@StageTime]="","",HOUR([@StageTime])*3600 + MINUTE([@StageTime])*60 + SECOND([@StageTime]))</f>
      </c>
      <c r="H75">
        <f>IF([@StageSeconds]="","",RANK([@StageSeconds],tblStage2[StageSeconds],1))</f>
      </c>
      <c r="I75">
        <f>IF([@Position]="",0,XLOOKUP([@Position],Config!tblBonus[Place],Config!tblBonus[Stage2BonusSec],0))</f>
      </c>
      <c r="J75">
        <f>IF([@StageSeconds]="","",[@StageSeconds]-[@BonusSeconds])</f>
      </c>
      <c r="K75" s="3">
        <f>IF([@NetSeconds]="","",[@NetSeconds]/86400)</f>
      </c>
    </row>
    <row r="76" spans="1:11" x14ac:dyDescent="0.25">
      <c r="A76" t="s">
        <v>22</v>
      </c>
      <c r="B76">
        <f>IF([@Bib]="","",XLOOKUP([@Bib],tblReg[Bib],tblReg[Field],""))</f>
      </c>
      <c r="C76">
        <f>IF([@Bib]="","",XLOOKUP([@Bib],tblReg[Bib],tblReg[FirstName],""))</f>
      </c>
      <c r="D76">
        <f>IF([@Bib]="","",XLOOKUP([@Bib],tblReg[Bib],tblReg[LastName],""))</f>
      </c>
      <c r="E76">
        <f>IF([@Bib]="","",XLOOKUP([@Bib],tblReg[Bib],tblReg[Team],""))</f>
      </c>
      <c r="F76" s="3" t="s">
        <v>22</v>
      </c>
      <c r="G76">
        <f>IF([@StageTime]="","",HOUR([@StageTime])*3600 + MINUTE([@StageTime])*60 + SECOND([@StageTime]))</f>
      </c>
      <c r="H76">
        <f>IF([@StageSeconds]="","",RANK([@StageSeconds],tblStage2[StageSeconds],1))</f>
      </c>
      <c r="I76">
        <f>IF([@Position]="",0,XLOOKUP([@Position],Config!tblBonus[Place],Config!tblBonus[Stage2BonusSec],0))</f>
      </c>
      <c r="J76">
        <f>IF([@StageSeconds]="","",[@StageSeconds]-[@BonusSeconds])</f>
      </c>
      <c r="K76" s="3">
        <f>IF([@NetSeconds]="","",[@NetSeconds]/86400)</f>
      </c>
    </row>
    <row r="77" spans="1:11" x14ac:dyDescent="0.25">
      <c r="A77" t="s">
        <v>22</v>
      </c>
      <c r="B77">
        <f>IF([@Bib]="","",XLOOKUP([@Bib],tblReg[Bib],tblReg[Field],""))</f>
      </c>
      <c r="C77">
        <f>IF([@Bib]="","",XLOOKUP([@Bib],tblReg[Bib],tblReg[FirstName],""))</f>
      </c>
      <c r="D77">
        <f>IF([@Bib]="","",XLOOKUP([@Bib],tblReg[Bib],tblReg[LastName],""))</f>
      </c>
      <c r="E77">
        <f>IF([@Bib]="","",XLOOKUP([@Bib],tblReg[Bib],tblReg[Team],""))</f>
      </c>
      <c r="F77" s="3" t="s">
        <v>22</v>
      </c>
      <c r="G77">
        <f>IF([@StageTime]="","",HOUR([@StageTime])*3600 + MINUTE([@StageTime])*60 + SECOND([@StageTime]))</f>
      </c>
      <c r="H77">
        <f>IF([@StageSeconds]="","",RANK([@StageSeconds],tblStage2[StageSeconds],1))</f>
      </c>
      <c r="I77">
        <f>IF([@Position]="",0,XLOOKUP([@Position],Config!tblBonus[Place],Config!tblBonus[Stage2BonusSec],0))</f>
      </c>
      <c r="J77">
        <f>IF([@StageSeconds]="","",[@StageSeconds]-[@BonusSeconds])</f>
      </c>
      <c r="K77" s="3">
        <f>IF([@NetSeconds]="","",[@NetSeconds]/86400)</f>
      </c>
    </row>
    <row r="78" spans="1:11" x14ac:dyDescent="0.25">
      <c r="A78" t="s">
        <v>22</v>
      </c>
      <c r="B78">
        <f>IF([@Bib]="","",XLOOKUP([@Bib],tblReg[Bib],tblReg[Field],""))</f>
      </c>
      <c r="C78">
        <f>IF([@Bib]="","",XLOOKUP([@Bib],tblReg[Bib],tblReg[FirstName],""))</f>
      </c>
      <c r="D78">
        <f>IF([@Bib]="","",XLOOKUP([@Bib],tblReg[Bib],tblReg[LastName],""))</f>
      </c>
      <c r="E78">
        <f>IF([@Bib]="","",XLOOKUP([@Bib],tblReg[Bib],tblReg[Team],""))</f>
      </c>
      <c r="F78" s="3" t="s">
        <v>22</v>
      </c>
      <c r="G78">
        <f>IF([@StageTime]="","",HOUR([@StageTime])*3600 + MINUTE([@StageTime])*60 + SECOND([@StageTime]))</f>
      </c>
      <c r="H78">
        <f>IF([@StageSeconds]="","",RANK([@StageSeconds],tblStage2[StageSeconds],1))</f>
      </c>
      <c r="I78">
        <f>IF([@Position]="",0,XLOOKUP([@Position],Config!tblBonus[Place],Config!tblBonus[Stage2BonusSec],0))</f>
      </c>
      <c r="J78">
        <f>IF([@StageSeconds]="","",[@StageSeconds]-[@BonusSeconds])</f>
      </c>
      <c r="K78" s="3">
        <f>IF([@NetSeconds]="","",[@NetSeconds]/86400)</f>
      </c>
    </row>
    <row r="79" spans="1:11" x14ac:dyDescent="0.25">
      <c r="A79" t="s">
        <v>22</v>
      </c>
      <c r="B79">
        <f>IF([@Bib]="","",XLOOKUP([@Bib],tblReg[Bib],tblReg[Field],""))</f>
      </c>
      <c r="C79">
        <f>IF([@Bib]="","",XLOOKUP([@Bib],tblReg[Bib],tblReg[FirstName],""))</f>
      </c>
      <c r="D79">
        <f>IF([@Bib]="","",XLOOKUP([@Bib],tblReg[Bib],tblReg[LastName],""))</f>
      </c>
      <c r="E79">
        <f>IF([@Bib]="","",XLOOKUP([@Bib],tblReg[Bib],tblReg[Team],""))</f>
      </c>
      <c r="F79" s="3" t="s">
        <v>22</v>
      </c>
      <c r="G79">
        <f>IF([@StageTime]="","",HOUR([@StageTime])*3600 + MINUTE([@StageTime])*60 + SECOND([@StageTime]))</f>
      </c>
      <c r="H79">
        <f>IF([@StageSeconds]="","",RANK([@StageSeconds],tblStage2[StageSeconds],1))</f>
      </c>
      <c r="I79">
        <f>IF([@Position]="",0,XLOOKUP([@Position],Config!tblBonus[Place],Config!tblBonus[Stage2BonusSec],0))</f>
      </c>
      <c r="J79">
        <f>IF([@StageSeconds]="","",[@StageSeconds]-[@BonusSeconds])</f>
      </c>
      <c r="K79" s="3">
        <f>IF([@NetSeconds]="","",[@NetSeconds]/86400)</f>
      </c>
    </row>
    <row r="80" spans="1:11" x14ac:dyDescent="0.25">
      <c r="A80" t="s">
        <v>22</v>
      </c>
      <c r="B80">
        <f>IF([@Bib]="","",XLOOKUP([@Bib],tblReg[Bib],tblReg[Field],""))</f>
      </c>
      <c r="C80">
        <f>IF([@Bib]="","",XLOOKUP([@Bib],tblReg[Bib],tblReg[FirstName],""))</f>
      </c>
      <c r="D80">
        <f>IF([@Bib]="","",XLOOKUP([@Bib],tblReg[Bib],tblReg[LastName],""))</f>
      </c>
      <c r="E80">
        <f>IF([@Bib]="","",XLOOKUP([@Bib],tblReg[Bib],tblReg[Team],""))</f>
      </c>
      <c r="F80" s="3" t="s">
        <v>22</v>
      </c>
      <c r="G80">
        <f>IF([@StageTime]="","",HOUR([@StageTime])*3600 + MINUTE([@StageTime])*60 + SECOND([@StageTime]))</f>
      </c>
      <c r="H80">
        <f>IF([@StageSeconds]="","",RANK([@StageSeconds],tblStage2[StageSeconds],1))</f>
      </c>
      <c r="I80">
        <f>IF([@Position]="",0,XLOOKUP([@Position],Config!tblBonus[Place],Config!tblBonus[Stage2BonusSec],0))</f>
      </c>
      <c r="J80">
        <f>IF([@StageSeconds]="","",[@StageSeconds]-[@BonusSeconds])</f>
      </c>
      <c r="K80" s="3">
        <f>IF([@NetSeconds]="","",[@NetSeconds]/86400)</f>
      </c>
    </row>
    <row r="81" spans="1:11" x14ac:dyDescent="0.25">
      <c r="A81" t="s">
        <v>22</v>
      </c>
      <c r="B81">
        <f>IF([@Bib]="","",XLOOKUP([@Bib],tblReg[Bib],tblReg[Field],""))</f>
      </c>
      <c r="C81">
        <f>IF([@Bib]="","",XLOOKUP([@Bib],tblReg[Bib],tblReg[FirstName],""))</f>
      </c>
      <c r="D81">
        <f>IF([@Bib]="","",XLOOKUP([@Bib],tblReg[Bib],tblReg[LastName],""))</f>
      </c>
      <c r="E81">
        <f>IF([@Bib]="","",XLOOKUP([@Bib],tblReg[Bib],tblReg[Team],""))</f>
      </c>
      <c r="F81" s="3" t="s">
        <v>22</v>
      </c>
      <c r="G81">
        <f>IF([@StageTime]="","",HOUR([@StageTime])*3600 + MINUTE([@StageTime])*60 + SECOND([@StageTime]))</f>
      </c>
      <c r="H81">
        <f>IF([@StageSeconds]="","",RANK([@StageSeconds],tblStage2[StageSeconds],1))</f>
      </c>
      <c r="I81">
        <f>IF([@Position]="",0,XLOOKUP([@Position],Config!tblBonus[Place],Config!tblBonus[Stage2BonusSec],0))</f>
      </c>
      <c r="J81">
        <f>IF([@StageSeconds]="","",[@StageSeconds]-[@BonusSeconds])</f>
      </c>
      <c r="K81" s="3">
        <f>IF([@NetSeconds]="","",[@NetSeconds]/86400)</f>
      </c>
    </row>
    <row r="82" spans="1:11" x14ac:dyDescent="0.25">
      <c r="A82" t="s">
        <v>22</v>
      </c>
      <c r="B82">
        <f>IF([@Bib]="","",XLOOKUP([@Bib],tblReg[Bib],tblReg[Field],""))</f>
      </c>
      <c r="C82">
        <f>IF([@Bib]="","",XLOOKUP([@Bib],tblReg[Bib],tblReg[FirstName],""))</f>
      </c>
      <c r="D82">
        <f>IF([@Bib]="","",XLOOKUP([@Bib],tblReg[Bib],tblReg[LastName],""))</f>
      </c>
      <c r="E82">
        <f>IF([@Bib]="","",XLOOKUP([@Bib],tblReg[Bib],tblReg[Team],""))</f>
      </c>
      <c r="F82" s="3" t="s">
        <v>22</v>
      </c>
      <c r="G82">
        <f>IF([@StageTime]="","",HOUR([@StageTime])*3600 + MINUTE([@StageTime])*60 + SECOND([@StageTime]))</f>
      </c>
      <c r="H82">
        <f>IF([@StageSeconds]="","",RANK([@StageSeconds],tblStage2[StageSeconds],1))</f>
      </c>
      <c r="I82">
        <f>IF([@Position]="",0,XLOOKUP([@Position],Config!tblBonus[Place],Config!tblBonus[Stage2BonusSec],0))</f>
      </c>
      <c r="J82">
        <f>IF([@StageSeconds]="","",[@StageSeconds]-[@BonusSeconds])</f>
      </c>
      <c r="K82" s="3">
        <f>IF([@NetSeconds]="","",[@NetSeconds]/86400)</f>
      </c>
    </row>
    <row r="83" spans="1:11" x14ac:dyDescent="0.25">
      <c r="A83" t="s">
        <v>22</v>
      </c>
      <c r="B83">
        <f>IF([@Bib]="","",XLOOKUP([@Bib],tblReg[Bib],tblReg[Field],""))</f>
      </c>
      <c r="C83">
        <f>IF([@Bib]="","",XLOOKUP([@Bib],tblReg[Bib],tblReg[FirstName],""))</f>
      </c>
      <c r="D83">
        <f>IF([@Bib]="","",XLOOKUP([@Bib],tblReg[Bib],tblReg[LastName],""))</f>
      </c>
      <c r="E83">
        <f>IF([@Bib]="","",XLOOKUP([@Bib],tblReg[Bib],tblReg[Team],""))</f>
      </c>
      <c r="F83" s="3" t="s">
        <v>22</v>
      </c>
      <c r="G83">
        <f>IF([@StageTime]="","",HOUR([@StageTime])*3600 + MINUTE([@StageTime])*60 + SECOND([@StageTime]))</f>
      </c>
      <c r="H83">
        <f>IF([@StageSeconds]="","",RANK([@StageSeconds],tblStage2[StageSeconds],1))</f>
      </c>
      <c r="I83">
        <f>IF([@Position]="",0,XLOOKUP([@Position],Config!tblBonus[Place],Config!tblBonus[Stage2BonusSec],0))</f>
      </c>
      <c r="J83">
        <f>IF([@StageSeconds]="","",[@StageSeconds]-[@BonusSeconds])</f>
      </c>
      <c r="K83" s="3">
        <f>IF([@NetSeconds]="","",[@NetSeconds]/86400)</f>
      </c>
    </row>
    <row r="84" spans="1:11" x14ac:dyDescent="0.25">
      <c r="A84" t="s">
        <v>22</v>
      </c>
      <c r="B84">
        <f>IF([@Bib]="","",XLOOKUP([@Bib],tblReg[Bib],tblReg[Field],""))</f>
      </c>
      <c r="C84">
        <f>IF([@Bib]="","",XLOOKUP([@Bib],tblReg[Bib],tblReg[FirstName],""))</f>
      </c>
      <c r="D84">
        <f>IF([@Bib]="","",XLOOKUP([@Bib],tblReg[Bib],tblReg[LastName],""))</f>
      </c>
      <c r="E84">
        <f>IF([@Bib]="","",XLOOKUP([@Bib],tblReg[Bib],tblReg[Team],""))</f>
      </c>
      <c r="F84" s="3" t="s">
        <v>22</v>
      </c>
      <c r="G84">
        <f>IF([@StageTime]="","",HOUR([@StageTime])*3600 + MINUTE([@StageTime])*60 + SECOND([@StageTime]))</f>
      </c>
      <c r="H84">
        <f>IF([@StageSeconds]="","",RANK([@StageSeconds],tblStage2[StageSeconds],1))</f>
      </c>
      <c r="I84">
        <f>IF([@Position]="",0,XLOOKUP([@Position],Config!tblBonus[Place],Config!tblBonus[Stage2BonusSec],0))</f>
      </c>
      <c r="J84">
        <f>IF([@StageSeconds]="","",[@StageSeconds]-[@BonusSeconds])</f>
      </c>
      <c r="K84" s="3">
        <f>IF([@NetSeconds]="","",[@NetSeconds]/86400)</f>
      </c>
    </row>
    <row r="85" spans="1:11" x14ac:dyDescent="0.25">
      <c r="A85" t="s">
        <v>22</v>
      </c>
      <c r="B85">
        <f>IF([@Bib]="","",XLOOKUP([@Bib],tblReg[Bib],tblReg[Field],""))</f>
      </c>
      <c r="C85">
        <f>IF([@Bib]="","",XLOOKUP([@Bib],tblReg[Bib],tblReg[FirstName],""))</f>
      </c>
      <c r="D85">
        <f>IF([@Bib]="","",XLOOKUP([@Bib],tblReg[Bib],tblReg[LastName],""))</f>
      </c>
      <c r="E85">
        <f>IF([@Bib]="","",XLOOKUP([@Bib],tblReg[Bib],tblReg[Team],""))</f>
      </c>
      <c r="F85" s="3" t="s">
        <v>22</v>
      </c>
      <c r="G85">
        <f>IF([@StageTime]="","",HOUR([@StageTime])*3600 + MINUTE([@StageTime])*60 + SECOND([@StageTime]))</f>
      </c>
      <c r="H85">
        <f>IF([@StageSeconds]="","",RANK([@StageSeconds],tblStage2[StageSeconds],1))</f>
      </c>
      <c r="I85">
        <f>IF([@Position]="",0,XLOOKUP([@Position],Config!tblBonus[Place],Config!tblBonus[Stage2BonusSec],0))</f>
      </c>
      <c r="J85">
        <f>IF([@StageSeconds]="","",[@StageSeconds]-[@BonusSeconds])</f>
      </c>
      <c r="K85" s="3">
        <f>IF([@NetSeconds]="","",[@NetSeconds]/86400)</f>
      </c>
    </row>
    <row r="86" spans="1:11" x14ac:dyDescent="0.25">
      <c r="A86" t="s">
        <v>22</v>
      </c>
      <c r="B86">
        <f>IF([@Bib]="","",XLOOKUP([@Bib],tblReg[Bib],tblReg[Field],""))</f>
      </c>
      <c r="C86">
        <f>IF([@Bib]="","",XLOOKUP([@Bib],tblReg[Bib],tblReg[FirstName],""))</f>
      </c>
      <c r="D86">
        <f>IF([@Bib]="","",XLOOKUP([@Bib],tblReg[Bib],tblReg[LastName],""))</f>
      </c>
      <c r="E86">
        <f>IF([@Bib]="","",XLOOKUP([@Bib],tblReg[Bib],tblReg[Team],""))</f>
      </c>
      <c r="F86" s="3" t="s">
        <v>22</v>
      </c>
      <c r="G86">
        <f>IF([@StageTime]="","",HOUR([@StageTime])*3600 + MINUTE([@StageTime])*60 + SECOND([@StageTime]))</f>
      </c>
      <c r="H86">
        <f>IF([@StageSeconds]="","",RANK([@StageSeconds],tblStage2[StageSeconds],1))</f>
      </c>
      <c r="I86">
        <f>IF([@Position]="",0,XLOOKUP([@Position],Config!tblBonus[Place],Config!tblBonus[Stage2BonusSec],0))</f>
      </c>
      <c r="J86">
        <f>IF([@StageSeconds]="","",[@StageSeconds]-[@BonusSeconds])</f>
      </c>
      <c r="K86" s="3">
        <f>IF([@NetSeconds]="","",[@NetSeconds]/86400)</f>
      </c>
    </row>
    <row r="87" spans="1:11" x14ac:dyDescent="0.25">
      <c r="A87" t="s">
        <v>22</v>
      </c>
      <c r="B87">
        <f>IF([@Bib]="","",XLOOKUP([@Bib],tblReg[Bib],tblReg[Field],""))</f>
      </c>
      <c r="C87">
        <f>IF([@Bib]="","",XLOOKUP([@Bib],tblReg[Bib],tblReg[FirstName],""))</f>
      </c>
      <c r="D87">
        <f>IF([@Bib]="","",XLOOKUP([@Bib],tblReg[Bib],tblReg[LastName],""))</f>
      </c>
      <c r="E87">
        <f>IF([@Bib]="","",XLOOKUP([@Bib],tblReg[Bib],tblReg[Team],""))</f>
      </c>
      <c r="F87" s="3" t="s">
        <v>22</v>
      </c>
      <c r="G87">
        <f>IF([@StageTime]="","",HOUR([@StageTime])*3600 + MINUTE([@StageTime])*60 + SECOND([@StageTime]))</f>
      </c>
      <c r="H87">
        <f>IF([@StageSeconds]="","",RANK([@StageSeconds],tblStage2[StageSeconds],1))</f>
      </c>
      <c r="I87">
        <f>IF([@Position]="",0,XLOOKUP([@Position],Config!tblBonus[Place],Config!tblBonus[Stage2BonusSec],0))</f>
      </c>
      <c r="J87">
        <f>IF([@StageSeconds]="","",[@StageSeconds]-[@BonusSeconds])</f>
      </c>
      <c r="K87" s="3">
        <f>IF([@NetSeconds]="","",[@NetSeconds]/86400)</f>
      </c>
    </row>
    <row r="88" spans="1:11" x14ac:dyDescent="0.25">
      <c r="A88" t="s">
        <v>22</v>
      </c>
      <c r="B88">
        <f>IF([@Bib]="","",XLOOKUP([@Bib],tblReg[Bib],tblReg[Field],""))</f>
      </c>
      <c r="C88">
        <f>IF([@Bib]="","",XLOOKUP([@Bib],tblReg[Bib],tblReg[FirstName],""))</f>
      </c>
      <c r="D88">
        <f>IF([@Bib]="","",XLOOKUP([@Bib],tblReg[Bib],tblReg[LastName],""))</f>
      </c>
      <c r="E88">
        <f>IF([@Bib]="","",XLOOKUP([@Bib],tblReg[Bib],tblReg[Team],""))</f>
      </c>
      <c r="F88" s="3" t="s">
        <v>22</v>
      </c>
      <c r="G88">
        <f>IF([@StageTime]="","",HOUR([@StageTime])*3600 + MINUTE([@StageTime])*60 + SECOND([@StageTime]))</f>
      </c>
      <c r="H88">
        <f>IF([@StageSeconds]="","",RANK([@StageSeconds],tblStage2[StageSeconds],1))</f>
      </c>
      <c r="I88">
        <f>IF([@Position]="",0,XLOOKUP([@Position],Config!tblBonus[Place],Config!tblBonus[Stage2BonusSec],0))</f>
      </c>
      <c r="J88">
        <f>IF([@StageSeconds]="","",[@StageSeconds]-[@BonusSeconds])</f>
      </c>
      <c r="K88" s="3">
        <f>IF([@NetSeconds]="","",[@NetSeconds]/86400)</f>
      </c>
    </row>
    <row r="89" spans="1:11" x14ac:dyDescent="0.25">
      <c r="A89" t="s">
        <v>22</v>
      </c>
      <c r="B89">
        <f>IF([@Bib]="","",XLOOKUP([@Bib],tblReg[Bib],tblReg[Field],""))</f>
      </c>
      <c r="C89">
        <f>IF([@Bib]="","",XLOOKUP([@Bib],tblReg[Bib],tblReg[FirstName],""))</f>
      </c>
      <c r="D89">
        <f>IF([@Bib]="","",XLOOKUP([@Bib],tblReg[Bib],tblReg[LastName],""))</f>
      </c>
      <c r="E89">
        <f>IF([@Bib]="","",XLOOKUP([@Bib],tblReg[Bib],tblReg[Team],""))</f>
      </c>
      <c r="F89" s="3" t="s">
        <v>22</v>
      </c>
      <c r="G89">
        <f>IF([@StageTime]="","",HOUR([@StageTime])*3600 + MINUTE([@StageTime])*60 + SECOND([@StageTime]))</f>
      </c>
      <c r="H89">
        <f>IF([@StageSeconds]="","",RANK([@StageSeconds],tblStage2[StageSeconds],1))</f>
      </c>
      <c r="I89">
        <f>IF([@Position]="",0,XLOOKUP([@Position],Config!tblBonus[Place],Config!tblBonus[Stage2BonusSec],0))</f>
      </c>
      <c r="J89">
        <f>IF([@StageSeconds]="","",[@StageSeconds]-[@BonusSeconds])</f>
      </c>
      <c r="K89" s="3">
        <f>IF([@NetSeconds]="","",[@NetSeconds]/86400)</f>
      </c>
    </row>
    <row r="90" spans="1:11" x14ac:dyDescent="0.25">
      <c r="A90" t="s">
        <v>22</v>
      </c>
      <c r="B90">
        <f>IF([@Bib]="","",XLOOKUP([@Bib],tblReg[Bib],tblReg[Field],""))</f>
      </c>
      <c r="C90">
        <f>IF([@Bib]="","",XLOOKUP([@Bib],tblReg[Bib],tblReg[FirstName],""))</f>
      </c>
      <c r="D90">
        <f>IF([@Bib]="","",XLOOKUP([@Bib],tblReg[Bib],tblReg[LastName],""))</f>
      </c>
      <c r="E90">
        <f>IF([@Bib]="","",XLOOKUP([@Bib],tblReg[Bib],tblReg[Team],""))</f>
      </c>
      <c r="F90" s="3" t="s">
        <v>22</v>
      </c>
      <c r="G90">
        <f>IF([@StageTime]="","",HOUR([@StageTime])*3600 + MINUTE([@StageTime])*60 + SECOND([@StageTime]))</f>
      </c>
      <c r="H90">
        <f>IF([@StageSeconds]="","",RANK([@StageSeconds],tblStage2[StageSeconds],1))</f>
      </c>
      <c r="I90">
        <f>IF([@Position]="",0,XLOOKUP([@Position],Config!tblBonus[Place],Config!tblBonus[Stage2BonusSec],0))</f>
      </c>
      <c r="J90">
        <f>IF([@StageSeconds]="","",[@StageSeconds]-[@BonusSeconds])</f>
      </c>
      <c r="K90" s="3">
        <f>IF([@NetSeconds]="","",[@NetSeconds]/86400)</f>
      </c>
    </row>
    <row r="91" spans="1:11" x14ac:dyDescent="0.25">
      <c r="A91" t="s">
        <v>22</v>
      </c>
      <c r="B91">
        <f>IF([@Bib]="","",XLOOKUP([@Bib],tblReg[Bib],tblReg[Field],""))</f>
      </c>
      <c r="C91">
        <f>IF([@Bib]="","",XLOOKUP([@Bib],tblReg[Bib],tblReg[FirstName],""))</f>
      </c>
      <c r="D91">
        <f>IF([@Bib]="","",XLOOKUP([@Bib],tblReg[Bib],tblReg[LastName],""))</f>
      </c>
      <c r="E91">
        <f>IF([@Bib]="","",XLOOKUP([@Bib],tblReg[Bib],tblReg[Team],""))</f>
      </c>
      <c r="F91" s="3" t="s">
        <v>22</v>
      </c>
      <c r="G91">
        <f>IF([@StageTime]="","",HOUR([@StageTime])*3600 + MINUTE([@StageTime])*60 + SECOND([@StageTime]))</f>
      </c>
      <c r="H91">
        <f>IF([@StageSeconds]="","",RANK([@StageSeconds],tblStage2[StageSeconds],1))</f>
      </c>
      <c r="I91">
        <f>IF([@Position]="",0,XLOOKUP([@Position],Config!tblBonus[Place],Config!tblBonus[Stage2BonusSec],0))</f>
      </c>
      <c r="J91">
        <f>IF([@StageSeconds]="","",[@StageSeconds]-[@BonusSeconds])</f>
      </c>
      <c r="K91" s="3">
        <f>IF([@NetSeconds]="","",[@NetSeconds]/86400)</f>
      </c>
    </row>
    <row r="92" spans="1:11" x14ac:dyDescent="0.25">
      <c r="A92" t="s">
        <v>22</v>
      </c>
      <c r="B92">
        <f>IF([@Bib]="","",XLOOKUP([@Bib],tblReg[Bib],tblReg[Field],""))</f>
      </c>
      <c r="C92">
        <f>IF([@Bib]="","",XLOOKUP([@Bib],tblReg[Bib],tblReg[FirstName],""))</f>
      </c>
      <c r="D92">
        <f>IF([@Bib]="","",XLOOKUP([@Bib],tblReg[Bib],tblReg[LastName],""))</f>
      </c>
      <c r="E92">
        <f>IF([@Bib]="","",XLOOKUP([@Bib],tblReg[Bib],tblReg[Team],""))</f>
      </c>
      <c r="F92" s="3" t="s">
        <v>22</v>
      </c>
      <c r="G92">
        <f>IF([@StageTime]="","",HOUR([@StageTime])*3600 + MINUTE([@StageTime])*60 + SECOND([@StageTime]))</f>
      </c>
      <c r="H92">
        <f>IF([@StageSeconds]="","",RANK([@StageSeconds],tblStage2[StageSeconds],1))</f>
      </c>
      <c r="I92">
        <f>IF([@Position]="",0,XLOOKUP([@Position],Config!tblBonus[Place],Config!tblBonus[Stage2BonusSec],0))</f>
      </c>
      <c r="J92">
        <f>IF([@StageSeconds]="","",[@StageSeconds]-[@BonusSeconds])</f>
      </c>
      <c r="K92" s="3">
        <f>IF([@NetSeconds]="","",[@NetSeconds]/86400)</f>
      </c>
    </row>
    <row r="93" spans="1:11" x14ac:dyDescent="0.25">
      <c r="A93" t="s">
        <v>22</v>
      </c>
      <c r="B93">
        <f>IF([@Bib]="","",XLOOKUP([@Bib],tblReg[Bib],tblReg[Field],""))</f>
      </c>
      <c r="C93">
        <f>IF([@Bib]="","",XLOOKUP([@Bib],tblReg[Bib],tblReg[FirstName],""))</f>
      </c>
      <c r="D93">
        <f>IF([@Bib]="","",XLOOKUP([@Bib],tblReg[Bib],tblReg[LastName],""))</f>
      </c>
      <c r="E93">
        <f>IF([@Bib]="","",XLOOKUP([@Bib],tblReg[Bib],tblReg[Team],""))</f>
      </c>
      <c r="F93" s="3" t="s">
        <v>22</v>
      </c>
      <c r="G93">
        <f>IF([@StageTime]="","",HOUR([@StageTime])*3600 + MINUTE([@StageTime])*60 + SECOND([@StageTime]))</f>
      </c>
      <c r="H93">
        <f>IF([@StageSeconds]="","",RANK([@StageSeconds],tblStage2[StageSeconds],1))</f>
      </c>
      <c r="I93">
        <f>IF([@Position]="",0,XLOOKUP([@Position],Config!tblBonus[Place],Config!tblBonus[Stage2BonusSec],0))</f>
      </c>
      <c r="J93">
        <f>IF([@StageSeconds]="","",[@StageSeconds]-[@BonusSeconds])</f>
      </c>
      <c r="K93" s="3">
        <f>IF([@NetSeconds]="","",[@NetSeconds]/86400)</f>
      </c>
    </row>
    <row r="94" spans="1:11" x14ac:dyDescent="0.25">
      <c r="A94" t="s">
        <v>22</v>
      </c>
      <c r="B94">
        <f>IF([@Bib]="","",XLOOKUP([@Bib],tblReg[Bib],tblReg[Field],""))</f>
      </c>
      <c r="C94">
        <f>IF([@Bib]="","",XLOOKUP([@Bib],tblReg[Bib],tblReg[FirstName],""))</f>
      </c>
      <c r="D94">
        <f>IF([@Bib]="","",XLOOKUP([@Bib],tblReg[Bib],tblReg[LastName],""))</f>
      </c>
      <c r="E94">
        <f>IF([@Bib]="","",XLOOKUP([@Bib],tblReg[Bib],tblReg[Team],""))</f>
      </c>
      <c r="F94" s="3" t="s">
        <v>22</v>
      </c>
      <c r="G94">
        <f>IF([@StageTime]="","",HOUR([@StageTime])*3600 + MINUTE([@StageTime])*60 + SECOND([@StageTime]))</f>
      </c>
      <c r="H94">
        <f>IF([@StageSeconds]="","",RANK([@StageSeconds],tblStage2[StageSeconds],1))</f>
      </c>
      <c r="I94">
        <f>IF([@Position]="",0,XLOOKUP([@Position],Config!tblBonus[Place],Config!tblBonus[Stage2BonusSec],0))</f>
      </c>
      <c r="J94">
        <f>IF([@StageSeconds]="","",[@StageSeconds]-[@BonusSeconds])</f>
      </c>
      <c r="K94" s="3">
        <f>IF([@NetSeconds]="","",[@NetSeconds]/86400)</f>
      </c>
    </row>
    <row r="95" spans="1:11" x14ac:dyDescent="0.25">
      <c r="A95" t="s">
        <v>22</v>
      </c>
      <c r="B95">
        <f>IF([@Bib]="","",XLOOKUP([@Bib],tblReg[Bib],tblReg[Field],""))</f>
      </c>
      <c r="C95">
        <f>IF([@Bib]="","",XLOOKUP([@Bib],tblReg[Bib],tblReg[FirstName],""))</f>
      </c>
      <c r="D95">
        <f>IF([@Bib]="","",XLOOKUP([@Bib],tblReg[Bib],tblReg[LastName],""))</f>
      </c>
      <c r="E95">
        <f>IF([@Bib]="","",XLOOKUP([@Bib],tblReg[Bib],tblReg[Team],""))</f>
      </c>
      <c r="F95" s="3" t="s">
        <v>22</v>
      </c>
      <c r="G95">
        <f>IF([@StageTime]="","",HOUR([@StageTime])*3600 + MINUTE([@StageTime])*60 + SECOND([@StageTime]))</f>
      </c>
      <c r="H95">
        <f>IF([@StageSeconds]="","",RANK([@StageSeconds],tblStage2[StageSeconds],1))</f>
      </c>
      <c r="I95">
        <f>IF([@Position]="",0,XLOOKUP([@Position],Config!tblBonus[Place],Config!tblBonus[Stage2BonusSec],0))</f>
      </c>
      <c r="J95">
        <f>IF([@StageSeconds]="","",[@StageSeconds]-[@BonusSeconds])</f>
      </c>
      <c r="K95" s="3">
        <f>IF([@NetSeconds]="","",[@NetSeconds]/86400)</f>
      </c>
    </row>
    <row r="96" spans="1:11" x14ac:dyDescent="0.25">
      <c r="A96" t="s">
        <v>22</v>
      </c>
      <c r="B96">
        <f>IF([@Bib]="","",XLOOKUP([@Bib],tblReg[Bib],tblReg[Field],""))</f>
      </c>
      <c r="C96">
        <f>IF([@Bib]="","",XLOOKUP([@Bib],tblReg[Bib],tblReg[FirstName],""))</f>
      </c>
      <c r="D96">
        <f>IF([@Bib]="","",XLOOKUP([@Bib],tblReg[Bib],tblReg[LastName],""))</f>
      </c>
      <c r="E96">
        <f>IF([@Bib]="","",XLOOKUP([@Bib],tblReg[Bib],tblReg[Team],""))</f>
      </c>
      <c r="F96" s="3" t="s">
        <v>22</v>
      </c>
      <c r="G96">
        <f>IF([@StageTime]="","",HOUR([@StageTime])*3600 + MINUTE([@StageTime])*60 + SECOND([@StageTime]))</f>
      </c>
      <c r="H96">
        <f>IF([@StageSeconds]="","",RANK([@StageSeconds],tblStage2[StageSeconds],1))</f>
      </c>
      <c r="I96">
        <f>IF([@Position]="",0,XLOOKUP([@Position],Config!tblBonus[Place],Config!tblBonus[Stage2BonusSec],0))</f>
      </c>
      <c r="J96">
        <f>IF([@StageSeconds]="","",[@StageSeconds]-[@BonusSeconds])</f>
      </c>
      <c r="K96" s="3">
        <f>IF([@NetSeconds]="","",[@NetSeconds]/86400)</f>
      </c>
    </row>
    <row r="97" spans="1:11" x14ac:dyDescent="0.25">
      <c r="A97" t="s">
        <v>22</v>
      </c>
      <c r="B97">
        <f>IF([@Bib]="","",XLOOKUP([@Bib],tblReg[Bib],tblReg[Field],""))</f>
      </c>
      <c r="C97">
        <f>IF([@Bib]="","",XLOOKUP([@Bib],tblReg[Bib],tblReg[FirstName],""))</f>
      </c>
      <c r="D97">
        <f>IF([@Bib]="","",XLOOKUP([@Bib],tblReg[Bib],tblReg[LastName],""))</f>
      </c>
      <c r="E97">
        <f>IF([@Bib]="","",XLOOKUP([@Bib],tblReg[Bib],tblReg[Team],""))</f>
      </c>
      <c r="F97" s="3" t="s">
        <v>22</v>
      </c>
      <c r="G97">
        <f>IF([@StageTime]="","",HOUR([@StageTime])*3600 + MINUTE([@StageTime])*60 + SECOND([@StageTime]))</f>
      </c>
      <c r="H97">
        <f>IF([@StageSeconds]="","",RANK([@StageSeconds],tblStage2[StageSeconds],1))</f>
      </c>
      <c r="I97">
        <f>IF([@Position]="",0,XLOOKUP([@Position],Config!tblBonus[Place],Config!tblBonus[Stage2BonusSec],0))</f>
      </c>
      <c r="J97">
        <f>IF([@StageSeconds]="","",[@StageSeconds]-[@BonusSeconds])</f>
      </c>
      <c r="K97" s="3">
        <f>IF([@NetSeconds]="","",[@NetSeconds]/86400)</f>
      </c>
    </row>
    <row r="98" spans="1:11" x14ac:dyDescent="0.25">
      <c r="A98" t="s">
        <v>22</v>
      </c>
      <c r="B98">
        <f>IF([@Bib]="","",XLOOKUP([@Bib],tblReg[Bib],tblReg[Field],""))</f>
      </c>
      <c r="C98">
        <f>IF([@Bib]="","",XLOOKUP([@Bib],tblReg[Bib],tblReg[FirstName],""))</f>
      </c>
      <c r="D98">
        <f>IF([@Bib]="","",XLOOKUP([@Bib],tblReg[Bib],tblReg[LastName],""))</f>
      </c>
      <c r="E98">
        <f>IF([@Bib]="","",XLOOKUP([@Bib],tblReg[Bib],tblReg[Team],""))</f>
      </c>
      <c r="F98" s="3" t="s">
        <v>22</v>
      </c>
      <c r="G98">
        <f>IF([@StageTime]="","",HOUR([@StageTime])*3600 + MINUTE([@StageTime])*60 + SECOND([@StageTime]))</f>
      </c>
      <c r="H98">
        <f>IF([@StageSeconds]="","",RANK([@StageSeconds],tblStage2[StageSeconds],1))</f>
      </c>
      <c r="I98">
        <f>IF([@Position]="",0,XLOOKUP([@Position],Config!tblBonus[Place],Config!tblBonus[Stage2BonusSec],0))</f>
      </c>
      <c r="J98">
        <f>IF([@StageSeconds]="","",[@StageSeconds]-[@BonusSeconds])</f>
      </c>
      <c r="K98" s="3">
        <f>IF([@NetSeconds]="","",[@NetSeconds]/86400)</f>
      </c>
    </row>
    <row r="99" spans="1:11" x14ac:dyDescent="0.25">
      <c r="A99" t="s">
        <v>22</v>
      </c>
      <c r="B99">
        <f>IF([@Bib]="","",XLOOKUP([@Bib],tblReg[Bib],tblReg[Field],""))</f>
      </c>
      <c r="C99">
        <f>IF([@Bib]="","",XLOOKUP([@Bib],tblReg[Bib],tblReg[FirstName],""))</f>
      </c>
      <c r="D99">
        <f>IF([@Bib]="","",XLOOKUP([@Bib],tblReg[Bib],tblReg[LastName],""))</f>
      </c>
      <c r="E99">
        <f>IF([@Bib]="","",XLOOKUP([@Bib],tblReg[Bib],tblReg[Team],""))</f>
      </c>
      <c r="F99" s="3" t="s">
        <v>22</v>
      </c>
      <c r="G99">
        <f>IF([@StageTime]="","",HOUR([@StageTime])*3600 + MINUTE([@StageTime])*60 + SECOND([@StageTime]))</f>
      </c>
      <c r="H99">
        <f>IF([@StageSeconds]="","",RANK([@StageSeconds],tblStage2[StageSeconds],1))</f>
      </c>
      <c r="I99">
        <f>IF([@Position]="",0,XLOOKUP([@Position],Config!tblBonus[Place],Config!tblBonus[Stage2BonusSec],0))</f>
      </c>
      <c r="J99">
        <f>IF([@StageSeconds]="","",[@StageSeconds]-[@BonusSeconds])</f>
      </c>
      <c r="K99" s="3">
        <f>IF([@NetSeconds]="","",[@NetSeconds]/86400)</f>
      </c>
    </row>
    <row r="100" spans="1:11" x14ac:dyDescent="0.25">
      <c r="A100" t="s">
        <v>22</v>
      </c>
      <c r="B100">
        <f>IF([@Bib]="","",XLOOKUP([@Bib],tblReg[Bib],tblReg[Field],""))</f>
      </c>
      <c r="C100">
        <f>IF([@Bib]="","",XLOOKUP([@Bib],tblReg[Bib],tblReg[FirstName],""))</f>
      </c>
      <c r="D100">
        <f>IF([@Bib]="","",XLOOKUP([@Bib],tblReg[Bib],tblReg[LastName],""))</f>
      </c>
      <c r="E100">
        <f>IF([@Bib]="","",XLOOKUP([@Bib],tblReg[Bib],tblReg[Team],""))</f>
      </c>
      <c r="F100" s="3" t="s">
        <v>22</v>
      </c>
      <c r="G100">
        <f>IF([@StageTime]="","",HOUR([@StageTime])*3600 + MINUTE([@StageTime])*60 + SECOND([@StageTime]))</f>
      </c>
      <c r="H100">
        <f>IF([@StageSeconds]="","",RANK([@StageSeconds],tblStage2[StageSeconds],1))</f>
      </c>
      <c r="I100">
        <f>IF([@Position]="",0,XLOOKUP([@Position],Config!tblBonus[Place],Config!tblBonus[Stage2BonusSec],0))</f>
      </c>
      <c r="J100">
        <f>IF([@StageSeconds]="","",[@StageSeconds]-[@BonusSeconds])</f>
      </c>
      <c r="K100" s="3">
        <f>IF([@NetSeconds]="","",[@NetSeconds]/86400)</f>
      </c>
    </row>
    <row r="101" spans="1:11" x14ac:dyDescent="0.25">
      <c r="A101" t="s">
        <v>22</v>
      </c>
      <c r="B101">
        <f>IF([@Bib]="","",XLOOKUP([@Bib],tblReg[Bib],tblReg[Field],""))</f>
      </c>
      <c r="C101">
        <f>IF([@Bib]="","",XLOOKUP([@Bib],tblReg[Bib],tblReg[FirstName],""))</f>
      </c>
      <c r="D101">
        <f>IF([@Bib]="","",XLOOKUP([@Bib],tblReg[Bib],tblReg[LastName],""))</f>
      </c>
      <c r="E101">
        <f>IF([@Bib]="","",XLOOKUP([@Bib],tblReg[Bib],tblReg[Team],""))</f>
      </c>
      <c r="F101" s="3" t="s">
        <v>22</v>
      </c>
      <c r="G101">
        <f>IF([@StageTime]="","",HOUR([@StageTime])*3600 + MINUTE([@StageTime])*60 + SECOND([@StageTime]))</f>
      </c>
      <c r="H101">
        <f>IF([@StageSeconds]="","",RANK([@StageSeconds],tblStage2[StageSeconds],1))</f>
      </c>
      <c r="I101">
        <f>IF([@Position]="",0,XLOOKUP([@Position],Config!tblBonus[Place],Config!tblBonus[Stage2BonusSec],0))</f>
      </c>
      <c r="J101">
        <f>IF([@StageSeconds]="","",[@StageSeconds]-[@BonusSeconds])</f>
      </c>
      <c r="K101" s="3">
        <f>IF([@NetSeconds]="","",[@NetSeconds]/86400)</f>
      </c>
    </row>
    <row r="102" spans="1:11" x14ac:dyDescent="0.25">
      <c r="A102" t="s">
        <v>22</v>
      </c>
      <c r="B102">
        <f>IF([@Bib]="","",XLOOKUP([@Bib],tblReg[Bib],tblReg[Field],""))</f>
      </c>
      <c r="C102">
        <f>IF([@Bib]="","",XLOOKUP([@Bib],tblReg[Bib],tblReg[FirstName],""))</f>
      </c>
      <c r="D102">
        <f>IF([@Bib]="","",XLOOKUP([@Bib],tblReg[Bib],tblReg[LastName],""))</f>
      </c>
      <c r="E102">
        <f>IF([@Bib]="","",XLOOKUP([@Bib],tblReg[Bib],tblReg[Team],""))</f>
      </c>
      <c r="F102" s="3" t="s">
        <v>22</v>
      </c>
      <c r="G102">
        <f>IF([@StageTime]="","",HOUR([@StageTime])*3600 + MINUTE([@StageTime])*60 + SECOND([@StageTime]))</f>
      </c>
      <c r="H102">
        <f>IF([@StageSeconds]="","",RANK([@StageSeconds],tblStage2[StageSeconds],1))</f>
      </c>
      <c r="I102">
        <f>IF([@Position]="",0,XLOOKUP([@Position],Config!tblBonus[Place],Config!tblBonus[Stage2BonusSec],0))</f>
      </c>
      <c r="J102">
        <f>IF([@StageSeconds]="","",[@StageSeconds]-[@BonusSeconds])</f>
      </c>
      <c r="K102" s="3">
        <f>IF([@NetSeconds]="","",[@NetSeconds]/86400)</f>
      </c>
    </row>
    <row r="103" spans="1:11" x14ac:dyDescent="0.25">
      <c r="A103" t="s">
        <v>22</v>
      </c>
      <c r="B103">
        <f>IF([@Bib]="","",XLOOKUP([@Bib],tblReg[Bib],tblReg[Field],""))</f>
      </c>
      <c r="C103">
        <f>IF([@Bib]="","",XLOOKUP([@Bib],tblReg[Bib],tblReg[FirstName],""))</f>
      </c>
      <c r="D103">
        <f>IF([@Bib]="","",XLOOKUP([@Bib],tblReg[Bib],tblReg[LastName],""))</f>
      </c>
      <c r="E103">
        <f>IF([@Bib]="","",XLOOKUP([@Bib],tblReg[Bib],tblReg[Team],""))</f>
      </c>
      <c r="F103" s="3" t="s">
        <v>22</v>
      </c>
      <c r="G103">
        <f>IF([@StageTime]="","",HOUR([@StageTime])*3600 + MINUTE([@StageTime])*60 + SECOND([@StageTime]))</f>
      </c>
      <c r="H103">
        <f>IF([@StageSeconds]="","",RANK([@StageSeconds],tblStage2[StageSeconds],1))</f>
      </c>
      <c r="I103">
        <f>IF([@Position]="",0,XLOOKUP([@Position],Config!tblBonus[Place],Config!tblBonus[Stage2BonusSec],0))</f>
      </c>
      <c r="J103">
        <f>IF([@StageSeconds]="","",[@StageSeconds]-[@BonusSeconds])</f>
      </c>
      <c r="K103" s="3">
        <f>IF([@NetSeconds]="","",[@NetSeconds]/86400)</f>
      </c>
    </row>
    <row r="104" spans="1:11" x14ac:dyDescent="0.25">
      <c r="A104" t="s">
        <v>22</v>
      </c>
      <c r="B104">
        <f>IF([@Bib]="","",XLOOKUP([@Bib],tblReg[Bib],tblReg[Field],""))</f>
      </c>
      <c r="C104">
        <f>IF([@Bib]="","",XLOOKUP([@Bib],tblReg[Bib],tblReg[FirstName],""))</f>
      </c>
      <c r="D104">
        <f>IF([@Bib]="","",XLOOKUP([@Bib],tblReg[Bib],tblReg[LastName],""))</f>
      </c>
      <c r="E104">
        <f>IF([@Bib]="","",XLOOKUP([@Bib],tblReg[Bib],tblReg[Team],""))</f>
      </c>
      <c r="F104" s="3" t="s">
        <v>22</v>
      </c>
      <c r="G104">
        <f>IF([@StageTime]="","",HOUR([@StageTime])*3600 + MINUTE([@StageTime])*60 + SECOND([@StageTime]))</f>
      </c>
      <c r="H104">
        <f>IF([@StageSeconds]="","",RANK([@StageSeconds],tblStage2[StageSeconds],1))</f>
      </c>
      <c r="I104">
        <f>IF([@Position]="",0,XLOOKUP([@Position],Config!tblBonus[Place],Config!tblBonus[Stage2BonusSec],0))</f>
      </c>
      <c r="J104">
        <f>IF([@StageSeconds]="","",[@StageSeconds]-[@BonusSeconds])</f>
      </c>
      <c r="K104" s="3">
        <f>IF([@NetSeconds]="","",[@NetSeconds]/86400)</f>
      </c>
    </row>
    <row r="105" spans="1:11" x14ac:dyDescent="0.25">
      <c r="A105" t="s">
        <v>22</v>
      </c>
      <c r="B105">
        <f>IF([@Bib]="","",XLOOKUP([@Bib],tblReg[Bib],tblReg[Field],""))</f>
      </c>
      <c r="C105">
        <f>IF([@Bib]="","",XLOOKUP([@Bib],tblReg[Bib],tblReg[FirstName],""))</f>
      </c>
      <c r="D105">
        <f>IF([@Bib]="","",XLOOKUP([@Bib],tblReg[Bib],tblReg[LastName],""))</f>
      </c>
      <c r="E105">
        <f>IF([@Bib]="","",XLOOKUP([@Bib],tblReg[Bib],tblReg[Team],""))</f>
      </c>
      <c r="F105" s="3" t="s">
        <v>22</v>
      </c>
      <c r="G105">
        <f>IF([@StageTime]="","",HOUR([@StageTime])*3600 + MINUTE([@StageTime])*60 + SECOND([@StageTime]))</f>
      </c>
      <c r="H105">
        <f>IF([@StageSeconds]="","",RANK([@StageSeconds],tblStage2[StageSeconds],1))</f>
      </c>
      <c r="I105">
        <f>IF([@Position]="",0,XLOOKUP([@Position],Config!tblBonus[Place],Config!tblBonus[Stage2BonusSec],0))</f>
      </c>
      <c r="J105">
        <f>IF([@StageSeconds]="","",[@StageSeconds]-[@BonusSeconds])</f>
      </c>
      <c r="K105" s="3">
        <f>IF([@NetSeconds]="","",[@NetSeconds]/86400)</f>
      </c>
    </row>
    <row r="106" spans="1:11" x14ac:dyDescent="0.25">
      <c r="A106" t="s">
        <v>22</v>
      </c>
      <c r="B106">
        <f>IF([@Bib]="","",XLOOKUP([@Bib],tblReg[Bib],tblReg[Field],""))</f>
      </c>
      <c r="C106">
        <f>IF([@Bib]="","",XLOOKUP([@Bib],tblReg[Bib],tblReg[FirstName],""))</f>
      </c>
      <c r="D106">
        <f>IF([@Bib]="","",XLOOKUP([@Bib],tblReg[Bib],tblReg[LastName],""))</f>
      </c>
      <c r="E106">
        <f>IF([@Bib]="","",XLOOKUP([@Bib],tblReg[Bib],tblReg[Team],""))</f>
      </c>
      <c r="F106" s="3" t="s">
        <v>22</v>
      </c>
      <c r="G106">
        <f>IF([@StageTime]="","",HOUR([@StageTime])*3600 + MINUTE([@StageTime])*60 + SECOND([@StageTime]))</f>
      </c>
      <c r="H106">
        <f>IF([@StageSeconds]="","",RANK([@StageSeconds],tblStage2[StageSeconds],1))</f>
      </c>
      <c r="I106">
        <f>IF([@Position]="",0,XLOOKUP([@Position],Config!tblBonus[Place],Config!tblBonus[Stage2BonusSec],0))</f>
      </c>
      <c r="J106">
        <f>IF([@StageSeconds]="","",[@StageSeconds]-[@BonusSeconds])</f>
      </c>
      <c r="K106" s="3">
        <f>IF([@NetSeconds]="","",[@NetSeconds]/86400)</f>
      </c>
    </row>
    <row r="107" spans="1:11" x14ac:dyDescent="0.25">
      <c r="A107" t="s">
        <v>22</v>
      </c>
      <c r="B107">
        <f>IF([@Bib]="","",XLOOKUP([@Bib],tblReg[Bib],tblReg[Field],""))</f>
      </c>
      <c r="C107">
        <f>IF([@Bib]="","",XLOOKUP([@Bib],tblReg[Bib],tblReg[FirstName],""))</f>
      </c>
      <c r="D107">
        <f>IF([@Bib]="","",XLOOKUP([@Bib],tblReg[Bib],tblReg[LastName],""))</f>
      </c>
      <c r="E107">
        <f>IF([@Bib]="","",XLOOKUP([@Bib],tblReg[Bib],tblReg[Team],""))</f>
      </c>
      <c r="F107" s="3" t="s">
        <v>22</v>
      </c>
      <c r="G107">
        <f>IF([@StageTime]="","",HOUR([@StageTime])*3600 + MINUTE([@StageTime])*60 + SECOND([@StageTime]))</f>
      </c>
      <c r="H107">
        <f>IF([@StageSeconds]="","",RANK([@StageSeconds],tblStage2[StageSeconds],1))</f>
      </c>
      <c r="I107">
        <f>IF([@Position]="",0,XLOOKUP([@Position],Config!tblBonus[Place],Config!tblBonus[Stage2BonusSec],0))</f>
      </c>
      <c r="J107">
        <f>IF([@StageSeconds]="","",[@StageSeconds]-[@BonusSeconds])</f>
      </c>
      <c r="K107" s="3">
        <f>IF([@NetSeconds]="","",[@NetSeconds]/86400)</f>
      </c>
    </row>
    <row r="108" spans="1:11" x14ac:dyDescent="0.25">
      <c r="A108" t="s">
        <v>22</v>
      </c>
      <c r="B108">
        <f>IF([@Bib]="","",XLOOKUP([@Bib],tblReg[Bib],tblReg[Field],""))</f>
      </c>
      <c r="C108">
        <f>IF([@Bib]="","",XLOOKUP([@Bib],tblReg[Bib],tblReg[FirstName],""))</f>
      </c>
      <c r="D108">
        <f>IF([@Bib]="","",XLOOKUP([@Bib],tblReg[Bib],tblReg[LastName],""))</f>
      </c>
      <c r="E108">
        <f>IF([@Bib]="","",XLOOKUP([@Bib],tblReg[Bib],tblReg[Team],""))</f>
      </c>
      <c r="F108" s="3" t="s">
        <v>22</v>
      </c>
      <c r="G108">
        <f>IF([@StageTime]="","",HOUR([@StageTime])*3600 + MINUTE([@StageTime])*60 + SECOND([@StageTime]))</f>
      </c>
      <c r="H108">
        <f>IF([@StageSeconds]="","",RANK([@StageSeconds],tblStage2[StageSeconds],1))</f>
      </c>
      <c r="I108">
        <f>IF([@Position]="",0,XLOOKUP([@Position],Config!tblBonus[Place],Config!tblBonus[Stage2BonusSec],0))</f>
      </c>
      <c r="J108">
        <f>IF([@StageSeconds]="","",[@StageSeconds]-[@BonusSeconds])</f>
      </c>
      <c r="K108" s="3">
        <f>IF([@NetSeconds]="","",[@NetSeconds]/86400)</f>
      </c>
    </row>
    <row r="109" spans="1:11" x14ac:dyDescent="0.25">
      <c r="A109" t="s">
        <v>22</v>
      </c>
      <c r="B109">
        <f>IF([@Bib]="","",XLOOKUP([@Bib],tblReg[Bib],tblReg[Field],""))</f>
      </c>
      <c r="C109">
        <f>IF([@Bib]="","",XLOOKUP([@Bib],tblReg[Bib],tblReg[FirstName],""))</f>
      </c>
      <c r="D109">
        <f>IF([@Bib]="","",XLOOKUP([@Bib],tblReg[Bib],tblReg[LastName],""))</f>
      </c>
      <c r="E109">
        <f>IF([@Bib]="","",XLOOKUP([@Bib],tblReg[Bib],tblReg[Team],""))</f>
      </c>
      <c r="F109" s="3" t="s">
        <v>22</v>
      </c>
      <c r="G109">
        <f>IF([@StageTime]="","",HOUR([@StageTime])*3600 + MINUTE([@StageTime])*60 + SECOND([@StageTime]))</f>
      </c>
      <c r="H109">
        <f>IF([@StageSeconds]="","",RANK([@StageSeconds],tblStage2[StageSeconds],1))</f>
      </c>
      <c r="I109">
        <f>IF([@Position]="",0,XLOOKUP([@Position],Config!tblBonus[Place],Config!tblBonus[Stage2BonusSec],0))</f>
      </c>
      <c r="J109">
        <f>IF([@StageSeconds]="","",[@StageSeconds]-[@BonusSeconds])</f>
      </c>
      <c r="K109" s="3">
        <f>IF([@NetSeconds]="","",[@NetSeconds]/86400)</f>
      </c>
    </row>
    <row r="110" spans="1:11" x14ac:dyDescent="0.25">
      <c r="A110" t="s">
        <v>22</v>
      </c>
      <c r="B110">
        <f>IF([@Bib]="","",XLOOKUP([@Bib],tblReg[Bib],tblReg[Field],""))</f>
      </c>
      <c r="C110">
        <f>IF([@Bib]="","",XLOOKUP([@Bib],tblReg[Bib],tblReg[FirstName],""))</f>
      </c>
      <c r="D110">
        <f>IF([@Bib]="","",XLOOKUP([@Bib],tblReg[Bib],tblReg[LastName],""))</f>
      </c>
      <c r="E110">
        <f>IF([@Bib]="","",XLOOKUP([@Bib],tblReg[Bib],tblReg[Team],""))</f>
      </c>
      <c r="F110" s="3" t="s">
        <v>22</v>
      </c>
      <c r="G110">
        <f>IF([@StageTime]="","",HOUR([@StageTime])*3600 + MINUTE([@StageTime])*60 + SECOND([@StageTime]))</f>
      </c>
      <c r="H110">
        <f>IF([@StageSeconds]="","",RANK([@StageSeconds],tblStage2[StageSeconds],1))</f>
      </c>
      <c r="I110">
        <f>IF([@Position]="",0,XLOOKUP([@Position],Config!tblBonus[Place],Config!tblBonus[Stage2BonusSec],0))</f>
      </c>
      <c r="J110">
        <f>IF([@StageSeconds]="","",[@StageSeconds]-[@BonusSeconds])</f>
      </c>
      <c r="K110" s="3">
        <f>IF([@NetSeconds]="","",[@NetSeconds]/86400)</f>
      </c>
    </row>
    <row r="111" spans="1:11" x14ac:dyDescent="0.25">
      <c r="A111" t="s">
        <v>22</v>
      </c>
      <c r="B111">
        <f>IF([@Bib]="","",XLOOKUP([@Bib],tblReg[Bib],tblReg[Field],""))</f>
      </c>
      <c r="C111">
        <f>IF([@Bib]="","",XLOOKUP([@Bib],tblReg[Bib],tblReg[FirstName],""))</f>
      </c>
      <c r="D111">
        <f>IF([@Bib]="","",XLOOKUP([@Bib],tblReg[Bib],tblReg[LastName],""))</f>
      </c>
      <c r="E111">
        <f>IF([@Bib]="","",XLOOKUP([@Bib],tblReg[Bib],tblReg[Team],""))</f>
      </c>
      <c r="F111" s="3" t="s">
        <v>22</v>
      </c>
      <c r="G111">
        <f>IF([@StageTime]="","",HOUR([@StageTime])*3600 + MINUTE([@StageTime])*60 + SECOND([@StageTime]))</f>
      </c>
      <c r="H111">
        <f>IF([@StageSeconds]="","",RANK([@StageSeconds],tblStage2[StageSeconds],1))</f>
      </c>
      <c r="I111">
        <f>IF([@Position]="",0,XLOOKUP([@Position],Config!tblBonus[Place],Config!tblBonus[Stage2BonusSec],0))</f>
      </c>
      <c r="J111">
        <f>IF([@StageSeconds]="","",[@StageSeconds]-[@BonusSeconds])</f>
      </c>
      <c r="K111" s="3">
        <f>IF([@NetSeconds]="","",[@NetSeconds]/86400)</f>
      </c>
    </row>
    <row r="112" spans="1:11" x14ac:dyDescent="0.25">
      <c r="A112" t="s">
        <v>22</v>
      </c>
      <c r="B112">
        <f>IF([@Bib]="","",XLOOKUP([@Bib],tblReg[Bib],tblReg[Field],""))</f>
      </c>
      <c r="C112">
        <f>IF([@Bib]="","",XLOOKUP([@Bib],tblReg[Bib],tblReg[FirstName],""))</f>
      </c>
      <c r="D112">
        <f>IF([@Bib]="","",XLOOKUP([@Bib],tblReg[Bib],tblReg[LastName],""))</f>
      </c>
      <c r="E112">
        <f>IF([@Bib]="","",XLOOKUP([@Bib],tblReg[Bib],tblReg[Team],""))</f>
      </c>
      <c r="F112" s="3" t="s">
        <v>22</v>
      </c>
      <c r="G112">
        <f>IF([@StageTime]="","",HOUR([@StageTime])*3600 + MINUTE([@StageTime])*60 + SECOND([@StageTime]))</f>
      </c>
      <c r="H112">
        <f>IF([@StageSeconds]="","",RANK([@StageSeconds],tblStage2[StageSeconds],1))</f>
      </c>
      <c r="I112">
        <f>IF([@Position]="",0,XLOOKUP([@Position],Config!tblBonus[Place],Config!tblBonus[Stage2BonusSec],0))</f>
      </c>
      <c r="J112">
        <f>IF([@StageSeconds]="","",[@StageSeconds]-[@BonusSeconds])</f>
      </c>
      <c r="K112" s="3">
        <f>IF([@NetSeconds]="","",[@NetSeconds]/86400)</f>
      </c>
    </row>
    <row r="113" spans="1:11" x14ac:dyDescent="0.25">
      <c r="A113" t="s">
        <v>22</v>
      </c>
      <c r="B113">
        <f>IF([@Bib]="","",XLOOKUP([@Bib],tblReg[Bib],tblReg[Field],""))</f>
      </c>
      <c r="C113">
        <f>IF([@Bib]="","",XLOOKUP([@Bib],tblReg[Bib],tblReg[FirstName],""))</f>
      </c>
      <c r="D113">
        <f>IF([@Bib]="","",XLOOKUP([@Bib],tblReg[Bib],tblReg[LastName],""))</f>
      </c>
      <c r="E113">
        <f>IF([@Bib]="","",XLOOKUP([@Bib],tblReg[Bib],tblReg[Team],""))</f>
      </c>
      <c r="F113" s="3" t="s">
        <v>22</v>
      </c>
      <c r="G113">
        <f>IF([@StageTime]="","",HOUR([@StageTime])*3600 + MINUTE([@StageTime])*60 + SECOND([@StageTime]))</f>
      </c>
      <c r="H113">
        <f>IF([@StageSeconds]="","",RANK([@StageSeconds],tblStage2[StageSeconds],1))</f>
      </c>
      <c r="I113">
        <f>IF([@Position]="",0,XLOOKUP([@Position],Config!tblBonus[Place],Config!tblBonus[Stage2BonusSec],0))</f>
      </c>
      <c r="J113">
        <f>IF([@StageSeconds]="","",[@StageSeconds]-[@BonusSeconds])</f>
      </c>
      <c r="K113" s="3">
        <f>IF([@NetSeconds]="","",[@NetSeconds]/86400)</f>
      </c>
    </row>
    <row r="114" spans="1:11" x14ac:dyDescent="0.25">
      <c r="A114" t="s">
        <v>22</v>
      </c>
      <c r="B114">
        <f>IF([@Bib]="","",XLOOKUP([@Bib],tblReg[Bib],tblReg[Field],""))</f>
      </c>
      <c r="C114">
        <f>IF([@Bib]="","",XLOOKUP([@Bib],tblReg[Bib],tblReg[FirstName],""))</f>
      </c>
      <c r="D114">
        <f>IF([@Bib]="","",XLOOKUP([@Bib],tblReg[Bib],tblReg[LastName],""))</f>
      </c>
      <c r="E114">
        <f>IF([@Bib]="","",XLOOKUP([@Bib],tblReg[Bib],tblReg[Team],""))</f>
      </c>
      <c r="F114" s="3" t="s">
        <v>22</v>
      </c>
      <c r="G114">
        <f>IF([@StageTime]="","",HOUR([@StageTime])*3600 + MINUTE([@StageTime])*60 + SECOND([@StageTime]))</f>
      </c>
      <c r="H114">
        <f>IF([@StageSeconds]="","",RANK([@StageSeconds],tblStage2[StageSeconds],1))</f>
      </c>
      <c r="I114">
        <f>IF([@Position]="",0,XLOOKUP([@Position],Config!tblBonus[Place],Config!tblBonus[Stage2BonusSec],0))</f>
      </c>
      <c r="J114">
        <f>IF([@StageSeconds]="","",[@StageSeconds]-[@BonusSeconds])</f>
      </c>
      <c r="K114" s="3">
        <f>IF([@NetSeconds]="","",[@NetSeconds]/86400)</f>
      </c>
    </row>
    <row r="115" spans="1:11" x14ac:dyDescent="0.25">
      <c r="A115" t="s">
        <v>22</v>
      </c>
      <c r="B115">
        <f>IF([@Bib]="","",XLOOKUP([@Bib],tblReg[Bib],tblReg[Field],""))</f>
      </c>
      <c r="C115">
        <f>IF([@Bib]="","",XLOOKUP([@Bib],tblReg[Bib],tblReg[FirstName],""))</f>
      </c>
      <c r="D115">
        <f>IF([@Bib]="","",XLOOKUP([@Bib],tblReg[Bib],tblReg[LastName],""))</f>
      </c>
      <c r="E115">
        <f>IF([@Bib]="","",XLOOKUP([@Bib],tblReg[Bib],tblReg[Team],""))</f>
      </c>
      <c r="F115" s="3" t="s">
        <v>22</v>
      </c>
      <c r="G115">
        <f>IF([@StageTime]="","",HOUR([@StageTime])*3600 + MINUTE([@StageTime])*60 + SECOND([@StageTime]))</f>
      </c>
      <c r="H115">
        <f>IF([@StageSeconds]="","",RANK([@StageSeconds],tblStage2[StageSeconds],1))</f>
      </c>
      <c r="I115">
        <f>IF([@Position]="",0,XLOOKUP([@Position],Config!tblBonus[Place],Config!tblBonus[Stage2BonusSec],0))</f>
      </c>
      <c r="J115">
        <f>IF([@StageSeconds]="","",[@StageSeconds]-[@BonusSeconds])</f>
      </c>
      <c r="K115" s="3">
        <f>IF([@NetSeconds]="","",[@NetSeconds]/86400)</f>
      </c>
    </row>
    <row r="116" spans="1:11" x14ac:dyDescent="0.25">
      <c r="A116" t="s">
        <v>22</v>
      </c>
      <c r="B116">
        <f>IF([@Bib]="","",XLOOKUP([@Bib],tblReg[Bib],tblReg[Field],""))</f>
      </c>
      <c r="C116">
        <f>IF([@Bib]="","",XLOOKUP([@Bib],tblReg[Bib],tblReg[FirstName],""))</f>
      </c>
      <c r="D116">
        <f>IF([@Bib]="","",XLOOKUP([@Bib],tblReg[Bib],tblReg[LastName],""))</f>
      </c>
      <c r="E116">
        <f>IF([@Bib]="","",XLOOKUP([@Bib],tblReg[Bib],tblReg[Team],""))</f>
      </c>
      <c r="F116" s="3" t="s">
        <v>22</v>
      </c>
      <c r="G116">
        <f>IF([@StageTime]="","",HOUR([@StageTime])*3600 + MINUTE([@StageTime])*60 + SECOND([@StageTime]))</f>
      </c>
      <c r="H116">
        <f>IF([@StageSeconds]="","",RANK([@StageSeconds],tblStage2[StageSeconds],1))</f>
      </c>
      <c r="I116">
        <f>IF([@Position]="",0,XLOOKUP([@Position],Config!tblBonus[Place],Config!tblBonus[Stage2BonusSec],0))</f>
      </c>
      <c r="J116">
        <f>IF([@StageSeconds]="","",[@StageSeconds]-[@BonusSeconds])</f>
      </c>
      <c r="K116" s="3">
        <f>IF([@NetSeconds]="","",[@NetSeconds]/86400)</f>
      </c>
    </row>
    <row r="117" spans="1:11" x14ac:dyDescent="0.25">
      <c r="A117" t="s">
        <v>22</v>
      </c>
      <c r="B117">
        <f>IF([@Bib]="","",XLOOKUP([@Bib],tblReg[Bib],tblReg[Field],""))</f>
      </c>
      <c r="C117">
        <f>IF([@Bib]="","",XLOOKUP([@Bib],tblReg[Bib],tblReg[FirstName],""))</f>
      </c>
      <c r="D117">
        <f>IF([@Bib]="","",XLOOKUP([@Bib],tblReg[Bib],tblReg[LastName],""))</f>
      </c>
      <c r="E117">
        <f>IF([@Bib]="","",XLOOKUP([@Bib],tblReg[Bib],tblReg[Team],""))</f>
      </c>
      <c r="F117" s="3" t="s">
        <v>22</v>
      </c>
      <c r="G117">
        <f>IF([@StageTime]="","",HOUR([@StageTime])*3600 + MINUTE([@StageTime])*60 + SECOND([@StageTime]))</f>
      </c>
      <c r="H117">
        <f>IF([@StageSeconds]="","",RANK([@StageSeconds],tblStage2[StageSeconds],1))</f>
      </c>
      <c r="I117">
        <f>IF([@Position]="",0,XLOOKUP([@Position],Config!tblBonus[Place],Config!tblBonus[Stage2BonusSec],0))</f>
      </c>
      <c r="J117">
        <f>IF([@StageSeconds]="","",[@StageSeconds]-[@BonusSeconds])</f>
      </c>
      <c r="K117" s="3">
        <f>IF([@NetSeconds]="","",[@NetSeconds]/86400)</f>
      </c>
    </row>
    <row r="118" spans="1:11" x14ac:dyDescent="0.25">
      <c r="A118" t="s">
        <v>22</v>
      </c>
      <c r="B118">
        <f>IF([@Bib]="","",XLOOKUP([@Bib],tblReg[Bib],tblReg[Field],""))</f>
      </c>
      <c r="C118">
        <f>IF([@Bib]="","",XLOOKUP([@Bib],tblReg[Bib],tblReg[FirstName],""))</f>
      </c>
      <c r="D118">
        <f>IF([@Bib]="","",XLOOKUP([@Bib],tblReg[Bib],tblReg[LastName],""))</f>
      </c>
      <c r="E118">
        <f>IF([@Bib]="","",XLOOKUP([@Bib],tblReg[Bib],tblReg[Team],""))</f>
      </c>
      <c r="F118" s="3" t="s">
        <v>22</v>
      </c>
      <c r="G118">
        <f>IF([@StageTime]="","",HOUR([@StageTime])*3600 + MINUTE([@StageTime])*60 + SECOND([@StageTime]))</f>
      </c>
      <c r="H118">
        <f>IF([@StageSeconds]="","",RANK([@StageSeconds],tblStage2[StageSeconds],1))</f>
      </c>
      <c r="I118">
        <f>IF([@Position]="",0,XLOOKUP([@Position],Config!tblBonus[Place],Config!tblBonus[Stage2BonusSec],0))</f>
      </c>
      <c r="J118">
        <f>IF([@StageSeconds]="","",[@StageSeconds]-[@BonusSeconds])</f>
      </c>
      <c r="K118" s="3">
        <f>IF([@NetSeconds]="","",[@NetSeconds]/86400)</f>
      </c>
    </row>
    <row r="119" spans="1:11" x14ac:dyDescent="0.25">
      <c r="A119" t="s">
        <v>22</v>
      </c>
      <c r="B119">
        <f>IF([@Bib]="","",XLOOKUP([@Bib],tblReg[Bib],tblReg[Field],""))</f>
      </c>
      <c r="C119">
        <f>IF([@Bib]="","",XLOOKUP([@Bib],tblReg[Bib],tblReg[FirstName],""))</f>
      </c>
      <c r="D119">
        <f>IF([@Bib]="","",XLOOKUP([@Bib],tblReg[Bib],tblReg[LastName],""))</f>
      </c>
      <c r="E119">
        <f>IF([@Bib]="","",XLOOKUP([@Bib],tblReg[Bib],tblReg[Team],""))</f>
      </c>
      <c r="F119" s="3" t="s">
        <v>22</v>
      </c>
      <c r="G119">
        <f>IF([@StageTime]="","",HOUR([@StageTime])*3600 + MINUTE([@StageTime])*60 + SECOND([@StageTime]))</f>
      </c>
      <c r="H119">
        <f>IF([@StageSeconds]="","",RANK([@StageSeconds],tblStage2[StageSeconds],1))</f>
      </c>
      <c r="I119">
        <f>IF([@Position]="",0,XLOOKUP([@Position],Config!tblBonus[Place],Config!tblBonus[Stage2BonusSec],0))</f>
      </c>
      <c r="J119">
        <f>IF([@StageSeconds]="","",[@StageSeconds]-[@BonusSeconds])</f>
      </c>
      <c r="K119" s="3">
        <f>IF([@NetSeconds]="","",[@NetSeconds]/86400)</f>
      </c>
    </row>
    <row r="120" spans="1:11" x14ac:dyDescent="0.25">
      <c r="A120" t="s">
        <v>22</v>
      </c>
      <c r="B120">
        <f>IF([@Bib]="","",XLOOKUP([@Bib],tblReg[Bib],tblReg[Field],""))</f>
      </c>
      <c r="C120">
        <f>IF([@Bib]="","",XLOOKUP([@Bib],tblReg[Bib],tblReg[FirstName],""))</f>
      </c>
      <c r="D120">
        <f>IF([@Bib]="","",XLOOKUP([@Bib],tblReg[Bib],tblReg[LastName],""))</f>
      </c>
      <c r="E120">
        <f>IF([@Bib]="","",XLOOKUP([@Bib],tblReg[Bib],tblReg[Team],""))</f>
      </c>
      <c r="F120" s="3" t="s">
        <v>22</v>
      </c>
      <c r="G120">
        <f>IF([@StageTime]="","",HOUR([@StageTime])*3600 + MINUTE([@StageTime])*60 + SECOND([@StageTime]))</f>
      </c>
      <c r="H120">
        <f>IF([@StageSeconds]="","",RANK([@StageSeconds],tblStage2[StageSeconds],1))</f>
      </c>
      <c r="I120">
        <f>IF([@Position]="",0,XLOOKUP([@Position],Config!tblBonus[Place],Config!tblBonus[Stage2BonusSec],0))</f>
      </c>
      <c r="J120">
        <f>IF([@StageSeconds]="","",[@StageSeconds]-[@BonusSeconds])</f>
      </c>
      <c r="K120" s="3">
        <f>IF([@NetSeconds]="","",[@NetSeconds]/86400)</f>
      </c>
    </row>
    <row r="121" spans="1:11" x14ac:dyDescent="0.25">
      <c r="A121" t="s">
        <v>22</v>
      </c>
      <c r="B121">
        <f>IF([@Bib]="","",XLOOKUP([@Bib],tblReg[Bib],tblReg[Field],""))</f>
      </c>
      <c r="C121">
        <f>IF([@Bib]="","",XLOOKUP([@Bib],tblReg[Bib],tblReg[FirstName],""))</f>
      </c>
      <c r="D121">
        <f>IF([@Bib]="","",XLOOKUP([@Bib],tblReg[Bib],tblReg[LastName],""))</f>
      </c>
      <c r="E121">
        <f>IF([@Bib]="","",XLOOKUP([@Bib],tblReg[Bib],tblReg[Team],""))</f>
      </c>
      <c r="F121" s="3" t="s">
        <v>22</v>
      </c>
      <c r="G121">
        <f>IF([@StageTime]="","",HOUR([@StageTime])*3600 + MINUTE([@StageTime])*60 + SECOND([@StageTime]))</f>
      </c>
      <c r="H121">
        <f>IF([@StageSeconds]="","",RANK([@StageSeconds],tblStage2[StageSeconds],1))</f>
      </c>
      <c r="I121">
        <f>IF([@Position]="",0,XLOOKUP([@Position],Config!tblBonus[Place],Config!tblBonus[Stage2BonusSec],0))</f>
      </c>
      <c r="J121">
        <f>IF([@StageSeconds]="","",[@StageSeconds]-[@BonusSeconds])</f>
      </c>
      <c r="K121" s="3">
        <f>IF([@NetSeconds]="","",[@NetSeconds]/86400)</f>
      </c>
    </row>
    <row r="122" spans="1:11" x14ac:dyDescent="0.25">
      <c r="A122" t="s">
        <v>22</v>
      </c>
      <c r="B122">
        <f>IF([@Bib]="","",XLOOKUP([@Bib],tblReg[Bib],tblReg[Field],""))</f>
      </c>
      <c r="C122">
        <f>IF([@Bib]="","",XLOOKUP([@Bib],tblReg[Bib],tblReg[FirstName],""))</f>
      </c>
      <c r="D122">
        <f>IF([@Bib]="","",XLOOKUP([@Bib],tblReg[Bib],tblReg[LastName],""))</f>
      </c>
      <c r="E122">
        <f>IF([@Bib]="","",XLOOKUP([@Bib],tblReg[Bib],tblReg[Team],""))</f>
      </c>
      <c r="F122" s="3" t="s">
        <v>22</v>
      </c>
      <c r="G122">
        <f>IF([@StageTime]="","",HOUR([@StageTime])*3600 + MINUTE([@StageTime])*60 + SECOND([@StageTime]))</f>
      </c>
      <c r="H122">
        <f>IF([@StageSeconds]="","",RANK([@StageSeconds],tblStage2[StageSeconds],1))</f>
      </c>
      <c r="I122">
        <f>IF([@Position]="",0,XLOOKUP([@Position],Config!tblBonus[Place],Config!tblBonus[Stage2BonusSec],0))</f>
      </c>
      <c r="J122">
        <f>IF([@StageSeconds]="","",[@StageSeconds]-[@BonusSeconds])</f>
      </c>
      <c r="K122" s="3">
        <f>IF([@NetSeconds]="","",[@NetSeconds]/86400)</f>
      </c>
    </row>
    <row r="123" spans="1:11" x14ac:dyDescent="0.25">
      <c r="A123" t="s">
        <v>22</v>
      </c>
      <c r="B123">
        <f>IF([@Bib]="","",XLOOKUP([@Bib],tblReg[Bib],tblReg[Field],""))</f>
      </c>
      <c r="C123">
        <f>IF([@Bib]="","",XLOOKUP([@Bib],tblReg[Bib],tblReg[FirstName],""))</f>
      </c>
      <c r="D123">
        <f>IF([@Bib]="","",XLOOKUP([@Bib],tblReg[Bib],tblReg[LastName],""))</f>
      </c>
      <c r="E123">
        <f>IF([@Bib]="","",XLOOKUP([@Bib],tblReg[Bib],tblReg[Team],""))</f>
      </c>
      <c r="F123" s="3" t="s">
        <v>22</v>
      </c>
      <c r="G123">
        <f>IF([@StageTime]="","",HOUR([@StageTime])*3600 + MINUTE([@StageTime])*60 + SECOND([@StageTime]))</f>
      </c>
      <c r="H123">
        <f>IF([@StageSeconds]="","",RANK([@StageSeconds],tblStage2[StageSeconds],1))</f>
      </c>
      <c r="I123">
        <f>IF([@Position]="",0,XLOOKUP([@Position],Config!tblBonus[Place],Config!tblBonus[Stage2BonusSec],0))</f>
      </c>
      <c r="J123">
        <f>IF([@StageSeconds]="","",[@StageSeconds]-[@BonusSeconds])</f>
      </c>
      <c r="K123" s="3">
        <f>IF([@NetSeconds]="","",[@NetSeconds]/86400)</f>
      </c>
    </row>
    <row r="124" spans="1:11" x14ac:dyDescent="0.25">
      <c r="A124" t="s">
        <v>22</v>
      </c>
      <c r="B124">
        <f>IF([@Bib]="","",XLOOKUP([@Bib],tblReg[Bib],tblReg[Field],""))</f>
      </c>
      <c r="C124">
        <f>IF([@Bib]="","",XLOOKUP([@Bib],tblReg[Bib],tblReg[FirstName],""))</f>
      </c>
      <c r="D124">
        <f>IF([@Bib]="","",XLOOKUP([@Bib],tblReg[Bib],tblReg[LastName],""))</f>
      </c>
      <c r="E124">
        <f>IF([@Bib]="","",XLOOKUP([@Bib],tblReg[Bib],tblReg[Team],""))</f>
      </c>
      <c r="F124" s="3" t="s">
        <v>22</v>
      </c>
      <c r="G124">
        <f>IF([@StageTime]="","",HOUR([@StageTime])*3600 + MINUTE([@StageTime])*60 + SECOND([@StageTime]))</f>
      </c>
      <c r="H124">
        <f>IF([@StageSeconds]="","",RANK([@StageSeconds],tblStage2[StageSeconds],1))</f>
      </c>
      <c r="I124">
        <f>IF([@Position]="",0,XLOOKUP([@Position],Config!tblBonus[Place],Config!tblBonus[Stage2BonusSec],0))</f>
      </c>
      <c r="J124">
        <f>IF([@StageSeconds]="","",[@StageSeconds]-[@BonusSeconds])</f>
      </c>
      <c r="K124" s="3">
        <f>IF([@NetSeconds]="","",[@NetSeconds]/86400)</f>
      </c>
    </row>
    <row r="125" spans="1:11" x14ac:dyDescent="0.25">
      <c r="A125" t="s">
        <v>22</v>
      </c>
      <c r="B125">
        <f>IF([@Bib]="","",XLOOKUP([@Bib],tblReg[Bib],tblReg[Field],""))</f>
      </c>
      <c r="C125">
        <f>IF([@Bib]="","",XLOOKUP([@Bib],tblReg[Bib],tblReg[FirstName],""))</f>
      </c>
      <c r="D125">
        <f>IF([@Bib]="","",XLOOKUP([@Bib],tblReg[Bib],tblReg[LastName],""))</f>
      </c>
      <c r="E125">
        <f>IF([@Bib]="","",XLOOKUP([@Bib],tblReg[Bib],tblReg[Team],""))</f>
      </c>
      <c r="F125" s="3" t="s">
        <v>22</v>
      </c>
      <c r="G125">
        <f>IF([@StageTime]="","",HOUR([@StageTime])*3600 + MINUTE([@StageTime])*60 + SECOND([@StageTime]))</f>
      </c>
      <c r="H125">
        <f>IF([@StageSeconds]="","",RANK([@StageSeconds],tblStage2[StageSeconds],1))</f>
      </c>
      <c r="I125">
        <f>IF([@Position]="",0,XLOOKUP([@Position],Config!tblBonus[Place],Config!tblBonus[Stage2BonusSec],0))</f>
      </c>
      <c r="J125">
        <f>IF([@StageSeconds]="","",[@StageSeconds]-[@BonusSeconds])</f>
      </c>
      <c r="K125" s="3">
        <f>IF([@NetSeconds]="","",[@NetSeconds]/86400)</f>
      </c>
    </row>
    <row r="126" spans="1:11" x14ac:dyDescent="0.25">
      <c r="A126" t="s">
        <v>22</v>
      </c>
      <c r="B126">
        <f>IF([@Bib]="","",XLOOKUP([@Bib],tblReg[Bib],tblReg[Field],""))</f>
      </c>
      <c r="C126">
        <f>IF([@Bib]="","",XLOOKUP([@Bib],tblReg[Bib],tblReg[FirstName],""))</f>
      </c>
      <c r="D126">
        <f>IF([@Bib]="","",XLOOKUP([@Bib],tblReg[Bib],tblReg[LastName],""))</f>
      </c>
      <c r="E126">
        <f>IF([@Bib]="","",XLOOKUP([@Bib],tblReg[Bib],tblReg[Team],""))</f>
      </c>
      <c r="F126" s="3" t="s">
        <v>22</v>
      </c>
      <c r="G126">
        <f>IF([@StageTime]="","",HOUR([@StageTime])*3600 + MINUTE([@StageTime])*60 + SECOND([@StageTime]))</f>
      </c>
      <c r="H126">
        <f>IF([@StageSeconds]="","",RANK([@StageSeconds],tblStage2[StageSeconds],1))</f>
      </c>
      <c r="I126">
        <f>IF([@Position]="",0,XLOOKUP([@Position],Config!tblBonus[Place],Config!tblBonus[Stage2BonusSec],0))</f>
      </c>
      <c r="J126">
        <f>IF([@StageSeconds]="","",[@StageSeconds]-[@BonusSeconds])</f>
      </c>
      <c r="K126" s="3">
        <f>IF([@NetSeconds]="","",[@NetSeconds]/86400)</f>
      </c>
    </row>
    <row r="127" spans="1:11" x14ac:dyDescent="0.25">
      <c r="A127" t="s">
        <v>22</v>
      </c>
      <c r="B127">
        <f>IF([@Bib]="","",XLOOKUP([@Bib],tblReg[Bib],tblReg[Field],""))</f>
      </c>
      <c r="C127">
        <f>IF([@Bib]="","",XLOOKUP([@Bib],tblReg[Bib],tblReg[FirstName],""))</f>
      </c>
      <c r="D127">
        <f>IF([@Bib]="","",XLOOKUP([@Bib],tblReg[Bib],tblReg[LastName],""))</f>
      </c>
      <c r="E127">
        <f>IF([@Bib]="","",XLOOKUP([@Bib],tblReg[Bib],tblReg[Team],""))</f>
      </c>
      <c r="F127" s="3" t="s">
        <v>22</v>
      </c>
      <c r="G127">
        <f>IF([@StageTime]="","",HOUR([@StageTime])*3600 + MINUTE([@StageTime])*60 + SECOND([@StageTime]))</f>
      </c>
      <c r="H127">
        <f>IF([@StageSeconds]="","",RANK([@StageSeconds],tblStage2[StageSeconds],1))</f>
      </c>
      <c r="I127">
        <f>IF([@Position]="",0,XLOOKUP([@Position],Config!tblBonus[Place],Config!tblBonus[Stage2BonusSec],0))</f>
      </c>
      <c r="J127">
        <f>IF([@StageSeconds]="","",[@StageSeconds]-[@BonusSeconds])</f>
      </c>
      <c r="K127" s="3">
        <f>IF([@NetSeconds]="","",[@NetSeconds]/86400)</f>
      </c>
    </row>
    <row r="128" spans="1:11" x14ac:dyDescent="0.25">
      <c r="A128" t="s">
        <v>22</v>
      </c>
      <c r="B128">
        <f>IF([@Bib]="","",XLOOKUP([@Bib],tblReg[Bib],tblReg[Field],""))</f>
      </c>
      <c r="C128">
        <f>IF([@Bib]="","",XLOOKUP([@Bib],tblReg[Bib],tblReg[FirstName],""))</f>
      </c>
      <c r="D128">
        <f>IF([@Bib]="","",XLOOKUP([@Bib],tblReg[Bib],tblReg[LastName],""))</f>
      </c>
      <c r="E128">
        <f>IF([@Bib]="","",XLOOKUP([@Bib],tblReg[Bib],tblReg[Team],""))</f>
      </c>
      <c r="F128" s="3" t="s">
        <v>22</v>
      </c>
      <c r="G128">
        <f>IF([@StageTime]="","",HOUR([@StageTime])*3600 + MINUTE([@StageTime])*60 + SECOND([@StageTime]))</f>
      </c>
      <c r="H128">
        <f>IF([@StageSeconds]="","",RANK([@StageSeconds],tblStage2[StageSeconds],1))</f>
      </c>
      <c r="I128">
        <f>IF([@Position]="",0,XLOOKUP([@Position],Config!tblBonus[Place],Config!tblBonus[Stage2BonusSec],0))</f>
      </c>
      <c r="J128">
        <f>IF([@StageSeconds]="","",[@StageSeconds]-[@BonusSeconds])</f>
      </c>
      <c r="K128" s="3">
        <f>IF([@NetSeconds]="","",[@NetSeconds]/86400)</f>
      </c>
    </row>
    <row r="129" spans="1:11" x14ac:dyDescent="0.25">
      <c r="A129" t="s">
        <v>22</v>
      </c>
      <c r="B129">
        <f>IF([@Bib]="","",XLOOKUP([@Bib],tblReg[Bib],tblReg[Field],""))</f>
      </c>
      <c r="C129">
        <f>IF([@Bib]="","",XLOOKUP([@Bib],tblReg[Bib],tblReg[FirstName],""))</f>
      </c>
      <c r="D129">
        <f>IF([@Bib]="","",XLOOKUP([@Bib],tblReg[Bib],tblReg[LastName],""))</f>
      </c>
      <c r="E129">
        <f>IF([@Bib]="","",XLOOKUP([@Bib],tblReg[Bib],tblReg[Team],""))</f>
      </c>
      <c r="F129" s="3" t="s">
        <v>22</v>
      </c>
      <c r="G129">
        <f>IF([@StageTime]="","",HOUR([@StageTime])*3600 + MINUTE([@StageTime])*60 + SECOND([@StageTime]))</f>
      </c>
      <c r="H129">
        <f>IF([@StageSeconds]="","",RANK([@StageSeconds],tblStage2[StageSeconds],1))</f>
      </c>
      <c r="I129">
        <f>IF([@Position]="",0,XLOOKUP([@Position],Config!tblBonus[Place],Config!tblBonus[Stage2BonusSec],0))</f>
      </c>
      <c r="J129">
        <f>IF([@StageSeconds]="","",[@StageSeconds]-[@BonusSeconds])</f>
      </c>
      <c r="K129" s="3">
        <f>IF([@NetSeconds]="","",[@NetSeconds]/86400)</f>
      </c>
    </row>
    <row r="130" spans="1:11" x14ac:dyDescent="0.25">
      <c r="A130" t="s">
        <v>22</v>
      </c>
      <c r="B130">
        <f>IF([@Bib]="","",XLOOKUP([@Bib],tblReg[Bib],tblReg[Field],""))</f>
      </c>
      <c r="C130">
        <f>IF([@Bib]="","",XLOOKUP([@Bib],tblReg[Bib],tblReg[FirstName],""))</f>
      </c>
      <c r="D130">
        <f>IF([@Bib]="","",XLOOKUP([@Bib],tblReg[Bib],tblReg[LastName],""))</f>
      </c>
      <c r="E130">
        <f>IF([@Bib]="","",XLOOKUP([@Bib],tblReg[Bib],tblReg[Team],""))</f>
      </c>
      <c r="F130" s="3" t="s">
        <v>22</v>
      </c>
      <c r="G130">
        <f>IF([@StageTime]="","",HOUR([@StageTime])*3600 + MINUTE([@StageTime])*60 + SECOND([@StageTime]))</f>
      </c>
      <c r="H130">
        <f>IF([@StageSeconds]="","",RANK([@StageSeconds],tblStage2[StageSeconds],1))</f>
      </c>
      <c r="I130">
        <f>IF([@Position]="",0,XLOOKUP([@Position],Config!tblBonus[Place],Config!tblBonus[Stage2BonusSec],0))</f>
      </c>
      <c r="J130">
        <f>IF([@StageSeconds]="","",[@StageSeconds]-[@BonusSeconds])</f>
      </c>
      <c r="K130" s="3">
        <f>IF([@NetSeconds]="","",[@NetSeconds]/86400)</f>
      </c>
    </row>
    <row r="131" spans="1:11" x14ac:dyDescent="0.25">
      <c r="A131" t="s">
        <v>22</v>
      </c>
      <c r="B131">
        <f>IF([@Bib]="","",XLOOKUP([@Bib],tblReg[Bib],tblReg[Field],""))</f>
      </c>
      <c r="C131">
        <f>IF([@Bib]="","",XLOOKUP([@Bib],tblReg[Bib],tblReg[FirstName],""))</f>
      </c>
      <c r="D131">
        <f>IF([@Bib]="","",XLOOKUP([@Bib],tblReg[Bib],tblReg[LastName],""))</f>
      </c>
      <c r="E131">
        <f>IF([@Bib]="","",XLOOKUP([@Bib],tblReg[Bib],tblReg[Team],""))</f>
      </c>
      <c r="F131" s="3" t="s">
        <v>22</v>
      </c>
      <c r="G131">
        <f>IF([@StageTime]="","",HOUR([@StageTime])*3600 + MINUTE([@StageTime])*60 + SECOND([@StageTime]))</f>
      </c>
      <c r="H131">
        <f>IF([@StageSeconds]="","",RANK([@StageSeconds],tblStage2[StageSeconds],1))</f>
      </c>
      <c r="I131">
        <f>IF([@Position]="",0,XLOOKUP([@Position],Config!tblBonus[Place],Config!tblBonus[Stage2BonusSec],0))</f>
      </c>
      <c r="J131">
        <f>IF([@StageSeconds]="","",[@StageSeconds]-[@BonusSeconds])</f>
      </c>
      <c r="K131" s="3">
        <f>IF([@NetSeconds]="","",[@NetSeconds]/86400)</f>
      </c>
    </row>
    <row r="132" spans="1:11" x14ac:dyDescent="0.25">
      <c r="A132" t="s">
        <v>22</v>
      </c>
      <c r="B132">
        <f>IF([@Bib]="","",XLOOKUP([@Bib],tblReg[Bib],tblReg[Field],""))</f>
      </c>
      <c r="C132">
        <f>IF([@Bib]="","",XLOOKUP([@Bib],tblReg[Bib],tblReg[FirstName],""))</f>
      </c>
      <c r="D132">
        <f>IF([@Bib]="","",XLOOKUP([@Bib],tblReg[Bib],tblReg[LastName],""))</f>
      </c>
      <c r="E132">
        <f>IF([@Bib]="","",XLOOKUP([@Bib],tblReg[Bib],tblReg[Team],""))</f>
      </c>
      <c r="F132" s="3" t="s">
        <v>22</v>
      </c>
      <c r="G132">
        <f>IF([@StageTime]="","",HOUR([@StageTime])*3600 + MINUTE([@StageTime])*60 + SECOND([@StageTime]))</f>
      </c>
      <c r="H132">
        <f>IF([@StageSeconds]="","",RANK([@StageSeconds],tblStage2[StageSeconds],1))</f>
      </c>
      <c r="I132">
        <f>IF([@Position]="",0,XLOOKUP([@Position],Config!tblBonus[Place],Config!tblBonus[Stage2BonusSec],0))</f>
      </c>
      <c r="J132">
        <f>IF([@StageSeconds]="","",[@StageSeconds]-[@BonusSeconds])</f>
      </c>
      <c r="K132" s="3">
        <f>IF([@NetSeconds]="","",[@NetSeconds]/86400)</f>
      </c>
    </row>
    <row r="133" spans="1:11" x14ac:dyDescent="0.25">
      <c r="A133" t="s">
        <v>22</v>
      </c>
      <c r="B133">
        <f>IF([@Bib]="","",XLOOKUP([@Bib],tblReg[Bib],tblReg[Field],""))</f>
      </c>
      <c r="C133">
        <f>IF([@Bib]="","",XLOOKUP([@Bib],tblReg[Bib],tblReg[FirstName],""))</f>
      </c>
      <c r="D133">
        <f>IF([@Bib]="","",XLOOKUP([@Bib],tblReg[Bib],tblReg[LastName],""))</f>
      </c>
      <c r="E133">
        <f>IF([@Bib]="","",XLOOKUP([@Bib],tblReg[Bib],tblReg[Team],""))</f>
      </c>
      <c r="F133" s="3" t="s">
        <v>22</v>
      </c>
      <c r="G133">
        <f>IF([@StageTime]="","",HOUR([@StageTime])*3600 + MINUTE([@StageTime])*60 + SECOND([@StageTime]))</f>
      </c>
      <c r="H133">
        <f>IF([@StageSeconds]="","",RANK([@StageSeconds],tblStage2[StageSeconds],1))</f>
      </c>
      <c r="I133">
        <f>IF([@Position]="",0,XLOOKUP([@Position],Config!tblBonus[Place],Config!tblBonus[Stage2BonusSec],0))</f>
      </c>
      <c r="J133">
        <f>IF([@StageSeconds]="","",[@StageSeconds]-[@BonusSeconds])</f>
      </c>
      <c r="K133" s="3">
        <f>IF([@NetSeconds]="","",[@NetSeconds]/86400)</f>
      </c>
    </row>
    <row r="134" spans="1:11" x14ac:dyDescent="0.25">
      <c r="A134" t="s">
        <v>22</v>
      </c>
      <c r="B134">
        <f>IF([@Bib]="","",XLOOKUP([@Bib],tblReg[Bib],tblReg[Field],""))</f>
      </c>
      <c r="C134">
        <f>IF([@Bib]="","",XLOOKUP([@Bib],tblReg[Bib],tblReg[FirstName],""))</f>
      </c>
      <c r="D134">
        <f>IF([@Bib]="","",XLOOKUP([@Bib],tblReg[Bib],tblReg[LastName],""))</f>
      </c>
      <c r="E134">
        <f>IF([@Bib]="","",XLOOKUP([@Bib],tblReg[Bib],tblReg[Team],""))</f>
      </c>
      <c r="F134" s="3" t="s">
        <v>22</v>
      </c>
      <c r="G134">
        <f>IF([@StageTime]="","",HOUR([@StageTime])*3600 + MINUTE([@StageTime])*60 + SECOND([@StageTime]))</f>
      </c>
      <c r="H134">
        <f>IF([@StageSeconds]="","",RANK([@StageSeconds],tblStage2[StageSeconds],1))</f>
      </c>
      <c r="I134">
        <f>IF([@Position]="",0,XLOOKUP([@Position],Config!tblBonus[Place],Config!tblBonus[Stage2BonusSec],0))</f>
      </c>
      <c r="J134">
        <f>IF([@StageSeconds]="","",[@StageSeconds]-[@BonusSeconds])</f>
      </c>
      <c r="K134" s="3">
        <f>IF([@NetSeconds]="","",[@NetSeconds]/86400)</f>
      </c>
    </row>
    <row r="135" spans="1:11" x14ac:dyDescent="0.25">
      <c r="A135" t="s">
        <v>22</v>
      </c>
      <c r="B135">
        <f>IF([@Bib]="","",XLOOKUP([@Bib],tblReg[Bib],tblReg[Field],""))</f>
      </c>
      <c r="C135">
        <f>IF([@Bib]="","",XLOOKUP([@Bib],tblReg[Bib],tblReg[FirstName],""))</f>
      </c>
      <c r="D135">
        <f>IF([@Bib]="","",XLOOKUP([@Bib],tblReg[Bib],tblReg[LastName],""))</f>
      </c>
      <c r="E135">
        <f>IF([@Bib]="","",XLOOKUP([@Bib],tblReg[Bib],tblReg[Team],""))</f>
      </c>
      <c r="F135" s="3" t="s">
        <v>22</v>
      </c>
      <c r="G135">
        <f>IF([@StageTime]="","",HOUR([@StageTime])*3600 + MINUTE([@StageTime])*60 + SECOND([@StageTime]))</f>
      </c>
      <c r="H135">
        <f>IF([@StageSeconds]="","",RANK([@StageSeconds],tblStage2[StageSeconds],1))</f>
      </c>
      <c r="I135">
        <f>IF([@Position]="",0,XLOOKUP([@Position],Config!tblBonus[Place],Config!tblBonus[Stage2BonusSec],0))</f>
      </c>
      <c r="J135">
        <f>IF([@StageSeconds]="","",[@StageSeconds]-[@BonusSeconds])</f>
      </c>
      <c r="K135" s="3">
        <f>IF([@NetSeconds]="","",[@NetSeconds]/86400)</f>
      </c>
    </row>
    <row r="136" spans="1:11" x14ac:dyDescent="0.25">
      <c r="A136" t="s">
        <v>22</v>
      </c>
      <c r="B136">
        <f>IF([@Bib]="","",XLOOKUP([@Bib],tblReg[Bib],tblReg[Field],""))</f>
      </c>
      <c r="C136">
        <f>IF([@Bib]="","",XLOOKUP([@Bib],tblReg[Bib],tblReg[FirstName],""))</f>
      </c>
      <c r="D136">
        <f>IF([@Bib]="","",XLOOKUP([@Bib],tblReg[Bib],tblReg[LastName],""))</f>
      </c>
      <c r="E136">
        <f>IF([@Bib]="","",XLOOKUP([@Bib],tblReg[Bib],tblReg[Team],""))</f>
      </c>
      <c r="F136" s="3" t="s">
        <v>22</v>
      </c>
      <c r="G136">
        <f>IF([@StageTime]="","",HOUR([@StageTime])*3600 + MINUTE([@StageTime])*60 + SECOND([@StageTime]))</f>
      </c>
      <c r="H136">
        <f>IF([@StageSeconds]="","",RANK([@StageSeconds],tblStage2[StageSeconds],1))</f>
      </c>
      <c r="I136">
        <f>IF([@Position]="",0,XLOOKUP([@Position],Config!tblBonus[Place],Config!tblBonus[Stage2BonusSec],0))</f>
      </c>
      <c r="J136">
        <f>IF([@StageSeconds]="","",[@StageSeconds]-[@BonusSeconds])</f>
      </c>
      <c r="K136" s="3">
        <f>IF([@NetSeconds]="","",[@NetSeconds]/86400)</f>
      </c>
    </row>
    <row r="137" spans="1:11" x14ac:dyDescent="0.25">
      <c r="A137" t="s">
        <v>22</v>
      </c>
      <c r="B137">
        <f>IF([@Bib]="","",XLOOKUP([@Bib],tblReg[Bib],tblReg[Field],""))</f>
      </c>
      <c r="C137">
        <f>IF([@Bib]="","",XLOOKUP([@Bib],tblReg[Bib],tblReg[FirstName],""))</f>
      </c>
      <c r="D137">
        <f>IF([@Bib]="","",XLOOKUP([@Bib],tblReg[Bib],tblReg[LastName],""))</f>
      </c>
      <c r="E137">
        <f>IF([@Bib]="","",XLOOKUP([@Bib],tblReg[Bib],tblReg[Team],""))</f>
      </c>
      <c r="F137" s="3" t="s">
        <v>22</v>
      </c>
      <c r="G137">
        <f>IF([@StageTime]="","",HOUR([@StageTime])*3600 + MINUTE([@StageTime])*60 + SECOND([@StageTime]))</f>
      </c>
      <c r="H137">
        <f>IF([@StageSeconds]="","",RANK([@StageSeconds],tblStage2[StageSeconds],1))</f>
      </c>
      <c r="I137">
        <f>IF([@Position]="",0,XLOOKUP([@Position],Config!tblBonus[Place],Config!tblBonus[Stage2BonusSec],0))</f>
      </c>
      <c r="J137">
        <f>IF([@StageSeconds]="","",[@StageSeconds]-[@BonusSeconds])</f>
      </c>
      <c r="K137" s="3">
        <f>IF([@NetSeconds]="","",[@NetSeconds]/86400)</f>
      </c>
    </row>
    <row r="138" spans="1:11" x14ac:dyDescent="0.25">
      <c r="A138" t="s">
        <v>22</v>
      </c>
      <c r="B138">
        <f>IF([@Bib]="","",XLOOKUP([@Bib],tblReg[Bib],tblReg[Field],""))</f>
      </c>
      <c r="C138">
        <f>IF([@Bib]="","",XLOOKUP([@Bib],tblReg[Bib],tblReg[FirstName],""))</f>
      </c>
      <c r="D138">
        <f>IF([@Bib]="","",XLOOKUP([@Bib],tblReg[Bib],tblReg[LastName],""))</f>
      </c>
      <c r="E138">
        <f>IF([@Bib]="","",XLOOKUP([@Bib],tblReg[Bib],tblReg[Team],""))</f>
      </c>
      <c r="F138" s="3" t="s">
        <v>22</v>
      </c>
      <c r="G138">
        <f>IF([@StageTime]="","",HOUR([@StageTime])*3600 + MINUTE([@StageTime])*60 + SECOND([@StageTime]))</f>
      </c>
      <c r="H138">
        <f>IF([@StageSeconds]="","",RANK([@StageSeconds],tblStage2[StageSeconds],1))</f>
      </c>
      <c r="I138">
        <f>IF([@Position]="",0,XLOOKUP([@Position],Config!tblBonus[Place],Config!tblBonus[Stage2BonusSec],0))</f>
      </c>
      <c r="J138">
        <f>IF([@StageSeconds]="","",[@StageSeconds]-[@BonusSeconds])</f>
      </c>
      <c r="K138" s="3">
        <f>IF([@NetSeconds]="","",[@NetSeconds]/86400)</f>
      </c>
    </row>
    <row r="139" spans="1:11" x14ac:dyDescent="0.25">
      <c r="A139" t="s">
        <v>22</v>
      </c>
      <c r="B139">
        <f>IF([@Bib]="","",XLOOKUP([@Bib],tblReg[Bib],tblReg[Field],""))</f>
      </c>
      <c r="C139">
        <f>IF([@Bib]="","",XLOOKUP([@Bib],tblReg[Bib],tblReg[FirstName],""))</f>
      </c>
      <c r="D139">
        <f>IF([@Bib]="","",XLOOKUP([@Bib],tblReg[Bib],tblReg[LastName],""))</f>
      </c>
      <c r="E139">
        <f>IF([@Bib]="","",XLOOKUP([@Bib],tblReg[Bib],tblReg[Team],""))</f>
      </c>
      <c r="F139" s="3" t="s">
        <v>22</v>
      </c>
      <c r="G139">
        <f>IF([@StageTime]="","",HOUR([@StageTime])*3600 + MINUTE([@StageTime])*60 + SECOND([@StageTime]))</f>
      </c>
      <c r="H139">
        <f>IF([@StageSeconds]="","",RANK([@StageSeconds],tblStage2[StageSeconds],1))</f>
      </c>
      <c r="I139">
        <f>IF([@Position]="",0,XLOOKUP([@Position],Config!tblBonus[Place],Config!tblBonus[Stage2BonusSec],0))</f>
      </c>
      <c r="J139">
        <f>IF([@StageSeconds]="","",[@StageSeconds]-[@BonusSeconds])</f>
      </c>
      <c r="K139" s="3">
        <f>IF([@NetSeconds]="","",[@NetSeconds]/86400)</f>
      </c>
    </row>
    <row r="140" spans="1:11" x14ac:dyDescent="0.25">
      <c r="A140" t="s">
        <v>22</v>
      </c>
      <c r="B140">
        <f>IF([@Bib]="","",XLOOKUP([@Bib],tblReg[Bib],tblReg[Field],""))</f>
      </c>
      <c r="C140">
        <f>IF([@Bib]="","",XLOOKUP([@Bib],tblReg[Bib],tblReg[FirstName],""))</f>
      </c>
      <c r="D140">
        <f>IF([@Bib]="","",XLOOKUP([@Bib],tblReg[Bib],tblReg[LastName],""))</f>
      </c>
      <c r="E140">
        <f>IF([@Bib]="","",XLOOKUP([@Bib],tblReg[Bib],tblReg[Team],""))</f>
      </c>
      <c r="F140" s="3" t="s">
        <v>22</v>
      </c>
      <c r="G140">
        <f>IF([@StageTime]="","",HOUR([@StageTime])*3600 + MINUTE([@StageTime])*60 + SECOND([@StageTime]))</f>
      </c>
      <c r="H140">
        <f>IF([@StageSeconds]="","",RANK([@StageSeconds],tblStage2[StageSeconds],1))</f>
      </c>
      <c r="I140">
        <f>IF([@Position]="",0,XLOOKUP([@Position],Config!tblBonus[Place],Config!tblBonus[Stage2BonusSec],0))</f>
      </c>
      <c r="J140">
        <f>IF([@StageSeconds]="","",[@StageSeconds]-[@BonusSeconds])</f>
      </c>
      <c r="K140" s="3">
        <f>IF([@NetSeconds]="","",[@NetSeconds]/86400)</f>
      </c>
    </row>
    <row r="141" spans="1:11" x14ac:dyDescent="0.25">
      <c r="A141" t="s">
        <v>22</v>
      </c>
      <c r="B141">
        <f>IF([@Bib]="","",XLOOKUP([@Bib],tblReg[Bib],tblReg[Field],""))</f>
      </c>
      <c r="C141">
        <f>IF([@Bib]="","",XLOOKUP([@Bib],tblReg[Bib],tblReg[FirstName],""))</f>
      </c>
      <c r="D141">
        <f>IF([@Bib]="","",XLOOKUP([@Bib],tblReg[Bib],tblReg[LastName],""))</f>
      </c>
      <c r="E141">
        <f>IF([@Bib]="","",XLOOKUP([@Bib],tblReg[Bib],tblReg[Team],""))</f>
      </c>
      <c r="F141" s="3" t="s">
        <v>22</v>
      </c>
      <c r="G141">
        <f>IF([@StageTime]="","",HOUR([@StageTime])*3600 + MINUTE([@StageTime])*60 + SECOND([@StageTime]))</f>
      </c>
      <c r="H141">
        <f>IF([@StageSeconds]="","",RANK([@StageSeconds],tblStage2[StageSeconds],1))</f>
      </c>
      <c r="I141">
        <f>IF([@Position]="",0,XLOOKUP([@Position],Config!tblBonus[Place],Config!tblBonus[Stage2BonusSec],0))</f>
      </c>
      <c r="J141">
        <f>IF([@StageSeconds]="","",[@StageSeconds]-[@BonusSeconds])</f>
      </c>
      <c r="K141" s="3">
        <f>IF([@NetSeconds]="","",[@NetSeconds]/86400)</f>
      </c>
    </row>
    <row r="142" spans="1:11" x14ac:dyDescent="0.25">
      <c r="A142" t="s">
        <v>22</v>
      </c>
      <c r="B142">
        <f>IF([@Bib]="","",XLOOKUP([@Bib],tblReg[Bib],tblReg[Field],""))</f>
      </c>
      <c r="C142">
        <f>IF([@Bib]="","",XLOOKUP([@Bib],tblReg[Bib],tblReg[FirstName],""))</f>
      </c>
      <c r="D142">
        <f>IF([@Bib]="","",XLOOKUP([@Bib],tblReg[Bib],tblReg[LastName],""))</f>
      </c>
      <c r="E142">
        <f>IF([@Bib]="","",XLOOKUP([@Bib],tblReg[Bib],tblReg[Team],""))</f>
      </c>
      <c r="F142" s="3" t="s">
        <v>22</v>
      </c>
      <c r="G142">
        <f>IF([@StageTime]="","",HOUR([@StageTime])*3600 + MINUTE([@StageTime])*60 + SECOND([@StageTime]))</f>
      </c>
      <c r="H142">
        <f>IF([@StageSeconds]="","",RANK([@StageSeconds],tblStage2[StageSeconds],1))</f>
      </c>
      <c r="I142">
        <f>IF([@Position]="",0,XLOOKUP([@Position],Config!tblBonus[Place],Config!tblBonus[Stage2BonusSec],0))</f>
      </c>
      <c r="J142">
        <f>IF([@StageSeconds]="","",[@StageSeconds]-[@BonusSeconds])</f>
      </c>
      <c r="K142" s="3">
        <f>IF([@NetSeconds]="","",[@NetSeconds]/86400)</f>
      </c>
    </row>
    <row r="143" spans="1:11" x14ac:dyDescent="0.25">
      <c r="A143" t="s">
        <v>22</v>
      </c>
      <c r="B143">
        <f>IF([@Bib]="","",XLOOKUP([@Bib],tblReg[Bib],tblReg[Field],""))</f>
      </c>
      <c r="C143">
        <f>IF([@Bib]="","",XLOOKUP([@Bib],tblReg[Bib],tblReg[FirstName],""))</f>
      </c>
      <c r="D143">
        <f>IF([@Bib]="","",XLOOKUP([@Bib],tblReg[Bib],tblReg[LastName],""))</f>
      </c>
      <c r="E143">
        <f>IF([@Bib]="","",XLOOKUP([@Bib],tblReg[Bib],tblReg[Team],""))</f>
      </c>
      <c r="F143" s="3" t="s">
        <v>22</v>
      </c>
      <c r="G143">
        <f>IF([@StageTime]="","",HOUR([@StageTime])*3600 + MINUTE([@StageTime])*60 + SECOND([@StageTime]))</f>
      </c>
      <c r="H143">
        <f>IF([@StageSeconds]="","",RANK([@StageSeconds],tblStage2[StageSeconds],1))</f>
      </c>
      <c r="I143">
        <f>IF([@Position]="",0,XLOOKUP([@Position],Config!tblBonus[Place],Config!tblBonus[Stage2BonusSec],0))</f>
      </c>
      <c r="J143">
        <f>IF([@StageSeconds]="","",[@StageSeconds]-[@BonusSeconds])</f>
      </c>
      <c r="K143" s="3">
        <f>IF([@NetSeconds]="","",[@NetSeconds]/86400)</f>
      </c>
    </row>
    <row r="144" spans="1:11" x14ac:dyDescent="0.25">
      <c r="A144" t="s">
        <v>22</v>
      </c>
      <c r="B144">
        <f>IF([@Bib]="","",XLOOKUP([@Bib],tblReg[Bib],tblReg[Field],""))</f>
      </c>
      <c r="C144">
        <f>IF([@Bib]="","",XLOOKUP([@Bib],tblReg[Bib],tblReg[FirstName],""))</f>
      </c>
      <c r="D144">
        <f>IF([@Bib]="","",XLOOKUP([@Bib],tblReg[Bib],tblReg[LastName],""))</f>
      </c>
      <c r="E144">
        <f>IF([@Bib]="","",XLOOKUP([@Bib],tblReg[Bib],tblReg[Team],""))</f>
      </c>
      <c r="F144" s="3" t="s">
        <v>22</v>
      </c>
      <c r="G144">
        <f>IF([@StageTime]="","",HOUR([@StageTime])*3600 + MINUTE([@StageTime])*60 + SECOND([@StageTime]))</f>
      </c>
      <c r="H144">
        <f>IF([@StageSeconds]="","",RANK([@StageSeconds],tblStage2[StageSeconds],1))</f>
      </c>
      <c r="I144">
        <f>IF([@Position]="",0,XLOOKUP([@Position],Config!tblBonus[Place],Config!tblBonus[Stage2BonusSec],0))</f>
      </c>
      <c r="J144">
        <f>IF([@StageSeconds]="","",[@StageSeconds]-[@BonusSeconds])</f>
      </c>
      <c r="K144" s="3">
        <f>IF([@NetSeconds]="","",[@NetSeconds]/86400)</f>
      </c>
    </row>
    <row r="145" spans="1:11" x14ac:dyDescent="0.25">
      <c r="A145" t="s">
        <v>22</v>
      </c>
      <c r="B145">
        <f>IF([@Bib]="","",XLOOKUP([@Bib],tblReg[Bib],tblReg[Field],""))</f>
      </c>
      <c r="C145">
        <f>IF([@Bib]="","",XLOOKUP([@Bib],tblReg[Bib],tblReg[FirstName],""))</f>
      </c>
      <c r="D145">
        <f>IF([@Bib]="","",XLOOKUP([@Bib],tblReg[Bib],tblReg[LastName],""))</f>
      </c>
      <c r="E145">
        <f>IF([@Bib]="","",XLOOKUP([@Bib],tblReg[Bib],tblReg[Team],""))</f>
      </c>
      <c r="F145" s="3" t="s">
        <v>22</v>
      </c>
      <c r="G145">
        <f>IF([@StageTime]="","",HOUR([@StageTime])*3600 + MINUTE([@StageTime])*60 + SECOND([@StageTime]))</f>
      </c>
      <c r="H145">
        <f>IF([@StageSeconds]="","",RANK([@StageSeconds],tblStage2[StageSeconds],1))</f>
      </c>
      <c r="I145">
        <f>IF([@Position]="",0,XLOOKUP([@Position],Config!tblBonus[Place],Config!tblBonus[Stage2BonusSec],0))</f>
      </c>
      <c r="J145">
        <f>IF([@StageSeconds]="","",[@StageSeconds]-[@BonusSeconds])</f>
      </c>
      <c r="K145" s="3">
        <f>IF([@NetSeconds]="","",[@NetSeconds]/86400)</f>
      </c>
    </row>
    <row r="146" spans="1:11" x14ac:dyDescent="0.25">
      <c r="A146" t="s">
        <v>22</v>
      </c>
      <c r="B146">
        <f>IF([@Bib]="","",XLOOKUP([@Bib],tblReg[Bib],tblReg[Field],""))</f>
      </c>
      <c r="C146">
        <f>IF([@Bib]="","",XLOOKUP([@Bib],tblReg[Bib],tblReg[FirstName],""))</f>
      </c>
      <c r="D146">
        <f>IF([@Bib]="","",XLOOKUP([@Bib],tblReg[Bib],tblReg[LastName],""))</f>
      </c>
      <c r="E146">
        <f>IF([@Bib]="","",XLOOKUP([@Bib],tblReg[Bib],tblReg[Team],""))</f>
      </c>
      <c r="F146" s="3" t="s">
        <v>22</v>
      </c>
      <c r="G146">
        <f>IF([@StageTime]="","",HOUR([@StageTime])*3600 + MINUTE([@StageTime])*60 + SECOND([@StageTime]))</f>
      </c>
      <c r="H146">
        <f>IF([@StageSeconds]="","",RANK([@StageSeconds],tblStage2[StageSeconds],1))</f>
      </c>
      <c r="I146">
        <f>IF([@Position]="",0,XLOOKUP([@Position],Config!tblBonus[Place],Config!tblBonus[Stage2BonusSec],0))</f>
      </c>
      <c r="J146">
        <f>IF([@StageSeconds]="","",[@StageSeconds]-[@BonusSeconds])</f>
      </c>
      <c r="K146" s="3">
        <f>IF([@NetSeconds]="","",[@NetSeconds]/86400)</f>
      </c>
    </row>
    <row r="147" spans="1:11" x14ac:dyDescent="0.25">
      <c r="A147" t="s">
        <v>22</v>
      </c>
      <c r="B147">
        <f>IF([@Bib]="","",XLOOKUP([@Bib],tblReg[Bib],tblReg[Field],""))</f>
      </c>
      <c r="C147">
        <f>IF([@Bib]="","",XLOOKUP([@Bib],tblReg[Bib],tblReg[FirstName],""))</f>
      </c>
      <c r="D147">
        <f>IF([@Bib]="","",XLOOKUP([@Bib],tblReg[Bib],tblReg[LastName],""))</f>
      </c>
      <c r="E147">
        <f>IF([@Bib]="","",XLOOKUP([@Bib],tblReg[Bib],tblReg[Team],""))</f>
      </c>
      <c r="F147" s="3" t="s">
        <v>22</v>
      </c>
      <c r="G147">
        <f>IF([@StageTime]="","",HOUR([@StageTime])*3600 + MINUTE([@StageTime])*60 + SECOND([@StageTime]))</f>
      </c>
      <c r="H147">
        <f>IF([@StageSeconds]="","",RANK([@StageSeconds],tblStage2[StageSeconds],1))</f>
      </c>
      <c r="I147">
        <f>IF([@Position]="",0,XLOOKUP([@Position],Config!tblBonus[Place],Config!tblBonus[Stage2BonusSec],0))</f>
      </c>
      <c r="J147">
        <f>IF([@StageSeconds]="","",[@StageSeconds]-[@BonusSeconds])</f>
      </c>
      <c r="K147" s="3">
        <f>IF([@NetSeconds]="","",[@NetSeconds]/86400)</f>
      </c>
    </row>
    <row r="148" spans="1:11" x14ac:dyDescent="0.25">
      <c r="A148" t="s">
        <v>22</v>
      </c>
      <c r="B148">
        <f>IF([@Bib]="","",XLOOKUP([@Bib],tblReg[Bib],tblReg[Field],""))</f>
      </c>
      <c r="C148">
        <f>IF([@Bib]="","",XLOOKUP([@Bib],tblReg[Bib],tblReg[FirstName],""))</f>
      </c>
      <c r="D148">
        <f>IF([@Bib]="","",XLOOKUP([@Bib],tblReg[Bib],tblReg[LastName],""))</f>
      </c>
      <c r="E148">
        <f>IF([@Bib]="","",XLOOKUP([@Bib],tblReg[Bib],tblReg[Team],""))</f>
      </c>
      <c r="F148" s="3" t="s">
        <v>22</v>
      </c>
      <c r="G148">
        <f>IF([@StageTime]="","",HOUR([@StageTime])*3600 + MINUTE([@StageTime])*60 + SECOND([@StageTime]))</f>
      </c>
      <c r="H148">
        <f>IF([@StageSeconds]="","",RANK([@StageSeconds],tblStage2[StageSeconds],1))</f>
      </c>
      <c r="I148">
        <f>IF([@Position]="",0,XLOOKUP([@Position],Config!tblBonus[Place],Config!tblBonus[Stage2BonusSec],0))</f>
      </c>
      <c r="J148">
        <f>IF([@StageSeconds]="","",[@StageSeconds]-[@BonusSeconds])</f>
      </c>
      <c r="K148" s="3">
        <f>IF([@NetSeconds]="","",[@NetSeconds]/86400)</f>
      </c>
    </row>
    <row r="149" spans="1:11" x14ac:dyDescent="0.25">
      <c r="A149" t="s">
        <v>22</v>
      </c>
      <c r="B149">
        <f>IF([@Bib]="","",XLOOKUP([@Bib],tblReg[Bib],tblReg[Field],""))</f>
      </c>
      <c r="C149">
        <f>IF([@Bib]="","",XLOOKUP([@Bib],tblReg[Bib],tblReg[FirstName],""))</f>
      </c>
      <c r="D149">
        <f>IF([@Bib]="","",XLOOKUP([@Bib],tblReg[Bib],tblReg[LastName],""))</f>
      </c>
      <c r="E149">
        <f>IF([@Bib]="","",XLOOKUP([@Bib],tblReg[Bib],tblReg[Team],""))</f>
      </c>
      <c r="F149" s="3" t="s">
        <v>22</v>
      </c>
      <c r="G149">
        <f>IF([@StageTime]="","",HOUR([@StageTime])*3600 + MINUTE([@StageTime])*60 + SECOND([@StageTime]))</f>
      </c>
      <c r="H149">
        <f>IF([@StageSeconds]="","",RANK([@StageSeconds],tblStage2[StageSeconds],1))</f>
      </c>
      <c r="I149">
        <f>IF([@Position]="",0,XLOOKUP([@Position],Config!tblBonus[Place],Config!tblBonus[Stage2BonusSec],0))</f>
      </c>
      <c r="J149">
        <f>IF([@StageSeconds]="","",[@StageSeconds]-[@BonusSeconds])</f>
      </c>
      <c r="K149" s="3">
        <f>IF([@NetSeconds]="","",[@NetSeconds]/86400)</f>
      </c>
    </row>
    <row r="150" spans="1:11" x14ac:dyDescent="0.25">
      <c r="A150" t="s">
        <v>22</v>
      </c>
      <c r="B150">
        <f>IF([@Bib]="","",XLOOKUP([@Bib],tblReg[Bib],tblReg[Field],""))</f>
      </c>
      <c r="C150">
        <f>IF([@Bib]="","",XLOOKUP([@Bib],tblReg[Bib],tblReg[FirstName],""))</f>
      </c>
      <c r="D150">
        <f>IF([@Bib]="","",XLOOKUP([@Bib],tblReg[Bib],tblReg[LastName],""))</f>
      </c>
      <c r="E150">
        <f>IF([@Bib]="","",XLOOKUP([@Bib],tblReg[Bib],tblReg[Team],""))</f>
      </c>
      <c r="F150" s="3" t="s">
        <v>22</v>
      </c>
      <c r="G150">
        <f>IF([@StageTime]="","",HOUR([@StageTime])*3600 + MINUTE([@StageTime])*60 + SECOND([@StageTime]))</f>
      </c>
      <c r="H150">
        <f>IF([@StageSeconds]="","",RANK([@StageSeconds],tblStage2[StageSeconds],1))</f>
      </c>
      <c r="I150">
        <f>IF([@Position]="",0,XLOOKUP([@Position],Config!tblBonus[Place],Config!tblBonus[Stage2BonusSec],0))</f>
      </c>
      <c r="J150">
        <f>IF([@StageSeconds]="","",[@StageSeconds]-[@BonusSeconds])</f>
      </c>
      <c r="K150" s="3">
        <f>IF([@NetSeconds]="","",[@NetSeconds]/86400)</f>
      </c>
    </row>
    <row r="151" spans="1:11" x14ac:dyDescent="0.25">
      <c r="A151" t="s">
        <v>22</v>
      </c>
      <c r="B151">
        <f>IF([@Bib]="","",XLOOKUP([@Bib],tblReg[Bib],tblReg[Field],""))</f>
      </c>
      <c r="C151">
        <f>IF([@Bib]="","",XLOOKUP([@Bib],tblReg[Bib],tblReg[FirstName],""))</f>
      </c>
      <c r="D151">
        <f>IF([@Bib]="","",XLOOKUP([@Bib],tblReg[Bib],tblReg[LastName],""))</f>
      </c>
      <c r="E151">
        <f>IF([@Bib]="","",XLOOKUP([@Bib],tblReg[Bib],tblReg[Team],""))</f>
      </c>
      <c r="F151" s="3" t="s">
        <v>22</v>
      </c>
      <c r="G151">
        <f>IF([@StageTime]="","",HOUR([@StageTime])*3600 + MINUTE([@StageTime])*60 + SECOND([@StageTime]))</f>
      </c>
      <c r="H151">
        <f>IF([@StageSeconds]="","",RANK([@StageSeconds],tblStage2[StageSeconds],1))</f>
      </c>
      <c r="I151">
        <f>IF([@Position]="",0,XLOOKUP([@Position],Config!tblBonus[Place],Config!tblBonus[Stage2BonusSec],0))</f>
      </c>
      <c r="J151">
        <f>IF([@StageSeconds]="","",[@StageSeconds]-[@BonusSeconds])</f>
      </c>
      <c r="K151" s="3">
        <f>IF([@NetSeconds]="","",[@NetSeconds]/86400)</f>
      </c>
    </row>
    <row r="152" spans="1:11" x14ac:dyDescent="0.25">
      <c r="A152" t="s">
        <v>22</v>
      </c>
      <c r="B152">
        <f>IF([@Bib]="","",XLOOKUP([@Bib],tblReg[Bib],tblReg[Field],""))</f>
      </c>
      <c r="C152">
        <f>IF([@Bib]="","",XLOOKUP([@Bib],tblReg[Bib],tblReg[FirstName],""))</f>
      </c>
      <c r="D152">
        <f>IF([@Bib]="","",XLOOKUP([@Bib],tblReg[Bib],tblReg[LastName],""))</f>
      </c>
      <c r="E152">
        <f>IF([@Bib]="","",XLOOKUP([@Bib],tblReg[Bib],tblReg[Team],""))</f>
      </c>
      <c r="F152" s="3" t="s">
        <v>22</v>
      </c>
      <c r="G152">
        <f>IF([@StageTime]="","",HOUR([@StageTime])*3600 + MINUTE([@StageTime])*60 + SECOND([@StageTime]))</f>
      </c>
      <c r="H152">
        <f>IF([@StageSeconds]="","",RANK([@StageSeconds],tblStage2[StageSeconds],1))</f>
      </c>
      <c r="I152">
        <f>IF([@Position]="",0,XLOOKUP([@Position],Config!tblBonus[Place],Config!tblBonus[Stage2BonusSec],0))</f>
      </c>
      <c r="J152">
        <f>IF([@StageSeconds]="","",[@StageSeconds]-[@BonusSeconds])</f>
      </c>
      <c r="K152" s="3">
        <f>IF([@NetSeconds]="","",[@NetSeconds]/86400)</f>
      </c>
    </row>
    <row r="153" spans="1:11" x14ac:dyDescent="0.25">
      <c r="A153" t="s">
        <v>22</v>
      </c>
      <c r="B153">
        <f>IF([@Bib]="","",XLOOKUP([@Bib],tblReg[Bib],tblReg[Field],""))</f>
      </c>
      <c r="C153">
        <f>IF([@Bib]="","",XLOOKUP([@Bib],tblReg[Bib],tblReg[FirstName],""))</f>
      </c>
      <c r="D153">
        <f>IF([@Bib]="","",XLOOKUP([@Bib],tblReg[Bib],tblReg[LastName],""))</f>
      </c>
      <c r="E153">
        <f>IF([@Bib]="","",XLOOKUP([@Bib],tblReg[Bib],tblReg[Team],""))</f>
      </c>
      <c r="F153" s="3" t="s">
        <v>22</v>
      </c>
      <c r="G153">
        <f>IF([@StageTime]="","",HOUR([@StageTime])*3600 + MINUTE([@StageTime])*60 + SECOND([@StageTime]))</f>
      </c>
      <c r="H153">
        <f>IF([@StageSeconds]="","",RANK([@StageSeconds],tblStage2[StageSeconds],1))</f>
      </c>
      <c r="I153">
        <f>IF([@Position]="",0,XLOOKUP([@Position],Config!tblBonus[Place],Config!tblBonus[Stage2BonusSec],0))</f>
      </c>
      <c r="J153">
        <f>IF([@StageSeconds]="","",[@StageSeconds]-[@BonusSeconds])</f>
      </c>
      <c r="K153" s="3">
        <f>IF([@NetSeconds]="","",[@NetSeconds]/86400)</f>
      </c>
    </row>
    <row r="154" spans="1:11" x14ac:dyDescent="0.25">
      <c r="A154" t="s">
        <v>22</v>
      </c>
      <c r="B154">
        <f>IF([@Bib]="","",XLOOKUP([@Bib],tblReg[Bib],tblReg[Field],""))</f>
      </c>
      <c r="C154">
        <f>IF([@Bib]="","",XLOOKUP([@Bib],tblReg[Bib],tblReg[FirstName],""))</f>
      </c>
      <c r="D154">
        <f>IF([@Bib]="","",XLOOKUP([@Bib],tblReg[Bib],tblReg[LastName],""))</f>
      </c>
      <c r="E154">
        <f>IF([@Bib]="","",XLOOKUP([@Bib],tblReg[Bib],tblReg[Team],""))</f>
      </c>
      <c r="F154" s="3" t="s">
        <v>22</v>
      </c>
      <c r="G154">
        <f>IF([@StageTime]="","",HOUR([@StageTime])*3600 + MINUTE([@StageTime])*60 + SECOND([@StageTime]))</f>
      </c>
      <c r="H154">
        <f>IF([@StageSeconds]="","",RANK([@StageSeconds],tblStage2[StageSeconds],1))</f>
      </c>
      <c r="I154">
        <f>IF([@Position]="",0,XLOOKUP([@Position],Config!tblBonus[Place],Config!tblBonus[Stage2BonusSec],0))</f>
      </c>
      <c r="J154">
        <f>IF([@StageSeconds]="","",[@StageSeconds]-[@BonusSeconds])</f>
      </c>
      <c r="K154" s="3">
        <f>IF([@NetSeconds]="","",[@NetSeconds]/86400)</f>
      </c>
    </row>
    <row r="155" spans="1:11" x14ac:dyDescent="0.25">
      <c r="A155" t="s">
        <v>22</v>
      </c>
      <c r="B155">
        <f>IF([@Bib]="","",XLOOKUP([@Bib],tblReg[Bib],tblReg[Field],""))</f>
      </c>
      <c r="C155">
        <f>IF([@Bib]="","",XLOOKUP([@Bib],tblReg[Bib],tblReg[FirstName],""))</f>
      </c>
      <c r="D155">
        <f>IF([@Bib]="","",XLOOKUP([@Bib],tblReg[Bib],tblReg[LastName],""))</f>
      </c>
      <c r="E155">
        <f>IF([@Bib]="","",XLOOKUP([@Bib],tblReg[Bib],tblReg[Team],""))</f>
      </c>
      <c r="F155" s="3" t="s">
        <v>22</v>
      </c>
      <c r="G155">
        <f>IF([@StageTime]="","",HOUR([@StageTime])*3600 + MINUTE([@StageTime])*60 + SECOND([@StageTime]))</f>
      </c>
      <c r="H155">
        <f>IF([@StageSeconds]="","",RANK([@StageSeconds],tblStage2[StageSeconds],1))</f>
      </c>
      <c r="I155">
        <f>IF([@Position]="",0,XLOOKUP([@Position],Config!tblBonus[Place],Config!tblBonus[Stage2BonusSec],0))</f>
      </c>
      <c r="J155">
        <f>IF([@StageSeconds]="","",[@StageSeconds]-[@BonusSeconds])</f>
      </c>
      <c r="K155" s="3">
        <f>IF([@NetSeconds]="","",[@NetSeconds]/86400)</f>
      </c>
    </row>
    <row r="156" spans="1:11" x14ac:dyDescent="0.25">
      <c r="A156" t="s">
        <v>22</v>
      </c>
      <c r="B156">
        <f>IF([@Bib]="","",XLOOKUP([@Bib],tblReg[Bib],tblReg[Field],""))</f>
      </c>
      <c r="C156">
        <f>IF([@Bib]="","",XLOOKUP([@Bib],tblReg[Bib],tblReg[FirstName],""))</f>
      </c>
      <c r="D156">
        <f>IF([@Bib]="","",XLOOKUP([@Bib],tblReg[Bib],tblReg[LastName],""))</f>
      </c>
      <c r="E156">
        <f>IF([@Bib]="","",XLOOKUP([@Bib],tblReg[Bib],tblReg[Team],""))</f>
      </c>
      <c r="F156" s="3" t="s">
        <v>22</v>
      </c>
      <c r="G156">
        <f>IF([@StageTime]="","",HOUR([@StageTime])*3600 + MINUTE([@StageTime])*60 + SECOND([@StageTime]))</f>
      </c>
      <c r="H156">
        <f>IF([@StageSeconds]="","",RANK([@StageSeconds],tblStage2[StageSeconds],1))</f>
      </c>
      <c r="I156">
        <f>IF([@Position]="",0,XLOOKUP([@Position],Config!tblBonus[Place],Config!tblBonus[Stage2BonusSec],0))</f>
      </c>
      <c r="J156">
        <f>IF([@StageSeconds]="","",[@StageSeconds]-[@BonusSeconds])</f>
      </c>
      <c r="K156" s="3">
        <f>IF([@NetSeconds]="","",[@NetSeconds]/86400)</f>
      </c>
    </row>
    <row r="157" spans="1:11" x14ac:dyDescent="0.25">
      <c r="A157" t="s">
        <v>22</v>
      </c>
      <c r="B157">
        <f>IF([@Bib]="","",XLOOKUP([@Bib],tblReg[Bib],tblReg[Field],""))</f>
      </c>
      <c r="C157">
        <f>IF([@Bib]="","",XLOOKUP([@Bib],tblReg[Bib],tblReg[FirstName],""))</f>
      </c>
      <c r="D157">
        <f>IF([@Bib]="","",XLOOKUP([@Bib],tblReg[Bib],tblReg[LastName],""))</f>
      </c>
      <c r="E157">
        <f>IF([@Bib]="","",XLOOKUP([@Bib],tblReg[Bib],tblReg[Team],""))</f>
      </c>
      <c r="F157" s="3" t="s">
        <v>22</v>
      </c>
      <c r="G157">
        <f>IF([@StageTime]="","",HOUR([@StageTime])*3600 + MINUTE([@StageTime])*60 + SECOND([@StageTime]))</f>
      </c>
      <c r="H157">
        <f>IF([@StageSeconds]="","",RANK([@StageSeconds],tblStage2[StageSeconds],1))</f>
      </c>
      <c r="I157">
        <f>IF([@Position]="",0,XLOOKUP([@Position],Config!tblBonus[Place],Config!tblBonus[Stage2BonusSec],0))</f>
      </c>
      <c r="J157">
        <f>IF([@StageSeconds]="","",[@StageSeconds]-[@BonusSeconds])</f>
      </c>
      <c r="K157" s="3">
        <f>IF([@NetSeconds]="","",[@NetSeconds]/86400)</f>
      </c>
    </row>
    <row r="158" spans="1:11" x14ac:dyDescent="0.25">
      <c r="A158" t="s">
        <v>22</v>
      </c>
      <c r="B158">
        <f>IF([@Bib]="","",XLOOKUP([@Bib],tblReg[Bib],tblReg[Field],""))</f>
      </c>
      <c r="C158">
        <f>IF([@Bib]="","",XLOOKUP([@Bib],tblReg[Bib],tblReg[FirstName],""))</f>
      </c>
      <c r="D158">
        <f>IF([@Bib]="","",XLOOKUP([@Bib],tblReg[Bib],tblReg[LastName],""))</f>
      </c>
      <c r="E158">
        <f>IF([@Bib]="","",XLOOKUP([@Bib],tblReg[Bib],tblReg[Team],""))</f>
      </c>
      <c r="F158" s="3" t="s">
        <v>22</v>
      </c>
      <c r="G158">
        <f>IF([@StageTime]="","",HOUR([@StageTime])*3600 + MINUTE([@StageTime])*60 + SECOND([@StageTime]))</f>
      </c>
      <c r="H158">
        <f>IF([@StageSeconds]="","",RANK([@StageSeconds],tblStage2[StageSeconds],1))</f>
      </c>
      <c r="I158">
        <f>IF([@Position]="",0,XLOOKUP([@Position],Config!tblBonus[Place],Config!tblBonus[Stage2BonusSec],0))</f>
      </c>
      <c r="J158">
        <f>IF([@StageSeconds]="","",[@StageSeconds]-[@BonusSeconds])</f>
      </c>
      <c r="K158" s="3">
        <f>IF([@NetSeconds]="","",[@NetSeconds]/86400)</f>
      </c>
    </row>
    <row r="159" spans="1:11" x14ac:dyDescent="0.25">
      <c r="A159" t="s">
        <v>22</v>
      </c>
      <c r="B159">
        <f>IF([@Bib]="","",XLOOKUP([@Bib],tblReg[Bib],tblReg[Field],""))</f>
      </c>
      <c r="C159">
        <f>IF([@Bib]="","",XLOOKUP([@Bib],tblReg[Bib],tblReg[FirstName],""))</f>
      </c>
      <c r="D159">
        <f>IF([@Bib]="","",XLOOKUP([@Bib],tblReg[Bib],tblReg[LastName],""))</f>
      </c>
      <c r="E159">
        <f>IF([@Bib]="","",XLOOKUP([@Bib],tblReg[Bib],tblReg[Team],""))</f>
      </c>
      <c r="F159" s="3" t="s">
        <v>22</v>
      </c>
      <c r="G159">
        <f>IF([@StageTime]="","",HOUR([@StageTime])*3600 + MINUTE([@StageTime])*60 + SECOND([@StageTime]))</f>
      </c>
      <c r="H159">
        <f>IF([@StageSeconds]="","",RANK([@StageSeconds],tblStage2[StageSeconds],1))</f>
      </c>
      <c r="I159">
        <f>IF([@Position]="",0,XLOOKUP([@Position],Config!tblBonus[Place],Config!tblBonus[Stage2BonusSec],0))</f>
      </c>
      <c r="J159">
        <f>IF([@StageSeconds]="","",[@StageSeconds]-[@BonusSeconds])</f>
      </c>
      <c r="K159" s="3">
        <f>IF([@NetSeconds]="","",[@NetSeconds]/86400)</f>
      </c>
    </row>
    <row r="160" spans="1:11" x14ac:dyDescent="0.25">
      <c r="A160" t="s">
        <v>22</v>
      </c>
      <c r="B160">
        <f>IF([@Bib]="","",XLOOKUP([@Bib],tblReg[Bib],tblReg[Field],""))</f>
      </c>
      <c r="C160">
        <f>IF([@Bib]="","",XLOOKUP([@Bib],tblReg[Bib],tblReg[FirstName],""))</f>
      </c>
      <c r="D160">
        <f>IF([@Bib]="","",XLOOKUP([@Bib],tblReg[Bib],tblReg[LastName],""))</f>
      </c>
      <c r="E160">
        <f>IF([@Bib]="","",XLOOKUP([@Bib],tblReg[Bib],tblReg[Team],""))</f>
      </c>
      <c r="F160" s="3" t="s">
        <v>22</v>
      </c>
      <c r="G160">
        <f>IF([@StageTime]="","",HOUR([@StageTime])*3600 + MINUTE([@StageTime])*60 + SECOND([@StageTime]))</f>
      </c>
      <c r="H160">
        <f>IF([@StageSeconds]="","",RANK([@StageSeconds],tblStage2[StageSeconds],1))</f>
      </c>
      <c r="I160">
        <f>IF([@Position]="",0,XLOOKUP([@Position],Config!tblBonus[Place],Config!tblBonus[Stage2BonusSec],0))</f>
      </c>
      <c r="J160">
        <f>IF([@StageSeconds]="","",[@StageSeconds]-[@BonusSeconds])</f>
      </c>
      <c r="K160" s="3">
        <f>IF([@NetSeconds]="","",[@NetSeconds]/86400)</f>
      </c>
    </row>
    <row r="161" spans="1:11" x14ac:dyDescent="0.25">
      <c r="A161" t="s">
        <v>22</v>
      </c>
      <c r="B161">
        <f>IF([@Bib]="","",XLOOKUP([@Bib],tblReg[Bib],tblReg[Field],""))</f>
      </c>
      <c r="C161">
        <f>IF([@Bib]="","",XLOOKUP([@Bib],tblReg[Bib],tblReg[FirstName],""))</f>
      </c>
      <c r="D161">
        <f>IF([@Bib]="","",XLOOKUP([@Bib],tblReg[Bib],tblReg[LastName],""))</f>
      </c>
      <c r="E161">
        <f>IF([@Bib]="","",XLOOKUP([@Bib],tblReg[Bib],tblReg[Team],""))</f>
      </c>
      <c r="F161" s="3" t="s">
        <v>22</v>
      </c>
      <c r="G161">
        <f>IF([@StageTime]="","",HOUR([@StageTime])*3600 + MINUTE([@StageTime])*60 + SECOND([@StageTime]))</f>
      </c>
      <c r="H161">
        <f>IF([@StageSeconds]="","",RANK([@StageSeconds],tblStage2[StageSeconds],1))</f>
      </c>
      <c r="I161">
        <f>IF([@Position]="",0,XLOOKUP([@Position],Config!tblBonus[Place],Config!tblBonus[Stage2BonusSec],0))</f>
      </c>
      <c r="J161">
        <f>IF([@StageSeconds]="","",[@StageSeconds]-[@BonusSeconds])</f>
      </c>
      <c r="K161" s="3">
        <f>IF([@NetSeconds]="","",[@NetSeconds]/86400)</f>
      </c>
    </row>
    <row r="162" spans="1:11" x14ac:dyDescent="0.25">
      <c r="A162" t="s">
        <v>22</v>
      </c>
      <c r="B162">
        <f>IF([@Bib]="","",XLOOKUP([@Bib],tblReg[Bib],tblReg[Field],""))</f>
      </c>
      <c r="C162">
        <f>IF([@Bib]="","",XLOOKUP([@Bib],tblReg[Bib],tblReg[FirstName],""))</f>
      </c>
      <c r="D162">
        <f>IF([@Bib]="","",XLOOKUP([@Bib],tblReg[Bib],tblReg[LastName],""))</f>
      </c>
      <c r="E162">
        <f>IF([@Bib]="","",XLOOKUP([@Bib],tblReg[Bib],tblReg[Team],""))</f>
      </c>
      <c r="F162" s="3" t="s">
        <v>22</v>
      </c>
      <c r="G162">
        <f>IF([@StageTime]="","",HOUR([@StageTime])*3600 + MINUTE([@StageTime])*60 + SECOND([@StageTime]))</f>
      </c>
      <c r="H162">
        <f>IF([@StageSeconds]="","",RANK([@StageSeconds],tblStage2[StageSeconds],1))</f>
      </c>
      <c r="I162">
        <f>IF([@Position]="",0,XLOOKUP([@Position],Config!tblBonus[Place],Config!tblBonus[Stage2BonusSec],0))</f>
      </c>
      <c r="J162">
        <f>IF([@StageSeconds]="","",[@StageSeconds]-[@BonusSeconds])</f>
      </c>
      <c r="K162" s="3">
        <f>IF([@NetSeconds]="","",[@NetSeconds]/86400)</f>
      </c>
    </row>
    <row r="163" spans="1:11" x14ac:dyDescent="0.25">
      <c r="A163" t="s">
        <v>22</v>
      </c>
      <c r="B163">
        <f>IF([@Bib]="","",XLOOKUP([@Bib],tblReg[Bib],tblReg[Field],""))</f>
      </c>
      <c r="C163">
        <f>IF([@Bib]="","",XLOOKUP([@Bib],tblReg[Bib],tblReg[FirstName],""))</f>
      </c>
      <c r="D163">
        <f>IF([@Bib]="","",XLOOKUP([@Bib],tblReg[Bib],tblReg[LastName],""))</f>
      </c>
      <c r="E163">
        <f>IF([@Bib]="","",XLOOKUP([@Bib],tblReg[Bib],tblReg[Team],""))</f>
      </c>
      <c r="F163" s="3" t="s">
        <v>22</v>
      </c>
      <c r="G163">
        <f>IF([@StageTime]="","",HOUR([@StageTime])*3600 + MINUTE([@StageTime])*60 + SECOND([@StageTime]))</f>
      </c>
      <c r="H163">
        <f>IF([@StageSeconds]="","",RANK([@StageSeconds],tblStage2[StageSeconds],1))</f>
      </c>
      <c r="I163">
        <f>IF([@Position]="",0,XLOOKUP([@Position],Config!tblBonus[Place],Config!tblBonus[Stage2BonusSec],0))</f>
      </c>
      <c r="J163">
        <f>IF([@StageSeconds]="","",[@StageSeconds]-[@BonusSeconds])</f>
      </c>
      <c r="K163" s="3">
        <f>IF([@NetSeconds]="","",[@NetSeconds]/86400)</f>
      </c>
    </row>
    <row r="164" spans="1:11" x14ac:dyDescent="0.25">
      <c r="A164" t="s">
        <v>22</v>
      </c>
      <c r="B164">
        <f>IF([@Bib]="","",XLOOKUP([@Bib],tblReg[Bib],tblReg[Field],""))</f>
      </c>
      <c r="C164">
        <f>IF([@Bib]="","",XLOOKUP([@Bib],tblReg[Bib],tblReg[FirstName],""))</f>
      </c>
      <c r="D164">
        <f>IF([@Bib]="","",XLOOKUP([@Bib],tblReg[Bib],tblReg[LastName],""))</f>
      </c>
      <c r="E164">
        <f>IF([@Bib]="","",XLOOKUP([@Bib],tblReg[Bib],tblReg[Team],""))</f>
      </c>
      <c r="F164" s="3" t="s">
        <v>22</v>
      </c>
      <c r="G164">
        <f>IF([@StageTime]="","",HOUR([@StageTime])*3600 + MINUTE([@StageTime])*60 + SECOND([@StageTime]))</f>
      </c>
      <c r="H164">
        <f>IF([@StageSeconds]="","",RANK([@StageSeconds],tblStage2[StageSeconds],1))</f>
      </c>
      <c r="I164">
        <f>IF([@Position]="",0,XLOOKUP([@Position],Config!tblBonus[Place],Config!tblBonus[Stage2BonusSec],0))</f>
      </c>
      <c r="J164">
        <f>IF([@StageSeconds]="","",[@StageSeconds]-[@BonusSeconds])</f>
      </c>
      <c r="K164" s="3">
        <f>IF([@NetSeconds]="","",[@NetSeconds]/86400)</f>
      </c>
    </row>
    <row r="165" spans="1:11" x14ac:dyDescent="0.25">
      <c r="A165" t="s">
        <v>22</v>
      </c>
      <c r="B165">
        <f>IF([@Bib]="","",XLOOKUP([@Bib],tblReg[Bib],tblReg[Field],""))</f>
      </c>
      <c r="C165">
        <f>IF([@Bib]="","",XLOOKUP([@Bib],tblReg[Bib],tblReg[FirstName],""))</f>
      </c>
      <c r="D165">
        <f>IF([@Bib]="","",XLOOKUP([@Bib],tblReg[Bib],tblReg[LastName],""))</f>
      </c>
      <c r="E165">
        <f>IF([@Bib]="","",XLOOKUP([@Bib],tblReg[Bib],tblReg[Team],""))</f>
      </c>
      <c r="F165" s="3" t="s">
        <v>22</v>
      </c>
      <c r="G165">
        <f>IF([@StageTime]="","",HOUR([@StageTime])*3600 + MINUTE([@StageTime])*60 + SECOND([@StageTime]))</f>
      </c>
      <c r="H165">
        <f>IF([@StageSeconds]="","",RANK([@StageSeconds],tblStage2[StageSeconds],1))</f>
      </c>
      <c r="I165">
        <f>IF([@Position]="",0,XLOOKUP([@Position],Config!tblBonus[Place],Config!tblBonus[Stage2BonusSec],0))</f>
      </c>
      <c r="J165">
        <f>IF([@StageSeconds]="","",[@StageSeconds]-[@BonusSeconds])</f>
      </c>
      <c r="K165" s="3">
        <f>IF([@NetSeconds]="","",[@NetSeconds]/86400)</f>
      </c>
    </row>
    <row r="166" spans="1:11" x14ac:dyDescent="0.25">
      <c r="A166" t="s">
        <v>22</v>
      </c>
      <c r="B166">
        <f>IF([@Bib]="","",XLOOKUP([@Bib],tblReg[Bib],tblReg[Field],""))</f>
      </c>
      <c r="C166">
        <f>IF([@Bib]="","",XLOOKUP([@Bib],tblReg[Bib],tblReg[FirstName],""))</f>
      </c>
      <c r="D166">
        <f>IF([@Bib]="","",XLOOKUP([@Bib],tblReg[Bib],tblReg[LastName],""))</f>
      </c>
      <c r="E166">
        <f>IF([@Bib]="","",XLOOKUP([@Bib],tblReg[Bib],tblReg[Team],""))</f>
      </c>
      <c r="F166" s="3" t="s">
        <v>22</v>
      </c>
      <c r="G166">
        <f>IF([@StageTime]="","",HOUR([@StageTime])*3600 + MINUTE([@StageTime])*60 + SECOND([@StageTime]))</f>
      </c>
      <c r="H166">
        <f>IF([@StageSeconds]="","",RANK([@StageSeconds],tblStage2[StageSeconds],1))</f>
      </c>
      <c r="I166">
        <f>IF([@Position]="",0,XLOOKUP([@Position],Config!tblBonus[Place],Config!tblBonus[Stage2BonusSec],0))</f>
      </c>
      <c r="J166">
        <f>IF([@StageSeconds]="","",[@StageSeconds]-[@BonusSeconds])</f>
      </c>
      <c r="K166" s="3">
        <f>IF([@NetSeconds]="","",[@NetSeconds]/86400)</f>
      </c>
    </row>
    <row r="167" spans="1:11" x14ac:dyDescent="0.25">
      <c r="A167" t="s">
        <v>22</v>
      </c>
      <c r="B167">
        <f>IF([@Bib]="","",XLOOKUP([@Bib],tblReg[Bib],tblReg[Field],""))</f>
      </c>
      <c r="C167">
        <f>IF([@Bib]="","",XLOOKUP([@Bib],tblReg[Bib],tblReg[FirstName],""))</f>
      </c>
      <c r="D167">
        <f>IF([@Bib]="","",XLOOKUP([@Bib],tblReg[Bib],tblReg[LastName],""))</f>
      </c>
      <c r="E167">
        <f>IF([@Bib]="","",XLOOKUP([@Bib],tblReg[Bib],tblReg[Team],""))</f>
      </c>
      <c r="F167" s="3" t="s">
        <v>22</v>
      </c>
      <c r="G167">
        <f>IF([@StageTime]="","",HOUR([@StageTime])*3600 + MINUTE([@StageTime])*60 + SECOND([@StageTime]))</f>
      </c>
      <c r="H167">
        <f>IF([@StageSeconds]="","",RANK([@StageSeconds],tblStage2[StageSeconds],1))</f>
      </c>
      <c r="I167">
        <f>IF([@Position]="",0,XLOOKUP([@Position],Config!tblBonus[Place],Config!tblBonus[Stage2BonusSec],0))</f>
      </c>
      <c r="J167">
        <f>IF([@StageSeconds]="","",[@StageSeconds]-[@BonusSeconds])</f>
      </c>
      <c r="K167" s="3">
        <f>IF([@NetSeconds]="","",[@NetSeconds]/86400)</f>
      </c>
    </row>
    <row r="168" spans="1:11" x14ac:dyDescent="0.25">
      <c r="A168" t="s">
        <v>22</v>
      </c>
      <c r="B168">
        <f>IF([@Bib]="","",XLOOKUP([@Bib],tblReg[Bib],tblReg[Field],""))</f>
      </c>
      <c r="C168">
        <f>IF([@Bib]="","",XLOOKUP([@Bib],tblReg[Bib],tblReg[FirstName],""))</f>
      </c>
      <c r="D168">
        <f>IF([@Bib]="","",XLOOKUP([@Bib],tblReg[Bib],tblReg[LastName],""))</f>
      </c>
      <c r="E168">
        <f>IF([@Bib]="","",XLOOKUP([@Bib],tblReg[Bib],tblReg[Team],""))</f>
      </c>
      <c r="F168" s="3" t="s">
        <v>22</v>
      </c>
      <c r="G168">
        <f>IF([@StageTime]="","",HOUR([@StageTime])*3600 + MINUTE([@StageTime])*60 + SECOND([@StageTime]))</f>
      </c>
      <c r="H168">
        <f>IF([@StageSeconds]="","",RANK([@StageSeconds],tblStage2[StageSeconds],1))</f>
      </c>
      <c r="I168">
        <f>IF([@Position]="",0,XLOOKUP([@Position],Config!tblBonus[Place],Config!tblBonus[Stage2BonusSec],0))</f>
      </c>
      <c r="J168">
        <f>IF([@StageSeconds]="","",[@StageSeconds]-[@BonusSeconds])</f>
      </c>
      <c r="K168" s="3">
        <f>IF([@NetSeconds]="","",[@NetSeconds]/86400)</f>
      </c>
    </row>
    <row r="169" spans="1:11" x14ac:dyDescent="0.25">
      <c r="A169" t="s">
        <v>22</v>
      </c>
      <c r="B169">
        <f>IF([@Bib]="","",XLOOKUP([@Bib],tblReg[Bib],tblReg[Field],""))</f>
      </c>
      <c r="C169">
        <f>IF([@Bib]="","",XLOOKUP([@Bib],tblReg[Bib],tblReg[FirstName],""))</f>
      </c>
      <c r="D169">
        <f>IF([@Bib]="","",XLOOKUP([@Bib],tblReg[Bib],tblReg[LastName],""))</f>
      </c>
      <c r="E169">
        <f>IF([@Bib]="","",XLOOKUP([@Bib],tblReg[Bib],tblReg[Team],""))</f>
      </c>
      <c r="F169" s="3" t="s">
        <v>22</v>
      </c>
      <c r="G169">
        <f>IF([@StageTime]="","",HOUR([@StageTime])*3600 + MINUTE([@StageTime])*60 + SECOND([@StageTime]))</f>
      </c>
      <c r="H169">
        <f>IF([@StageSeconds]="","",RANK([@StageSeconds],tblStage2[StageSeconds],1))</f>
      </c>
      <c r="I169">
        <f>IF([@Position]="",0,XLOOKUP([@Position],Config!tblBonus[Place],Config!tblBonus[Stage2BonusSec],0))</f>
      </c>
      <c r="J169">
        <f>IF([@StageSeconds]="","",[@StageSeconds]-[@BonusSeconds])</f>
      </c>
      <c r="K169" s="3">
        <f>IF([@NetSeconds]="","",[@NetSeconds]/86400)</f>
      </c>
    </row>
    <row r="170" spans="1:11" x14ac:dyDescent="0.25">
      <c r="A170" t="s">
        <v>22</v>
      </c>
      <c r="B170">
        <f>IF([@Bib]="","",XLOOKUP([@Bib],tblReg[Bib],tblReg[Field],""))</f>
      </c>
      <c r="C170">
        <f>IF([@Bib]="","",XLOOKUP([@Bib],tblReg[Bib],tblReg[FirstName],""))</f>
      </c>
      <c r="D170">
        <f>IF([@Bib]="","",XLOOKUP([@Bib],tblReg[Bib],tblReg[LastName],""))</f>
      </c>
      <c r="E170">
        <f>IF([@Bib]="","",XLOOKUP([@Bib],tblReg[Bib],tblReg[Team],""))</f>
      </c>
      <c r="F170" s="3" t="s">
        <v>22</v>
      </c>
      <c r="G170">
        <f>IF([@StageTime]="","",HOUR([@StageTime])*3600 + MINUTE([@StageTime])*60 + SECOND([@StageTime]))</f>
      </c>
      <c r="H170">
        <f>IF([@StageSeconds]="","",RANK([@StageSeconds],tblStage2[StageSeconds],1))</f>
      </c>
      <c r="I170">
        <f>IF([@Position]="",0,XLOOKUP([@Position],Config!tblBonus[Place],Config!tblBonus[Stage2BonusSec],0))</f>
      </c>
      <c r="J170">
        <f>IF([@StageSeconds]="","",[@StageSeconds]-[@BonusSeconds])</f>
      </c>
      <c r="K170" s="3">
        <f>IF([@NetSeconds]="","",[@NetSeconds]/86400)</f>
      </c>
    </row>
    <row r="171" spans="1:11" x14ac:dyDescent="0.25">
      <c r="A171" t="s">
        <v>22</v>
      </c>
      <c r="B171">
        <f>IF([@Bib]="","",XLOOKUP([@Bib],tblReg[Bib],tblReg[Field],""))</f>
      </c>
      <c r="C171">
        <f>IF([@Bib]="","",XLOOKUP([@Bib],tblReg[Bib],tblReg[FirstName],""))</f>
      </c>
      <c r="D171">
        <f>IF([@Bib]="","",XLOOKUP([@Bib],tblReg[Bib],tblReg[LastName],""))</f>
      </c>
      <c r="E171">
        <f>IF([@Bib]="","",XLOOKUP([@Bib],tblReg[Bib],tblReg[Team],""))</f>
      </c>
      <c r="F171" s="3" t="s">
        <v>22</v>
      </c>
      <c r="G171">
        <f>IF([@StageTime]="","",HOUR([@StageTime])*3600 + MINUTE([@StageTime])*60 + SECOND([@StageTime]))</f>
      </c>
      <c r="H171">
        <f>IF([@StageSeconds]="","",RANK([@StageSeconds],tblStage2[StageSeconds],1))</f>
      </c>
      <c r="I171">
        <f>IF([@Position]="",0,XLOOKUP([@Position],Config!tblBonus[Place],Config!tblBonus[Stage2BonusSec],0))</f>
      </c>
      <c r="J171">
        <f>IF([@StageSeconds]="","",[@StageSeconds]-[@BonusSeconds])</f>
      </c>
      <c r="K171" s="3">
        <f>IF([@NetSeconds]="","",[@NetSeconds]/86400)</f>
      </c>
    </row>
    <row r="172" spans="1:11" x14ac:dyDescent="0.25">
      <c r="A172" t="s">
        <v>22</v>
      </c>
      <c r="B172">
        <f>IF([@Bib]="","",XLOOKUP([@Bib],tblReg[Bib],tblReg[Field],""))</f>
      </c>
      <c r="C172">
        <f>IF([@Bib]="","",XLOOKUP([@Bib],tblReg[Bib],tblReg[FirstName],""))</f>
      </c>
      <c r="D172">
        <f>IF([@Bib]="","",XLOOKUP([@Bib],tblReg[Bib],tblReg[LastName],""))</f>
      </c>
      <c r="E172">
        <f>IF([@Bib]="","",XLOOKUP([@Bib],tblReg[Bib],tblReg[Team],""))</f>
      </c>
      <c r="F172" s="3" t="s">
        <v>22</v>
      </c>
      <c r="G172">
        <f>IF([@StageTime]="","",HOUR([@StageTime])*3600 + MINUTE([@StageTime])*60 + SECOND([@StageTime]))</f>
      </c>
      <c r="H172">
        <f>IF([@StageSeconds]="","",RANK([@StageSeconds],tblStage2[StageSeconds],1))</f>
      </c>
      <c r="I172">
        <f>IF([@Position]="",0,XLOOKUP([@Position],Config!tblBonus[Place],Config!tblBonus[Stage2BonusSec],0))</f>
      </c>
      <c r="J172">
        <f>IF([@StageSeconds]="","",[@StageSeconds]-[@BonusSeconds])</f>
      </c>
      <c r="K172" s="3">
        <f>IF([@NetSeconds]="","",[@NetSeconds]/86400)</f>
      </c>
    </row>
    <row r="173" spans="1:11" x14ac:dyDescent="0.25">
      <c r="A173" t="s">
        <v>22</v>
      </c>
      <c r="B173">
        <f>IF([@Bib]="","",XLOOKUP([@Bib],tblReg[Bib],tblReg[Field],""))</f>
      </c>
      <c r="C173">
        <f>IF([@Bib]="","",XLOOKUP([@Bib],tblReg[Bib],tblReg[FirstName],""))</f>
      </c>
      <c r="D173">
        <f>IF([@Bib]="","",XLOOKUP([@Bib],tblReg[Bib],tblReg[LastName],""))</f>
      </c>
      <c r="E173">
        <f>IF([@Bib]="","",XLOOKUP([@Bib],tblReg[Bib],tblReg[Team],""))</f>
      </c>
      <c r="F173" s="3" t="s">
        <v>22</v>
      </c>
      <c r="G173">
        <f>IF([@StageTime]="","",HOUR([@StageTime])*3600 + MINUTE([@StageTime])*60 + SECOND([@StageTime]))</f>
      </c>
      <c r="H173">
        <f>IF([@StageSeconds]="","",RANK([@StageSeconds],tblStage2[StageSeconds],1))</f>
      </c>
      <c r="I173">
        <f>IF([@Position]="",0,XLOOKUP([@Position],Config!tblBonus[Place],Config!tblBonus[Stage2BonusSec],0))</f>
      </c>
      <c r="J173">
        <f>IF([@StageSeconds]="","",[@StageSeconds]-[@BonusSeconds])</f>
      </c>
      <c r="K173" s="3">
        <f>IF([@NetSeconds]="","",[@NetSeconds]/86400)</f>
      </c>
    </row>
    <row r="174" spans="1:11" x14ac:dyDescent="0.25">
      <c r="A174" t="s">
        <v>22</v>
      </c>
      <c r="B174">
        <f>IF([@Bib]="","",XLOOKUP([@Bib],tblReg[Bib],tblReg[Field],""))</f>
      </c>
      <c r="C174">
        <f>IF([@Bib]="","",XLOOKUP([@Bib],tblReg[Bib],tblReg[FirstName],""))</f>
      </c>
      <c r="D174">
        <f>IF([@Bib]="","",XLOOKUP([@Bib],tblReg[Bib],tblReg[LastName],""))</f>
      </c>
      <c r="E174">
        <f>IF([@Bib]="","",XLOOKUP([@Bib],tblReg[Bib],tblReg[Team],""))</f>
      </c>
      <c r="F174" s="3" t="s">
        <v>22</v>
      </c>
      <c r="G174">
        <f>IF([@StageTime]="","",HOUR([@StageTime])*3600 + MINUTE([@StageTime])*60 + SECOND([@StageTime]))</f>
      </c>
      <c r="H174">
        <f>IF([@StageSeconds]="","",RANK([@StageSeconds],tblStage2[StageSeconds],1))</f>
      </c>
      <c r="I174">
        <f>IF([@Position]="",0,XLOOKUP([@Position],Config!tblBonus[Place],Config!tblBonus[Stage2BonusSec],0))</f>
      </c>
      <c r="J174">
        <f>IF([@StageSeconds]="","",[@StageSeconds]-[@BonusSeconds])</f>
      </c>
      <c r="K174" s="3">
        <f>IF([@NetSeconds]="","",[@NetSeconds]/86400)</f>
      </c>
    </row>
    <row r="175" spans="1:11" x14ac:dyDescent="0.25">
      <c r="A175" t="s">
        <v>22</v>
      </c>
      <c r="B175">
        <f>IF([@Bib]="","",XLOOKUP([@Bib],tblReg[Bib],tblReg[Field],""))</f>
      </c>
      <c r="C175">
        <f>IF([@Bib]="","",XLOOKUP([@Bib],tblReg[Bib],tblReg[FirstName],""))</f>
      </c>
      <c r="D175">
        <f>IF([@Bib]="","",XLOOKUP([@Bib],tblReg[Bib],tblReg[LastName],""))</f>
      </c>
      <c r="E175">
        <f>IF([@Bib]="","",XLOOKUP([@Bib],tblReg[Bib],tblReg[Team],""))</f>
      </c>
      <c r="F175" s="3" t="s">
        <v>22</v>
      </c>
      <c r="G175">
        <f>IF([@StageTime]="","",HOUR([@StageTime])*3600 + MINUTE([@StageTime])*60 + SECOND([@StageTime]))</f>
      </c>
      <c r="H175">
        <f>IF([@StageSeconds]="","",RANK([@StageSeconds],tblStage2[StageSeconds],1))</f>
      </c>
      <c r="I175">
        <f>IF([@Position]="",0,XLOOKUP([@Position],Config!tblBonus[Place],Config!tblBonus[Stage2BonusSec],0))</f>
      </c>
      <c r="J175">
        <f>IF([@StageSeconds]="","",[@StageSeconds]-[@BonusSeconds])</f>
      </c>
      <c r="K175" s="3">
        <f>IF([@NetSeconds]="","",[@NetSeconds]/86400)</f>
      </c>
    </row>
    <row r="176" spans="1:11" x14ac:dyDescent="0.25">
      <c r="A176" t="s">
        <v>22</v>
      </c>
      <c r="B176">
        <f>IF([@Bib]="","",XLOOKUP([@Bib],tblReg[Bib],tblReg[Field],""))</f>
      </c>
      <c r="C176">
        <f>IF([@Bib]="","",XLOOKUP([@Bib],tblReg[Bib],tblReg[FirstName],""))</f>
      </c>
      <c r="D176">
        <f>IF([@Bib]="","",XLOOKUP([@Bib],tblReg[Bib],tblReg[LastName],""))</f>
      </c>
      <c r="E176">
        <f>IF([@Bib]="","",XLOOKUP([@Bib],tblReg[Bib],tblReg[Team],""))</f>
      </c>
      <c r="F176" s="3" t="s">
        <v>22</v>
      </c>
      <c r="G176">
        <f>IF([@StageTime]="","",HOUR([@StageTime])*3600 + MINUTE([@StageTime])*60 + SECOND([@StageTime]))</f>
      </c>
      <c r="H176">
        <f>IF([@StageSeconds]="","",RANK([@StageSeconds],tblStage2[StageSeconds],1))</f>
      </c>
      <c r="I176">
        <f>IF([@Position]="",0,XLOOKUP([@Position],Config!tblBonus[Place],Config!tblBonus[Stage2BonusSec],0))</f>
      </c>
      <c r="J176">
        <f>IF([@StageSeconds]="","",[@StageSeconds]-[@BonusSeconds])</f>
      </c>
      <c r="K176" s="3">
        <f>IF([@NetSeconds]="","",[@NetSeconds]/86400)</f>
      </c>
    </row>
    <row r="177" spans="1:11" x14ac:dyDescent="0.25">
      <c r="A177" t="s">
        <v>22</v>
      </c>
      <c r="B177">
        <f>IF([@Bib]="","",XLOOKUP([@Bib],tblReg[Bib],tblReg[Field],""))</f>
      </c>
      <c r="C177">
        <f>IF([@Bib]="","",XLOOKUP([@Bib],tblReg[Bib],tblReg[FirstName],""))</f>
      </c>
      <c r="D177">
        <f>IF([@Bib]="","",XLOOKUP([@Bib],tblReg[Bib],tblReg[LastName],""))</f>
      </c>
      <c r="E177">
        <f>IF([@Bib]="","",XLOOKUP([@Bib],tblReg[Bib],tblReg[Team],""))</f>
      </c>
      <c r="F177" s="3" t="s">
        <v>22</v>
      </c>
      <c r="G177">
        <f>IF([@StageTime]="","",HOUR([@StageTime])*3600 + MINUTE([@StageTime])*60 + SECOND([@StageTime]))</f>
      </c>
      <c r="H177">
        <f>IF([@StageSeconds]="","",RANK([@StageSeconds],tblStage2[StageSeconds],1))</f>
      </c>
      <c r="I177">
        <f>IF([@Position]="",0,XLOOKUP([@Position],Config!tblBonus[Place],Config!tblBonus[Stage2BonusSec],0))</f>
      </c>
      <c r="J177">
        <f>IF([@StageSeconds]="","",[@StageSeconds]-[@BonusSeconds])</f>
      </c>
      <c r="K177" s="3">
        <f>IF([@NetSeconds]="","",[@NetSeconds]/86400)</f>
      </c>
    </row>
    <row r="178" spans="1:11" x14ac:dyDescent="0.25">
      <c r="A178" t="s">
        <v>22</v>
      </c>
      <c r="B178">
        <f>IF([@Bib]="","",XLOOKUP([@Bib],tblReg[Bib],tblReg[Field],""))</f>
      </c>
      <c r="C178">
        <f>IF([@Bib]="","",XLOOKUP([@Bib],tblReg[Bib],tblReg[FirstName],""))</f>
      </c>
      <c r="D178">
        <f>IF([@Bib]="","",XLOOKUP([@Bib],tblReg[Bib],tblReg[LastName],""))</f>
      </c>
      <c r="E178">
        <f>IF([@Bib]="","",XLOOKUP([@Bib],tblReg[Bib],tblReg[Team],""))</f>
      </c>
      <c r="F178" s="3" t="s">
        <v>22</v>
      </c>
      <c r="G178">
        <f>IF([@StageTime]="","",HOUR([@StageTime])*3600 + MINUTE([@StageTime])*60 + SECOND([@StageTime]))</f>
      </c>
      <c r="H178">
        <f>IF([@StageSeconds]="","",RANK([@StageSeconds],tblStage2[StageSeconds],1))</f>
      </c>
      <c r="I178">
        <f>IF([@Position]="",0,XLOOKUP([@Position],Config!tblBonus[Place],Config!tblBonus[Stage2BonusSec],0))</f>
      </c>
      <c r="J178">
        <f>IF([@StageSeconds]="","",[@StageSeconds]-[@BonusSeconds])</f>
      </c>
      <c r="K178" s="3">
        <f>IF([@NetSeconds]="","",[@NetSeconds]/86400)</f>
      </c>
    </row>
    <row r="179" spans="1:11" x14ac:dyDescent="0.25">
      <c r="A179" t="s">
        <v>22</v>
      </c>
      <c r="B179">
        <f>IF([@Bib]="","",XLOOKUP([@Bib],tblReg[Bib],tblReg[Field],""))</f>
      </c>
      <c r="C179">
        <f>IF([@Bib]="","",XLOOKUP([@Bib],tblReg[Bib],tblReg[FirstName],""))</f>
      </c>
      <c r="D179">
        <f>IF([@Bib]="","",XLOOKUP([@Bib],tblReg[Bib],tblReg[LastName],""))</f>
      </c>
      <c r="E179">
        <f>IF([@Bib]="","",XLOOKUP([@Bib],tblReg[Bib],tblReg[Team],""))</f>
      </c>
      <c r="F179" s="3" t="s">
        <v>22</v>
      </c>
      <c r="G179">
        <f>IF([@StageTime]="","",HOUR([@StageTime])*3600 + MINUTE([@StageTime])*60 + SECOND([@StageTime]))</f>
      </c>
      <c r="H179">
        <f>IF([@StageSeconds]="","",RANK([@StageSeconds],tblStage2[StageSeconds],1))</f>
      </c>
      <c r="I179">
        <f>IF([@Position]="",0,XLOOKUP([@Position],Config!tblBonus[Place],Config!tblBonus[Stage2BonusSec],0))</f>
      </c>
      <c r="J179">
        <f>IF([@StageSeconds]="","",[@StageSeconds]-[@BonusSeconds])</f>
      </c>
      <c r="K179" s="3">
        <f>IF([@NetSeconds]="","",[@NetSeconds]/86400)</f>
      </c>
    </row>
    <row r="180" spans="1:11" x14ac:dyDescent="0.25">
      <c r="A180" t="s">
        <v>22</v>
      </c>
      <c r="B180">
        <f>IF([@Bib]="","",XLOOKUP([@Bib],tblReg[Bib],tblReg[Field],""))</f>
      </c>
      <c r="C180">
        <f>IF([@Bib]="","",XLOOKUP([@Bib],tblReg[Bib],tblReg[FirstName],""))</f>
      </c>
      <c r="D180">
        <f>IF([@Bib]="","",XLOOKUP([@Bib],tblReg[Bib],tblReg[LastName],""))</f>
      </c>
      <c r="E180">
        <f>IF([@Bib]="","",XLOOKUP([@Bib],tblReg[Bib],tblReg[Team],""))</f>
      </c>
      <c r="F180" s="3" t="s">
        <v>22</v>
      </c>
      <c r="G180">
        <f>IF([@StageTime]="","",HOUR([@StageTime])*3600 + MINUTE([@StageTime])*60 + SECOND([@StageTime]))</f>
      </c>
      <c r="H180">
        <f>IF([@StageSeconds]="","",RANK([@StageSeconds],tblStage2[StageSeconds],1))</f>
      </c>
      <c r="I180">
        <f>IF([@Position]="",0,XLOOKUP([@Position],Config!tblBonus[Place],Config!tblBonus[Stage2BonusSec],0))</f>
      </c>
      <c r="J180">
        <f>IF([@StageSeconds]="","",[@StageSeconds]-[@BonusSeconds])</f>
      </c>
      <c r="K180" s="3">
        <f>IF([@NetSeconds]="","",[@NetSeconds]/86400)</f>
      </c>
    </row>
    <row r="181" spans="1:11" x14ac:dyDescent="0.25">
      <c r="A181" t="s">
        <v>22</v>
      </c>
      <c r="B181">
        <f>IF([@Bib]="","",XLOOKUP([@Bib],tblReg[Bib],tblReg[Field],""))</f>
      </c>
      <c r="C181">
        <f>IF([@Bib]="","",XLOOKUP([@Bib],tblReg[Bib],tblReg[FirstName],""))</f>
      </c>
      <c r="D181">
        <f>IF([@Bib]="","",XLOOKUP([@Bib],tblReg[Bib],tblReg[LastName],""))</f>
      </c>
      <c r="E181">
        <f>IF([@Bib]="","",XLOOKUP([@Bib],tblReg[Bib],tblReg[Team],""))</f>
      </c>
      <c r="F181" s="3" t="s">
        <v>22</v>
      </c>
      <c r="G181">
        <f>IF([@StageTime]="","",HOUR([@StageTime])*3600 + MINUTE([@StageTime])*60 + SECOND([@StageTime]))</f>
      </c>
      <c r="H181">
        <f>IF([@StageSeconds]="","",RANK([@StageSeconds],tblStage2[StageSeconds],1))</f>
      </c>
      <c r="I181">
        <f>IF([@Position]="",0,XLOOKUP([@Position],Config!tblBonus[Place],Config!tblBonus[Stage2BonusSec],0))</f>
      </c>
      <c r="J181">
        <f>IF([@StageSeconds]="","",[@StageSeconds]-[@BonusSeconds])</f>
      </c>
      <c r="K181" s="3">
        <f>IF([@NetSeconds]="","",[@NetSeconds]/86400)</f>
      </c>
    </row>
    <row r="182" spans="1:11" x14ac:dyDescent="0.25">
      <c r="A182" t="s">
        <v>22</v>
      </c>
      <c r="B182">
        <f>IF([@Bib]="","",XLOOKUP([@Bib],tblReg[Bib],tblReg[Field],""))</f>
      </c>
      <c r="C182">
        <f>IF([@Bib]="","",XLOOKUP([@Bib],tblReg[Bib],tblReg[FirstName],""))</f>
      </c>
      <c r="D182">
        <f>IF([@Bib]="","",XLOOKUP([@Bib],tblReg[Bib],tblReg[LastName],""))</f>
      </c>
      <c r="E182">
        <f>IF([@Bib]="","",XLOOKUP([@Bib],tblReg[Bib],tblReg[Team],""))</f>
      </c>
      <c r="F182" s="3" t="s">
        <v>22</v>
      </c>
      <c r="G182">
        <f>IF([@StageTime]="","",HOUR([@StageTime])*3600 + MINUTE([@StageTime])*60 + SECOND([@StageTime]))</f>
      </c>
      <c r="H182">
        <f>IF([@StageSeconds]="","",RANK([@StageSeconds],tblStage2[StageSeconds],1))</f>
      </c>
      <c r="I182">
        <f>IF([@Position]="",0,XLOOKUP([@Position],Config!tblBonus[Place],Config!tblBonus[Stage2BonusSec],0))</f>
      </c>
      <c r="J182">
        <f>IF([@StageSeconds]="","",[@StageSeconds]-[@BonusSeconds])</f>
      </c>
      <c r="K182" s="3">
        <f>IF([@NetSeconds]="","",[@NetSeconds]/86400)</f>
      </c>
    </row>
    <row r="183" spans="1:11" x14ac:dyDescent="0.25">
      <c r="A183" t="s">
        <v>22</v>
      </c>
      <c r="B183">
        <f>IF([@Bib]="","",XLOOKUP([@Bib],tblReg[Bib],tblReg[Field],""))</f>
      </c>
      <c r="C183">
        <f>IF([@Bib]="","",XLOOKUP([@Bib],tblReg[Bib],tblReg[FirstName],""))</f>
      </c>
      <c r="D183">
        <f>IF([@Bib]="","",XLOOKUP([@Bib],tblReg[Bib],tblReg[LastName],""))</f>
      </c>
      <c r="E183">
        <f>IF([@Bib]="","",XLOOKUP([@Bib],tblReg[Bib],tblReg[Team],""))</f>
      </c>
      <c r="F183" s="3" t="s">
        <v>22</v>
      </c>
      <c r="G183">
        <f>IF([@StageTime]="","",HOUR([@StageTime])*3600 + MINUTE([@StageTime])*60 + SECOND([@StageTime]))</f>
      </c>
      <c r="H183">
        <f>IF([@StageSeconds]="","",RANK([@StageSeconds],tblStage2[StageSeconds],1))</f>
      </c>
      <c r="I183">
        <f>IF([@Position]="",0,XLOOKUP([@Position],Config!tblBonus[Place],Config!tblBonus[Stage2BonusSec],0))</f>
      </c>
      <c r="J183">
        <f>IF([@StageSeconds]="","",[@StageSeconds]-[@BonusSeconds])</f>
      </c>
      <c r="K183" s="3">
        <f>IF([@NetSeconds]="","",[@NetSeconds]/86400)</f>
      </c>
    </row>
    <row r="184" spans="1:11" x14ac:dyDescent="0.25">
      <c r="A184" t="s">
        <v>22</v>
      </c>
      <c r="B184">
        <f>IF([@Bib]="","",XLOOKUP([@Bib],tblReg[Bib],tblReg[Field],""))</f>
      </c>
      <c r="C184">
        <f>IF([@Bib]="","",XLOOKUP([@Bib],tblReg[Bib],tblReg[FirstName],""))</f>
      </c>
      <c r="D184">
        <f>IF([@Bib]="","",XLOOKUP([@Bib],tblReg[Bib],tblReg[LastName],""))</f>
      </c>
      <c r="E184">
        <f>IF([@Bib]="","",XLOOKUP([@Bib],tblReg[Bib],tblReg[Team],""))</f>
      </c>
      <c r="F184" s="3" t="s">
        <v>22</v>
      </c>
      <c r="G184">
        <f>IF([@StageTime]="","",HOUR([@StageTime])*3600 + MINUTE([@StageTime])*60 + SECOND([@StageTime]))</f>
      </c>
      <c r="H184">
        <f>IF([@StageSeconds]="","",RANK([@StageSeconds],tblStage2[StageSeconds],1))</f>
      </c>
      <c r="I184">
        <f>IF([@Position]="",0,XLOOKUP([@Position],Config!tblBonus[Place],Config!tblBonus[Stage2BonusSec],0))</f>
      </c>
      <c r="J184">
        <f>IF([@StageSeconds]="","",[@StageSeconds]-[@BonusSeconds])</f>
      </c>
      <c r="K184" s="3">
        <f>IF([@NetSeconds]="","",[@NetSeconds]/86400)</f>
      </c>
    </row>
    <row r="185" spans="1:11" x14ac:dyDescent="0.25">
      <c r="A185" t="s">
        <v>22</v>
      </c>
      <c r="B185">
        <f>IF([@Bib]="","",XLOOKUP([@Bib],tblReg[Bib],tblReg[Field],""))</f>
      </c>
      <c r="C185">
        <f>IF([@Bib]="","",XLOOKUP([@Bib],tblReg[Bib],tblReg[FirstName],""))</f>
      </c>
      <c r="D185">
        <f>IF([@Bib]="","",XLOOKUP([@Bib],tblReg[Bib],tblReg[LastName],""))</f>
      </c>
      <c r="E185">
        <f>IF([@Bib]="","",XLOOKUP([@Bib],tblReg[Bib],tblReg[Team],""))</f>
      </c>
      <c r="F185" s="3" t="s">
        <v>22</v>
      </c>
      <c r="G185">
        <f>IF([@StageTime]="","",HOUR([@StageTime])*3600 + MINUTE([@StageTime])*60 + SECOND([@StageTime]))</f>
      </c>
      <c r="H185">
        <f>IF([@StageSeconds]="","",RANK([@StageSeconds],tblStage2[StageSeconds],1))</f>
      </c>
      <c r="I185">
        <f>IF([@Position]="",0,XLOOKUP([@Position],Config!tblBonus[Place],Config!tblBonus[Stage2BonusSec],0))</f>
      </c>
      <c r="J185">
        <f>IF([@StageSeconds]="","",[@StageSeconds]-[@BonusSeconds])</f>
      </c>
      <c r="K185" s="3">
        <f>IF([@NetSeconds]="","",[@NetSeconds]/86400)</f>
      </c>
    </row>
    <row r="186" spans="1:11" x14ac:dyDescent="0.25">
      <c r="A186" t="s">
        <v>22</v>
      </c>
      <c r="B186">
        <f>IF([@Bib]="","",XLOOKUP([@Bib],tblReg[Bib],tblReg[Field],""))</f>
      </c>
      <c r="C186">
        <f>IF([@Bib]="","",XLOOKUP([@Bib],tblReg[Bib],tblReg[FirstName],""))</f>
      </c>
      <c r="D186">
        <f>IF([@Bib]="","",XLOOKUP([@Bib],tblReg[Bib],tblReg[LastName],""))</f>
      </c>
      <c r="E186">
        <f>IF([@Bib]="","",XLOOKUP([@Bib],tblReg[Bib],tblReg[Team],""))</f>
      </c>
      <c r="F186" s="3" t="s">
        <v>22</v>
      </c>
      <c r="G186">
        <f>IF([@StageTime]="","",HOUR([@StageTime])*3600 + MINUTE([@StageTime])*60 + SECOND([@StageTime]))</f>
      </c>
      <c r="H186">
        <f>IF([@StageSeconds]="","",RANK([@StageSeconds],tblStage2[StageSeconds],1))</f>
      </c>
      <c r="I186">
        <f>IF([@Position]="",0,XLOOKUP([@Position],Config!tblBonus[Place],Config!tblBonus[Stage2BonusSec],0))</f>
      </c>
      <c r="J186">
        <f>IF([@StageSeconds]="","",[@StageSeconds]-[@BonusSeconds])</f>
      </c>
      <c r="K186" s="3">
        <f>IF([@NetSeconds]="","",[@NetSeconds]/86400)</f>
      </c>
    </row>
    <row r="187" spans="1:11" x14ac:dyDescent="0.25">
      <c r="A187" t="s">
        <v>22</v>
      </c>
      <c r="B187">
        <f>IF([@Bib]="","",XLOOKUP([@Bib],tblReg[Bib],tblReg[Field],""))</f>
      </c>
      <c r="C187">
        <f>IF([@Bib]="","",XLOOKUP([@Bib],tblReg[Bib],tblReg[FirstName],""))</f>
      </c>
      <c r="D187">
        <f>IF([@Bib]="","",XLOOKUP([@Bib],tblReg[Bib],tblReg[LastName],""))</f>
      </c>
      <c r="E187">
        <f>IF([@Bib]="","",XLOOKUP([@Bib],tblReg[Bib],tblReg[Team],""))</f>
      </c>
      <c r="F187" s="3" t="s">
        <v>22</v>
      </c>
      <c r="G187">
        <f>IF([@StageTime]="","",HOUR([@StageTime])*3600 + MINUTE([@StageTime])*60 + SECOND([@StageTime]))</f>
      </c>
      <c r="H187">
        <f>IF([@StageSeconds]="","",RANK([@StageSeconds],tblStage2[StageSeconds],1))</f>
      </c>
      <c r="I187">
        <f>IF([@Position]="",0,XLOOKUP([@Position],Config!tblBonus[Place],Config!tblBonus[Stage2BonusSec],0))</f>
      </c>
      <c r="J187">
        <f>IF([@StageSeconds]="","",[@StageSeconds]-[@BonusSeconds])</f>
      </c>
      <c r="K187" s="3">
        <f>IF([@NetSeconds]="","",[@NetSeconds]/86400)</f>
      </c>
    </row>
    <row r="188" spans="1:11" x14ac:dyDescent="0.25">
      <c r="A188" t="s">
        <v>22</v>
      </c>
      <c r="B188">
        <f>IF([@Bib]="","",XLOOKUP([@Bib],tblReg[Bib],tblReg[Field],""))</f>
      </c>
      <c r="C188">
        <f>IF([@Bib]="","",XLOOKUP([@Bib],tblReg[Bib],tblReg[FirstName],""))</f>
      </c>
      <c r="D188">
        <f>IF([@Bib]="","",XLOOKUP([@Bib],tblReg[Bib],tblReg[LastName],""))</f>
      </c>
      <c r="E188">
        <f>IF([@Bib]="","",XLOOKUP([@Bib],tblReg[Bib],tblReg[Team],""))</f>
      </c>
      <c r="F188" s="3" t="s">
        <v>22</v>
      </c>
      <c r="G188">
        <f>IF([@StageTime]="","",HOUR([@StageTime])*3600 + MINUTE([@StageTime])*60 + SECOND([@StageTime]))</f>
      </c>
      <c r="H188">
        <f>IF([@StageSeconds]="","",RANK([@StageSeconds],tblStage2[StageSeconds],1))</f>
      </c>
      <c r="I188">
        <f>IF([@Position]="",0,XLOOKUP([@Position],Config!tblBonus[Place],Config!tblBonus[Stage2BonusSec],0))</f>
      </c>
      <c r="J188">
        <f>IF([@StageSeconds]="","",[@StageSeconds]-[@BonusSeconds])</f>
      </c>
      <c r="K188" s="3">
        <f>IF([@NetSeconds]="","",[@NetSeconds]/86400)</f>
      </c>
    </row>
    <row r="189" spans="1:11" x14ac:dyDescent="0.25">
      <c r="A189" t="s">
        <v>22</v>
      </c>
      <c r="B189">
        <f>IF([@Bib]="","",XLOOKUP([@Bib],tblReg[Bib],tblReg[Field],""))</f>
      </c>
      <c r="C189">
        <f>IF([@Bib]="","",XLOOKUP([@Bib],tblReg[Bib],tblReg[FirstName],""))</f>
      </c>
      <c r="D189">
        <f>IF([@Bib]="","",XLOOKUP([@Bib],tblReg[Bib],tblReg[LastName],""))</f>
      </c>
      <c r="E189">
        <f>IF([@Bib]="","",XLOOKUP([@Bib],tblReg[Bib],tblReg[Team],""))</f>
      </c>
      <c r="F189" s="3" t="s">
        <v>22</v>
      </c>
      <c r="G189">
        <f>IF([@StageTime]="","",HOUR([@StageTime])*3600 + MINUTE([@StageTime])*60 + SECOND([@StageTime]))</f>
      </c>
      <c r="H189">
        <f>IF([@StageSeconds]="","",RANK([@StageSeconds],tblStage2[StageSeconds],1))</f>
      </c>
      <c r="I189">
        <f>IF([@Position]="",0,XLOOKUP([@Position],Config!tblBonus[Place],Config!tblBonus[Stage2BonusSec],0))</f>
      </c>
      <c r="J189">
        <f>IF([@StageSeconds]="","",[@StageSeconds]-[@BonusSeconds])</f>
      </c>
      <c r="K189" s="3">
        <f>IF([@NetSeconds]="","",[@NetSeconds]/86400)</f>
      </c>
    </row>
    <row r="190" spans="1:11" x14ac:dyDescent="0.25">
      <c r="A190" t="s">
        <v>22</v>
      </c>
      <c r="B190">
        <f>IF([@Bib]="","",XLOOKUP([@Bib],tblReg[Bib],tblReg[Field],""))</f>
      </c>
      <c r="C190">
        <f>IF([@Bib]="","",XLOOKUP([@Bib],tblReg[Bib],tblReg[FirstName],""))</f>
      </c>
      <c r="D190">
        <f>IF([@Bib]="","",XLOOKUP([@Bib],tblReg[Bib],tblReg[LastName],""))</f>
      </c>
      <c r="E190">
        <f>IF([@Bib]="","",XLOOKUP([@Bib],tblReg[Bib],tblReg[Team],""))</f>
      </c>
      <c r="F190" s="3" t="s">
        <v>22</v>
      </c>
      <c r="G190">
        <f>IF([@StageTime]="","",HOUR([@StageTime])*3600 + MINUTE([@StageTime])*60 + SECOND([@StageTime]))</f>
      </c>
      <c r="H190">
        <f>IF([@StageSeconds]="","",RANK([@StageSeconds],tblStage2[StageSeconds],1))</f>
      </c>
      <c r="I190">
        <f>IF([@Position]="",0,XLOOKUP([@Position],Config!tblBonus[Place],Config!tblBonus[Stage2BonusSec],0))</f>
      </c>
      <c r="J190">
        <f>IF([@StageSeconds]="","",[@StageSeconds]-[@BonusSeconds])</f>
      </c>
      <c r="K190" s="3">
        <f>IF([@NetSeconds]="","",[@NetSeconds]/86400)</f>
      </c>
    </row>
    <row r="191" spans="1:11" x14ac:dyDescent="0.25">
      <c r="A191" t="s">
        <v>22</v>
      </c>
      <c r="B191">
        <f>IF([@Bib]="","",XLOOKUP([@Bib],tblReg[Bib],tblReg[Field],""))</f>
      </c>
      <c r="C191">
        <f>IF([@Bib]="","",XLOOKUP([@Bib],tblReg[Bib],tblReg[FirstName],""))</f>
      </c>
      <c r="D191">
        <f>IF([@Bib]="","",XLOOKUP([@Bib],tblReg[Bib],tblReg[LastName],""))</f>
      </c>
      <c r="E191">
        <f>IF([@Bib]="","",XLOOKUP([@Bib],tblReg[Bib],tblReg[Team],""))</f>
      </c>
      <c r="F191" s="3" t="s">
        <v>22</v>
      </c>
      <c r="G191">
        <f>IF([@StageTime]="","",HOUR([@StageTime])*3600 + MINUTE([@StageTime])*60 + SECOND([@StageTime]))</f>
      </c>
      <c r="H191">
        <f>IF([@StageSeconds]="","",RANK([@StageSeconds],tblStage2[StageSeconds],1))</f>
      </c>
      <c r="I191">
        <f>IF([@Position]="",0,XLOOKUP([@Position],Config!tblBonus[Place],Config!tblBonus[Stage2BonusSec],0))</f>
      </c>
      <c r="J191">
        <f>IF([@StageSeconds]="","",[@StageSeconds]-[@BonusSeconds])</f>
      </c>
      <c r="K191" s="3">
        <f>IF([@NetSeconds]="","",[@NetSeconds]/86400)</f>
      </c>
    </row>
    <row r="192" spans="1:11" x14ac:dyDescent="0.25">
      <c r="A192" t="s">
        <v>22</v>
      </c>
      <c r="B192">
        <f>IF([@Bib]="","",XLOOKUP([@Bib],tblReg[Bib],tblReg[Field],""))</f>
      </c>
      <c r="C192">
        <f>IF([@Bib]="","",XLOOKUP([@Bib],tblReg[Bib],tblReg[FirstName],""))</f>
      </c>
      <c r="D192">
        <f>IF([@Bib]="","",XLOOKUP([@Bib],tblReg[Bib],tblReg[LastName],""))</f>
      </c>
      <c r="E192">
        <f>IF([@Bib]="","",XLOOKUP([@Bib],tblReg[Bib],tblReg[Team],""))</f>
      </c>
      <c r="F192" s="3" t="s">
        <v>22</v>
      </c>
      <c r="G192">
        <f>IF([@StageTime]="","",HOUR([@StageTime])*3600 + MINUTE([@StageTime])*60 + SECOND([@StageTime]))</f>
      </c>
      <c r="H192">
        <f>IF([@StageSeconds]="","",RANK([@StageSeconds],tblStage2[StageSeconds],1))</f>
      </c>
      <c r="I192">
        <f>IF([@Position]="",0,XLOOKUP([@Position],Config!tblBonus[Place],Config!tblBonus[Stage2BonusSec],0))</f>
      </c>
      <c r="J192">
        <f>IF([@StageSeconds]="","",[@StageSeconds]-[@BonusSeconds])</f>
      </c>
      <c r="K192" s="3">
        <f>IF([@NetSeconds]="","",[@NetSeconds]/86400)</f>
      </c>
    </row>
    <row r="193" spans="1:11" x14ac:dyDescent="0.25">
      <c r="A193" t="s">
        <v>22</v>
      </c>
      <c r="B193">
        <f>IF([@Bib]="","",XLOOKUP([@Bib],tblReg[Bib],tblReg[Field],""))</f>
      </c>
      <c r="C193">
        <f>IF([@Bib]="","",XLOOKUP([@Bib],tblReg[Bib],tblReg[FirstName],""))</f>
      </c>
      <c r="D193">
        <f>IF([@Bib]="","",XLOOKUP([@Bib],tblReg[Bib],tblReg[LastName],""))</f>
      </c>
      <c r="E193">
        <f>IF([@Bib]="","",XLOOKUP([@Bib],tblReg[Bib],tblReg[Team],""))</f>
      </c>
      <c r="F193" s="3" t="s">
        <v>22</v>
      </c>
      <c r="G193">
        <f>IF([@StageTime]="","",HOUR([@StageTime])*3600 + MINUTE([@StageTime])*60 + SECOND([@StageTime]))</f>
      </c>
      <c r="H193">
        <f>IF([@StageSeconds]="","",RANK([@StageSeconds],tblStage2[StageSeconds],1))</f>
      </c>
      <c r="I193">
        <f>IF([@Position]="",0,XLOOKUP([@Position],Config!tblBonus[Place],Config!tblBonus[Stage2BonusSec],0))</f>
      </c>
      <c r="J193">
        <f>IF([@StageSeconds]="","",[@StageSeconds]-[@BonusSeconds])</f>
      </c>
      <c r="K193" s="3">
        <f>IF([@NetSeconds]="","",[@NetSeconds]/86400)</f>
      </c>
    </row>
    <row r="194" spans="1:11" x14ac:dyDescent="0.25">
      <c r="A194" t="s">
        <v>22</v>
      </c>
      <c r="B194">
        <f>IF([@Bib]="","",XLOOKUP([@Bib],tblReg[Bib],tblReg[Field],""))</f>
      </c>
      <c r="C194">
        <f>IF([@Bib]="","",XLOOKUP([@Bib],tblReg[Bib],tblReg[FirstName],""))</f>
      </c>
      <c r="D194">
        <f>IF([@Bib]="","",XLOOKUP([@Bib],tblReg[Bib],tblReg[LastName],""))</f>
      </c>
      <c r="E194">
        <f>IF([@Bib]="","",XLOOKUP([@Bib],tblReg[Bib],tblReg[Team],""))</f>
      </c>
      <c r="F194" s="3" t="s">
        <v>22</v>
      </c>
      <c r="G194">
        <f>IF([@StageTime]="","",HOUR([@StageTime])*3600 + MINUTE([@StageTime])*60 + SECOND([@StageTime]))</f>
      </c>
      <c r="H194">
        <f>IF([@StageSeconds]="","",RANK([@StageSeconds],tblStage2[StageSeconds],1))</f>
      </c>
      <c r="I194">
        <f>IF([@Position]="",0,XLOOKUP([@Position],Config!tblBonus[Place],Config!tblBonus[Stage2BonusSec],0))</f>
      </c>
      <c r="J194">
        <f>IF([@StageSeconds]="","",[@StageSeconds]-[@BonusSeconds])</f>
      </c>
      <c r="K194" s="3">
        <f>IF([@NetSeconds]="","",[@NetSeconds]/86400)</f>
      </c>
    </row>
    <row r="195" spans="1:11" x14ac:dyDescent="0.25">
      <c r="A195" t="s">
        <v>22</v>
      </c>
      <c r="B195">
        <f>IF([@Bib]="","",XLOOKUP([@Bib],tblReg[Bib],tblReg[Field],""))</f>
      </c>
      <c r="C195">
        <f>IF([@Bib]="","",XLOOKUP([@Bib],tblReg[Bib],tblReg[FirstName],""))</f>
      </c>
      <c r="D195">
        <f>IF([@Bib]="","",XLOOKUP([@Bib],tblReg[Bib],tblReg[LastName],""))</f>
      </c>
      <c r="E195">
        <f>IF([@Bib]="","",XLOOKUP([@Bib],tblReg[Bib],tblReg[Team],""))</f>
      </c>
      <c r="F195" s="3" t="s">
        <v>22</v>
      </c>
      <c r="G195">
        <f>IF([@StageTime]="","",HOUR([@StageTime])*3600 + MINUTE([@StageTime])*60 + SECOND([@StageTime]))</f>
      </c>
      <c r="H195">
        <f>IF([@StageSeconds]="","",RANK([@StageSeconds],tblStage2[StageSeconds],1))</f>
      </c>
      <c r="I195">
        <f>IF([@Position]="",0,XLOOKUP([@Position],Config!tblBonus[Place],Config!tblBonus[Stage2BonusSec],0))</f>
      </c>
      <c r="J195">
        <f>IF([@StageSeconds]="","",[@StageSeconds]-[@BonusSeconds])</f>
      </c>
      <c r="K195" s="3">
        <f>IF([@NetSeconds]="","",[@NetSeconds]/86400)</f>
      </c>
    </row>
    <row r="196" spans="1:11" x14ac:dyDescent="0.25">
      <c r="A196" t="s">
        <v>22</v>
      </c>
      <c r="B196">
        <f>IF([@Bib]="","",XLOOKUP([@Bib],tblReg[Bib],tblReg[Field],""))</f>
      </c>
      <c r="C196">
        <f>IF([@Bib]="","",XLOOKUP([@Bib],tblReg[Bib],tblReg[FirstName],""))</f>
      </c>
      <c r="D196">
        <f>IF([@Bib]="","",XLOOKUP([@Bib],tblReg[Bib],tblReg[LastName],""))</f>
      </c>
      <c r="E196">
        <f>IF([@Bib]="","",XLOOKUP([@Bib],tblReg[Bib],tblReg[Team],""))</f>
      </c>
      <c r="F196" s="3" t="s">
        <v>22</v>
      </c>
      <c r="G196">
        <f>IF([@StageTime]="","",HOUR([@StageTime])*3600 + MINUTE([@StageTime])*60 + SECOND([@StageTime]))</f>
      </c>
      <c r="H196">
        <f>IF([@StageSeconds]="","",RANK([@StageSeconds],tblStage2[StageSeconds],1))</f>
      </c>
      <c r="I196">
        <f>IF([@Position]="",0,XLOOKUP([@Position],Config!tblBonus[Place],Config!tblBonus[Stage2BonusSec],0))</f>
      </c>
      <c r="J196">
        <f>IF([@StageSeconds]="","",[@StageSeconds]-[@BonusSeconds])</f>
      </c>
      <c r="K196" s="3">
        <f>IF([@NetSeconds]="","",[@NetSeconds]/86400)</f>
      </c>
    </row>
    <row r="197" spans="1:11" x14ac:dyDescent="0.25">
      <c r="A197" t="s">
        <v>22</v>
      </c>
      <c r="B197">
        <f>IF([@Bib]="","",XLOOKUP([@Bib],tblReg[Bib],tblReg[Field],""))</f>
      </c>
      <c r="C197">
        <f>IF([@Bib]="","",XLOOKUP([@Bib],tblReg[Bib],tblReg[FirstName],""))</f>
      </c>
      <c r="D197">
        <f>IF([@Bib]="","",XLOOKUP([@Bib],tblReg[Bib],tblReg[LastName],""))</f>
      </c>
      <c r="E197">
        <f>IF([@Bib]="","",XLOOKUP([@Bib],tblReg[Bib],tblReg[Team],""))</f>
      </c>
      <c r="F197" s="3" t="s">
        <v>22</v>
      </c>
      <c r="G197">
        <f>IF([@StageTime]="","",HOUR([@StageTime])*3600 + MINUTE([@StageTime])*60 + SECOND([@StageTime]))</f>
      </c>
      <c r="H197">
        <f>IF([@StageSeconds]="","",RANK([@StageSeconds],tblStage2[StageSeconds],1))</f>
      </c>
      <c r="I197">
        <f>IF([@Position]="",0,XLOOKUP([@Position],Config!tblBonus[Place],Config!tblBonus[Stage2BonusSec],0))</f>
      </c>
      <c r="J197">
        <f>IF([@StageSeconds]="","",[@StageSeconds]-[@BonusSeconds])</f>
      </c>
      <c r="K197" s="3">
        <f>IF([@NetSeconds]="","",[@NetSeconds]/86400)</f>
      </c>
    </row>
    <row r="198" spans="1:11" x14ac:dyDescent="0.25">
      <c r="A198" t="s">
        <v>22</v>
      </c>
      <c r="B198">
        <f>IF([@Bib]="","",XLOOKUP([@Bib],tblReg[Bib],tblReg[Field],""))</f>
      </c>
      <c r="C198">
        <f>IF([@Bib]="","",XLOOKUP([@Bib],tblReg[Bib],tblReg[FirstName],""))</f>
      </c>
      <c r="D198">
        <f>IF([@Bib]="","",XLOOKUP([@Bib],tblReg[Bib],tblReg[LastName],""))</f>
      </c>
      <c r="E198">
        <f>IF([@Bib]="","",XLOOKUP([@Bib],tblReg[Bib],tblReg[Team],""))</f>
      </c>
      <c r="F198" s="3" t="s">
        <v>22</v>
      </c>
      <c r="G198">
        <f>IF([@StageTime]="","",HOUR([@StageTime])*3600 + MINUTE([@StageTime])*60 + SECOND([@StageTime]))</f>
      </c>
      <c r="H198">
        <f>IF([@StageSeconds]="","",RANK([@StageSeconds],tblStage2[StageSeconds],1))</f>
      </c>
      <c r="I198">
        <f>IF([@Position]="",0,XLOOKUP([@Position],Config!tblBonus[Place],Config!tblBonus[Stage2BonusSec],0))</f>
      </c>
      <c r="J198">
        <f>IF([@StageSeconds]="","",[@StageSeconds]-[@BonusSeconds])</f>
      </c>
      <c r="K198" s="3">
        <f>IF([@NetSeconds]="","",[@NetSeconds]/86400)</f>
      </c>
    </row>
    <row r="199" spans="1:11" x14ac:dyDescent="0.25">
      <c r="A199" t="s">
        <v>22</v>
      </c>
      <c r="B199">
        <f>IF([@Bib]="","",XLOOKUP([@Bib],tblReg[Bib],tblReg[Field],""))</f>
      </c>
      <c r="C199">
        <f>IF([@Bib]="","",XLOOKUP([@Bib],tblReg[Bib],tblReg[FirstName],""))</f>
      </c>
      <c r="D199">
        <f>IF([@Bib]="","",XLOOKUP([@Bib],tblReg[Bib],tblReg[LastName],""))</f>
      </c>
      <c r="E199">
        <f>IF([@Bib]="","",XLOOKUP([@Bib],tblReg[Bib],tblReg[Team],""))</f>
      </c>
      <c r="F199" s="3" t="s">
        <v>22</v>
      </c>
      <c r="G199">
        <f>IF([@StageTime]="","",HOUR([@StageTime])*3600 + MINUTE([@StageTime])*60 + SECOND([@StageTime]))</f>
      </c>
      <c r="H199">
        <f>IF([@StageSeconds]="","",RANK([@StageSeconds],tblStage2[StageSeconds],1))</f>
      </c>
      <c r="I199">
        <f>IF([@Position]="",0,XLOOKUP([@Position],Config!tblBonus[Place],Config!tblBonus[Stage2BonusSec],0))</f>
      </c>
      <c r="J199">
        <f>IF([@StageSeconds]="","",[@StageSeconds]-[@BonusSeconds])</f>
      </c>
      <c r="K199" s="3">
        <f>IF([@NetSeconds]="","",[@NetSeconds]/86400)</f>
      </c>
    </row>
    <row r="200" spans="1:11" x14ac:dyDescent="0.25">
      <c r="A200" t="s">
        <v>22</v>
      </c>
      <c r="B200">
        <f>IF([@Bib]="","",XLOOKUP([@Bib],tblReg[Bib],tblReg[Field],""))</f>
      </c>
      <c r="C200">
        <f>IF([@Bib]="","",XLOOKUP([@Bib],tblReg[Bib],tblReg[FirstName],""))</f>
      </c>
      <c r="D200">
        <f>IF([@Bib]="","",XLOOKUP([@Bib],tblReg[Bib],tblReg[LastName],""))</f>
      </c>
      <c r="E200">
        <f>IF([@Bib]="","",XLOOKUP([@Bib],tblReg[Bib],tblReg[Team],""))</f>
      </c>
      <c r="F200" s="3" t="s">
        <v>22</v>
      </c>
      <c r="G200">
        <f>IF([@StageTime]="","",HOUR([@StageTime])*3600 + MINUTE([@StageTime])*60 + SECOND([@StageTime]))</f>
      </c>
      <c r="H200">
        <f>IF([@StageSeconds]="","",RANK([@StageSeconds],tblStage2[StageSeconds],1))</f>
      </c>
      <c r="I200">
        <f>IF([@Position]="",0,XLOOKUP([@Position],Config!tblBonus[Place],Config!tblBonus[Stage2BonusSec],0))</f>
      </c>
      <c r="J200">
        <f>IF([@StageSeconds]="","",[@StageSeconds]-[@BonusSeconds])</f>
      </c>
      <c r="K200" s="3">
        <f>IF([@NetSeconds]="","",[@NetSeconds]/86400)</f>
      </c>
    </row>
    <row r="201" spans="1:11" x14ac:dyDescent="0.25">
      <c r="A201" t="s">
        <v>22</v>
      </c>
      <c r="B201">
        <f>IF([@Bib]="","",XLOOKUP([@Bib],tblReg[Bib],tblReg[Field],""))</f>
      </c>
      <c r="C201">
        <f>IF([@Bib]="","",XLOOKUP([@Bib],tblReg[Bib],tblReg[FirstName],""))</f>
      </c>
      <c r="D201">
        <f>IF([@Bib]="","",XLOOKUP([@Bib],tblReg[Bib],tblReg[LastName],""))</f>
      </c>
      <c r="E201">
        <f>IF([@Bib]="","",XLOOKUP([@Bib],tblReg[Bib],tblReg[Team],""))</f>
      </c>
      <c r="F201" s="3" t="s">
        <v>22</v>
      </c>
      <c r="G201">
        <f>IF([@StageTime]="","",HOUR([@StageTime])*3600 + MINUTE([@StageTime])*60 + SECOND([@StageTime]))</f>
      </c>
      <c r="H201">
        <f>IF([@StageSeconds]="","",RANK([@StageSeconds],tblStage2[StageSeconds],1))</f>
      </c>
      <c r="I201">
        <f>IF([@Position]="",0,XLOOKUP([@Position],Config!tblBonus[Place],Config!tblBonus[Stage2BonusSec],0))</f>
      </c>
      <c r="J201">
        <f>IF([@StageSeconds]="","",[@StageSeconds]-[@BonusSeconds])</f>
      </c>
      <c r="K201" s="3">
        <f>IF([@NetSeconds]="","",[@NetSeconds]/86400)</f>
      </c>
    </row>
    <row r="202" spans="1:11" x14ac:dyDescent="0.25">
      <c r="A202" t="s">
        <v>22</v>
      </c>
      <c r="B202">
        <f>IF([@Bib]="","",XLOOKUP([@Bib],tblReg[Bib],tblReg[Field],""))</f>
      </c>
      <c r="C202">
        <f>IF([@Bib]="","",XLOOKUP([@Bib],tblReg[Bib],tblReg[FirstName],""))</f>
      </c>
      <c r="D202">
        <f>IF([@Bib]="","",XLOOKUP([@Bib],tblReg[Bib],tblReg[LastName],""))</f>
      </c>
      <c r="E202">
        <f>IF([@Bib]="","",XLOOKUP([@Bib],tblReg[Bib],tblReg[Team],""))</f>
      </c>
      <c r="F202" s="3" t="s">
        <v>22</v>
      </c>
      <c r="G202">
        <f>IF([@StageTime]="","",HOUR([@StageTime])*3600 + MINUTE([@StageTime])*60 + SECOND([@StageTime]))</f>
      </c>
      <c r="H202">
        <f>IF([@StageSeconds]="","",RANK([@StageSeconds],tblStage2[StageSeconds],1))</f>
      </c>
      <c r="I202">
        <f>IF([@Position]="",0,XLOOKUP([@Position],Config!tblBonus[Place],Config!tblBonus[Stage2BonusSec],0))</f>
      </c>
      <c r="J202">
        <f>IF([@StageSeconds]="","",[@StageSeconds]-[@BonusSeconds])</f>
      </c>
      <c r="K202" s="3">
        <f>IF([@NetSeconds]="","",[@NetSeconds]/86400)</f>
      </c>
    </row>
    <row r="203" spans="1:11" x14ac:dyDescent="0.25">
      <c r="A203" t="s">
        <v>22</v>
      </c>
      <c r="B203">
        <f>IF([@Bib]="","",XLOOKUP([@Bib],tblReg[Bib],tblReg[Field],""))</f>
      </c>
      <c r="C203">
        <f>IF([@Bib]="","",XLOOKUP([@Bib],tblReg[Bib],tblReg[FirstName],""))</f>
      </c>
      <c r="D203">
        <f>IF([@Bib]="","",XLOOKUP([@Bib],tblReg[Bib],tblReg[LastName],""))</f>
      </c>
      <c r="E203">
        <f>IF([@Bib]="","",XLOOKUP([@Bib],tblReg[Bib],tblReg[Team],""))</f>
      </c>
      <c r="F203" s="3" t="s">
        <v>22</v>
      </c>
      <c r="G203">
        <f>IF([@StageTime]="","",HOUR([@StageTime])*3600 + MINUTE([@StageTime])*60 + SECOND([@StageTime]))</f>
      </c>
      <c r="H203">
        <f>IF([@StageSeconds]="","",RANK([@StageSeconds],tblStage2[StageSeconds],1))</f>
      </c>
      <c r="I203">
        <f>IF([@Position]="",0,XLOOKUP([@Position],Config!tblBonus[Place],Config!tblBonus[Stage2BonusSec],0))</f>
      </c>
      <c r="J203">
        <f>IF([@StageSeconds]="","",[@StageSeconds]-[@BonusSeconds])</f>
      </c>
      <c r="K203" s="3">
        <f>IF([@NetSeconds]="","",[@NetSeconds]/86400)</f>
      </c>
    </row>
    <row r="204" spans="1:11" x14ac:dyDescent="0.25">
      <c r="A204" t="s">
        <v>22</v>
      </c>
      <c r="B204">
        <f>IF([@Bib]="","",XLOOKUP([@Bib],tblReg[Bib],tblReg[Field],""))</f>
      </c>
      <c r="C204">
        <f>IF([@Bib]="","",XLOOKUP([@Bib],tblReg[Bib],tblReg[FirstName],""))</f>
      </c>
      <c r="D204">
        <f>IF([@Bib]="","",XLOOKUP([@Bib],tblReg[Bib],tblReg[LastName],""))</f>
      </c>
      <c r="E204">
        <f>IF([@Bib]="","",XLOOKUP([@Bib],tblReg[Bib],tblReg[Team],""))</f>
      </c>
      <c r="F204" s="3" t="s">
        <v>22</v>
      </c>
      <c r="G204">
        <f>IF([@StageTime]="","",HOUR([@StageTime])*3600 + MINUTE([@StageTime])*60 + SECOND([@StageTime]))</f>
      </c>
      <c r="H204">
        <f>IF([@StageSeconds]="","",RANK([@StageSeconds],tblStage2[StageSeconds],1))</f>
      </c>
      <c r="I204">
        <f>IF([@Position]="",0,XLOOKUP([@Position],Config!tblBonus[Place],Config!tblBonus[Stage2BonusSec],0))</f>
      </c>
      <c r="J204">
        <f>IF([@StageSeconds]="","",[@StageSeconds]-[@BonusSeconds])</f>
      </c>
      <c r="K204" s="3">
        <f>IF([@NetSeconds]="","",[@NetSeconds]/86400)</f>
      </c>
    </row>
    <row r="205" spans="1:11" x14ac:dyDescent="0.25">
      <c r="A205" t="s">
        <v>22</v>
      </c>
      <c r="B205">
        <f>IF([@Bib]="","",XLOOKUP([@Bib],tblReg[Bib],tblReg[Field],""))</f>
      </c>
      <c r="C205">
        <f>IF([@Bib]="","",XLOOKUP([@Bib],tblReg[Bib],tblReg[FirstName],""))</f>
      </c>
      <c r="D205">
        <f>IF([@Bib]="","",XLOOKUP([@Bib],tblReg[Bib],tblReg[LastName],""))</f>
      </c>
      <c r="E205">
        <f>IF([@Bib]="","",XLOOKUP([@Bib],tblReg[Bib],tblReg[Team],""))</f>
      </c>
      <c r="F205" s="3" t="s">
        <v>22</v>
      </c>
      <c r="G205">
        <f>IF([@StageTime]="","",HOUR([@StageTime])*3600 + MINUTE([@StageTime])*60 + SECOND([@StageTime]))</f>
      </c>
      <c r="H205">
        <f>IF([@StageSeconds]="","",RANK([@StageSeconds],tblStage2[StageSeconds],1))</f>
      </c>
      <c r="I205">
        <f>IF([@Position]="",0,XLOOKUP([@Position],Config!tblBonus[Place],Config!tblBonus[Stage2BonusSec],0))</f>
      </c>
      <c r="J205">
        <f>IF([@StageSeconds]="","",[@StageSeconds]-[@BonusSeconds])</f>
      </c>
      <c r="K205" s="3">
        <f>IF([@NetSeconds]="","",[@NetSeconds]/86400)</f>
      </c>
    </row>
    <row r="206" spans="1:11" x14ac:dyDescent="0.25">
      <c r="A206" t="s">
        <v>22</v>
      </c>
      <c r="B206">
        <f>IF([@Bib]="","",XLOOKUP([@Bib],tblReg[Bib],tblReg[Field],""))</f>
      </c>
      <c r="C206">
        <f>IF([@Bib]="","",XLOOKUP([@Bib],tblReg[Bib],tblReg[FirstName],""))</f>
      </c>
      <c r="D206">
        <f>IF([@Bib]="","",XLOOKUP([@Bib],tblReg[Bib],tblReg[LastName],""))</f>
      </c>
      <c r="E206">
        <f>IF([@Bib]="","",XLOOKUP([@Bib],tblReg[Bib],tblReg[Team],""))</f>
      </c>
      <c r="F206" s="3" t="s">
        <v>22</v>
      </c>
      <c r="G206">
        <f>IF([@StageTime]="","",HOUR([@StageTime])*3600 + MINUTE([@StageTime])*60 + SECOND([@StageTime]))</f>
      </c>
      <c r="H206">
        <f>IF([@StageSeconds]="","",RANK([@StageSeconds],tblStage2[StageSeconds],1))</f>
      </c>
      <c r="I206">
        <f>IF([@Position]="",0,XLOOKUP([@Position],Config!tblBonus[Place],Config!tblBonus[Stage2BonusSec],0))</f>
      </c>
      <c r="J206">
        <f>IF([@StageSeconds]="","",[@StageSeconds]-[@BonusSeconds])</f>
      </c>
      <c r="K206" s="3">
        <f>IF([@NetSeconds]="","",[@NetSeconds]/86400)</f>
      </c>
    </row>
    <row r="207" spans="1:11" x14ac:dyDescent="0.25">
      <c r="A207" t="s">
        <v>22</v>
      </c>
      <c r="B207">
        <f>IF([@Bib]="","",XLOOKUP([@Bib],tblReg[Bib],tblReg[Field],""))</f>
      </c>
      <c r="C207">
        <f>IF([@Bib]="","",XLOOKUP([@Bib],tblReg[Bib],tblReg[FirstName],""))</f>
      </c>
      <c r="D207">
        <f>IF([@Bib]="","",XLOOKUP([@Bib],tblReg[Bib],tblReg[LastName],""))</f>
      </c>
      <c r="E207">
        <f>IF([@Bib]="","",XLOOKUP([@Bib],tblReg[Bib],tblReg[Team],""))</f>
      </c>
      <c r="F207" s="3" t="s">
        <v>22</v>
      </c>
      <c r="G207">
        <f>IF([@StageTime]="","",HOUR([@StageTime])*3600 + MINUTE([@StageTime])*60 + SECOND([@StageTime]))</f>
      </c>
      <c r="H207">
        <f>IF([@StageSeconds]="","",RANK([@StageSeconds],tblStage2[StageSeconds],1))</f>
      </c>
      <c r="I207">
        <f>IF([@Position]="",0,XLOOKUP([@Position],Config!tblBonus[Place],Config!tblBonus[Stage2BonusSec],0))</f>
      </c>
      <c r="J207">
        <f>IF([@StageSeconds]="","",[@StageSeconds]-[@BonusSeconds])</f>
      </c>
      <c r="K207" s="3">
        <f>IF([@NetSeconds]="","",[@NetSeconds]/86400)</f>
      </c>
    </row>
    <row r="208" spans="1:11" x14ac:dyDescent="0.25">
      <c r="A208" t="s">
        <v>22</v>
      </c>
      <c r="B208">
        <f>IF([@Bib]="","",XLOOKUP([@Bib],tblReg[Bib],tblReg[Field],""))</f>
      </c>
      <c r="C208">
        <f>IF([@Bib]="","",XLOOKUP([@Bib],tblReg[Bib],tblReg[FirstName],""))</f>
      </c>
      <c r="D208">
        <f>IF([@Bib]="","",XLOOKUP([@Bib],tblReg[Bib],tblReg[LastName],""))</f>
      </c>
      <c r="E208">
        <f>IF([@Bib]="","",XLOOKUP([@Bib],tblReg[Bib],tblReg[Team],""))</f>
      </c>
      <c r="F208" s="3" t="s">
        <v>22</v>
      </c>
      <c r="G208">
        <f>IF([@StageTime]="","",HOUR([@StageTime])*3600 + MINUTE([@StageTime])*60 + SECOND([@StageTime]))</f>
      </c>
      <c r="H208">
        <f>IF([@StageSeconds]="","",RANK([@StageSeconds],tblStage2[StageSeconds],1))</f>
      </c>
      <c r="I208">
        <f>IF([@Position]="",0,XLOOKUP([@Position],Config!tblBonus[Place],Config!tblBonus[Stage2BonusSec],0))</f>
      </c>
      <c r="J208">
        <f>IF([@StageSeconds]="","",[@StageSeconds]-[@BonusSeconds])</f>
      </c>
      <c r="K208" s="3">
        <f>IF([@NetSeconds]="","",[@NetSeconds]/86400)</f>
      </c>
    </row>
    <row r="209" spans="1:11" x14ac:dyDescent="0.25">
      <c r="A209" t="s">
        <v>22</v>
      </c>
      <c r="B209">
        <f>IF([@Bib]="","",XLOOKUP([@Bib],tblReg[Bib],tblReg[Field],""))</f>
      </c>
      <c r="C209">
        <f>IF([@Bib]="","",XLOOKUP([@Bib],tblReg[Bib],tblReg[FirstName],""))</f>
      </c>
      <c r="D209">
        <f>IF([@Bib]="","",XLOOKUP([@Bib],tblReg[Bib],tblReg[LastName],""))</f>
      </c>
      <c r="E209">
        <f>IF([@Bib]="","",XLOOKUP([@Bib],tblReg[Bib],tblReg[Team],""))</f>
      </c>
      <c r="F209" s="3" t="s">
        <v>22</v>
      </c>
      <c r="G209">
        <f>IF([@StageTime]="","",HOUR([@StageTime])*3600 + MINUTE([@StageTime])*60 + SECOND([@StageTime]))</f>
      </c>
      <c r="H209">
        <f>IF([@StageSeconds]="","",RANK([@StageSeconds],tblStage2[StageSeconds],1))</f>
      </c>
      <c r="I209">
        <f>IF([@Position]="",0,XLOOKUP([@Position],Config!tblBonus[Place],Config!tblBonus[Stage2BonusSec],0))</f>
      </c>
      <c r="J209">
        <f>IF([@StageSeconds]="","",[@StageSeconds]-[@BonusSeconds])</f>
      </c>
      <c r="K209" s="3">
        <f>IF([@NetSeconds]="","",[@NetSeconds]/86400)</f>
      </c>
    </row>
    <row r="210" spans="1:11" x14ac:dyDescent="0.25">
      <c r="A210" t="s">
        <v>22</v>
      </c>
      <c r="B210">
        <f>IF([@Bib]="","",XLOOKUP([@Bib],tblReg[Bib],tblReg[Field],""))</f>
      </c>
      <c r="C210">
        <f>IF([@Bib]="","",XLOOKUP([@Bib],tblReg[Bib],tblReg[FirstName],""))</f>
      </c>
      <c r="D210">
        <f>IF([@Bib]="","",XLOOKUP([@Bib],tblReg[Bib],tblReg[LastName],""))</f>
      </c>
      <c r="E210">
        <f>IF([@Bib]="","",XLOOKUP([@Bib],tblReg[Bib],tblReg[Team],""))</f>
      </c>
      <c r="F210" s="3" t="s">
        <v>22</v>
      </c>
      <c r="G210">
        <f>IF([@StageTime]="","",HOUR([@StageTime])*3600 + MINUTE([@StageTime])*60 + SECOND([@StageTime]))</f>
      </c>
      <c r="H210">
        <f>IF([@StageSeconds]="","",RANK([@StageSeconds],tblStage2[StageSeconds],1))</f>
      </c>
      <c r="I210">
        <f>IF([@Position]="",0,XLOOKUP([@Position],Config!tblBonus[Place],Config!tblBonus[Stage2BonusSec],0))</f>
      </c>
      <c r="J210">
        <f>IF([@StageSeconds]="","",[@StageSeconds]-[@BonusSeconds])</f>
      </c>
      <c r="K210" s="3">
        <f>IF([@NetSeconds]="","",[@NetSeconds]/86400)</f>
      </c>
    </row>
    <row r="211" spans="1:11" x14ac:dyDescent="0.25">
      <c r="A211" t="s">
        <v>22</v>
      </c>
      <c r="B211">
        <f>IF([@Bib]="","",XLOOKUP([@Bib],tblReg[Bib],tblReg[Field],""))</f>
      </c>
      <c r="C211">
        <f>IF([@Bib]="","",XLOOKUP([@Bib],tblReg[Bib],tblReg[FirstName],""))</f>
      </c>
      <c r="D211">
        <f>IF([@Bib]="","",XLOOKUP([@Bib],tblReg[Bib],tblReg[LastName],""))</f>
      </c>
      <c r="E211">
        <f>IF([@Bib]="","",XLOOKUP([@Bib],tblReg[Bib],tblReg[Team],""))</f>
      </c>
      <c r="F211" s="3" t="s">
        <v>22</v>
      </c>
      <c r="G211">
        <f>IF([@StageTime]="","",HOUR([@StageTime])*3600 + MINUTE([@StageTime])*60 + SECOND([@StageTime]))</f>
      </c>
      <c r="H211">
        <f>IF([@StageSeconds]="","",RANK([@StageSeconds],tblStage2[StageSeconds],1))</f>
      </c>
      <c r="I211">
        <f>IF([@Position]="",0,XLOOKUP([@Position],Config!tblBonus[Place],Config!tblBonus[Stage2BonusSec],0))</f>
      </c>
      <c r="J211">
        <f>IF([@StageSeconds]="","",[@StageSeconds]-[@BonusSeconds])</f>
      </c>
      <c r="K211" s="3">
        <f>IF([@NetSeconds]="","",[@NetSeconds]/86400)</f>
      </c>
    </row>
    <row r="212" spans="1:11" x14ac:dyDescent="0.25">
      <c r="A212" t="s">
        <v>22</v>
      </c>
      <c r="B212">
        <f>IF([@Bib]="","",XLOOKUP([@Bib],tblReg[Bib],tblReg[Field],""))</f>
      </c>
      <c r="C212">
        <f>IF([@Bib]="","",XLOOKUP([@Bib],tblReg[Bib],tblReg[FirstName],""))</f>
      </c>
      <c r="D212">
        <f>IF([@Bib]="","",XLOOKUP([@Bib],tblReg[Bib],tblReg[LastName],""))</f>
      </c>
      <c r="E212">
        <f>IF([@Bib]="","",XLOOKUP([@Bib],tblReg[Bib],tblReg[Team],""))</f>
      </c>
      <c r="F212" s="3" t="s">
        <v>22</v>
      </c>
      <c r="G212">
        <f>IF([@StageTime]="","",HOUR([@StageTime])*3600 + MINUTE([@StageTime])*60 + SECOND([@StageTime]))</f>
      </c>
      <c r="H212">
        <f>IF([@StageSeconds]="","",RANK([@StageSeconds],tblStage2[StageSeconds],1))</f>
      </c>
      <c r="I212">
        <f>IF([@Position]="",0,XLOOKUP([@Position],Config!tblBonus[Place],Config!tblBonus[Stage2BonusSec],0))</f>
      </c>
      <c r="J212">
        <f>IF([@StageSeconds]="","",[@StageSeconds]-[@BonusSeconds])</f>
      </c>
      <c r="K212" s="3">
        <f>IF([@NetSeconds]="","",[@NetSeconds]/86400)</f>
      </c>
    </row>
    <row r="213" spans="1:11" x14ac:dyDescent="0.25">
      <c r="A213" t="s">
        <v>22</v>
      </c>
      <c r="B213">
        <f>IF([@Bib]="","",XLOOKUP([@Bib],tblReg[Bib],tblReg[Field],""))</f>
      </c>
      <c r="C213">
        <f>IF([@Bib]="","",XLOOKUP([@Bib],tblReg[Bib],tblReg[FirstName],""))</f>
      </c>
      <c r="D213">
        <f>IF([@Bib]="","",XLOOKUP([@Bib],tblReg[Bib],tblReg[LastName],""))</f>
      </c>
      <c r="E213">
        <f>IF([@Bib]="","",XLOOKUP([@Bib],tblReg[Bib],tblReg[Team],""))</f>
      </c>
      <c r="F213" s="3" t="s">
        <v>22</v>
      </c>
      <c r="G213">
        <f>IF([@StageTime]="","",HOUR([@StageTime])*3600 + MINUTE([@StageTime])*60 + SECOND([@StageTime]))</f>
      </c>
      <c r="H213">
        <f>IF([@StageSeconds]="","",RANK([@StageSeconds],tblStage2[StageSeconds],1))</f>
      </c>
      <c r="I213">
        <f>IF([@Position]="",0,XLOOKUP([@Position],Config!tblBonus[Place],Config!tblBonus[Stage2BonusSec],0))</f>
      </c>
      <c r="J213">
        <f>IF([@StageSeconds]="","",[@StageSeconds]-[@BonusSeconds])</f>
      </c>
      <c r="K213" s="3">
        <f>IF([@NetSeconds]="","",[@NetSeconds]/86400)</f>
      </c>
    </row>
    <row r="214" spans="1:11" x14ac:dyDescent="0.25">
      <c r="A214" t="s">
        <v>22</v>
      </c>
      <c r="B214">
        <f>IF([@Bib]="","",XLOOKUP([@Bib],tblReg[Bib],tblReg[Field],""))</f>
      </c>
      <c r="C214">
        <f>IF([@Bib]="","",XLOOKUP([@Bib],tblReg[Bib],tblReg[FirstName],""))</f>
      </c>
      <c r="D214">
        <f>IF([@Bib]="","",XLOOKUP([@Bib],tblReg[Bib],tblReg[LastName],""))</f>
      </c>
      <c r="E214">
        <f>IF([@Bib]="","",XLOOKUP([@Bib],tblReg[Bib],tblReg[Team],""))</f>
      </c>
      <c r="F214" s="3" t="s">
        <v>22</v>
      </c>
      <c r="G214">
        <f>IF([@StageTime]="","",HOUR([@StageTime])*3600 + MINUTE([@StageTime])*60 + SECOND([@StageTime]))</f>
      </c>
      <c r="H214">
        <f>IF([@StageSeconds]="","",RANK([@StageSeconds],tblStage2[StageSeconds],1))</f>
      </c>
      <c r="I214">
        <f>IF([@Position]="",0,XLOOKUP([@Position],Config!tblBonus[Place],Config!tblBonus[Stage2BonusSec],0))</f>
      </c>
      <c r="J214">
        <f>IF([@StageSeconds]="","",[@StageSeconds]-[@BonusSeconds])</f>
      </c>
      <c r="K214" s="3">
        <f>IF([@NetSeconds]="","",[@NetSeconds]/86400)</f>
      </c>
    </row>
    <row r="215" spans="1:11" x14ac:dyDescent="0.25">
      <c r="A215" t="s">
        <v>22</v>
      </c>
      <c r="B215">
        <f>IF([@Bib]="","",XLOOKUP([@Bib],tblReg[Bib],tblReg[Field],""))</f>
      </c>
      <c r="C215">
        <f>IF([@Bib]="","",XLOOKUP([@Bib],tblReg[Bib],tblReg[FirstName],""))</f>
      </c>
      <c r="D215">
        <f>IF([@Bib]="","",XLOOKUP([@Bib],tblReg[Bib],tblReg[LastName],""))</f>
      </c>
      <c r="E215">
        <f>IF([@Bib]="","",XLOOKUP([@Bib],tblReg[Bib],tblReg[Team],""))</f>
      </c>
      <c r="F215" s="3" t="s">
        <v>22</v>
      </c>
      <c r="G215">
        <f>IF([@StageTime]="","",HOUR([@StageTime])*3600 + MINUTE([@StageTime])*60 + SECOND([@StageTime]))</f>
      </c>
      <c r="H215">
        <f>IF([@StageSeconds]="","",RANK([@StageSeconds],tblStage2[StageSeconds],1))</f>
      </c>
      <c r="I215">
        <f>IF([@Position]="",0,XLOOKUP([@Position],Config!tblBonus[Place],Config!tblBonus[Stage2BonusSec],0))</f>
      </c>
      <c r="J215">
        <f>IF([@StageSeconds]="","",[@StageSeconds]-[@BonusSeconds])</f>
      </c>
      <c r="K215" s="3">
        <f>IF([@NetSeconds]="","",[@NetSeconds]/86400)</f>
      </c>
    </row>
    <row r="216" spans="1:11" x14ac:dyDescent="0.25">
      <c r="A216" t="s">
        <v>22</v>
      </c>
      <c r="B216">
        <f>IF([@Bib]="","",XLOOKUP([@Bib],tblReg[Bib],tblReg[Field],""))</f>
      </c>
      <c r="C216">
        <f>IF([@Bib]="","",XLOOKUP([@Bib],tblReg[Bib],tblReg[FirstName],""))</f>
      </c>
      <c r="D216">
        <f>IF([@Bib]="","",XLOOKUP([@Bib],tblReg[Bib],tblReg[LastName],""))</f>
      </c>
      <c r="E216">
        <f>IF([@Bib]="","",XLOOKUP([@Bib],tblReg[Bib],tblReg[Team],""))</f>
      </c>
      <c r="F216" s="3" t="s">
        <v>22</v>
      </c>
      <c r="G216">
        <f>IF([@StageTime]="","",HOUR([@StageTime])*3600 + MINUTE([@StageTime])*60 + SECOND([@StageTime]))</f>
      </c>
      <c r="H216">
        <f>IF([@StageSeconds]="","",RANK([@StageSeconds],tblStage2[StageSeconds],1))</f>
      </c>
      <c r="I216">
        <f>IF([@Position]="",0,XLOOKUP([@Position],Config!tblBonus[Place],Config!tblBonus[Stage2BonusSec],0))</f>
      </c>
      <c r="J216">
        <f>IF([@StageSeconds]="","",[@StageSeconds]-[@BonusSeconds])</f>
      </c>
      <c r="K216" s="3">
        <f>IF([@NetSeconds]="","",[@NetSeconds]/86400)</f>
      </c>
    </row>
    <row r="217" spans="1:11" x14ac:dyDescent="0.25">
      <c r="A217" t="s">
        <v>22</v>
      </c>
      <c r="B217">
        <f>IF([@Bib]="","",XLOOKUP([@Bib],tblReg[Bib],tblReg[Field],""))</f>
      </c>
      <c r="C217">
        <f>IF([@Bib]="","",XLOOKUP([@Bib],tblReg[Bib],tblReg[FirstName],""))</f>
      </c>
      <c r="D217">
        <f>IF([@Bib]="","",XLOOKUP([@Bib],tblReg[Bib],tblReg[LastName],""))</f>
      </c>
      <c r="E217">
        <f>IF([@Bib]="","",XLOOKUP([@Bib],tblReg[Bib],tblReg[Team],""))</f>
      </c>
      <c r="F217" s="3" t="s">
        <v>22</v>
      </c>
      <c r="G217">
        <f>IF([@StageTime]="","",HOUR([@StageTime])*3600 + MINUTE([@StageTime])*60 + SECOND([@StageTime]))</f>
      </c>
      <c r="H217">
        <f>IF([@StageSeconds]="","",RANK([@StageSeconds],tblStage2[StageSeconds],1))</f>
      </c>
      <c r="I217">
        <f>IF([@Position]="",0,XLOOKUP([@Position],Config!tblBonus[Place],Config!tblBonus[Stage2BonusSec],0))</f>
      </c>
      <c r="J217">
        <f>IF([@StageSeconds]="","",[@StageSeconds]-[@BonusSeconds])</f>
      </c>
      <c r="K217" s="3">
        <f>IF([@NetSeconds]="","",[@NetSeconds]/86400)</f>
      </c>
    </row>
    <row r="218" spans="1:11" x14ac:dyDescent="0.25">
      <c r="A218" t="s">
        <v>22</v>
      </c>
      <c r="B218">
        <f>IF([@Bib]="","",XLOOKUP([@Bib],tblReg[Bib],tblReg[Field],""))</f>
      </c>
      <c r="C218">
        <f>IF([@Bib]="","",XLOOKUP([@Bib],tblReg[Bib],tblReg[FirstName],""))</f>
      </c>
      <c r="D218">
        <f>IF([@Bib]="","",XLOOKUP([@Bib],tblReg[Bib],tblReg[LastName],""))</f>
      </c>
      <c r="E218">
        <f>IF([@Bib]="","",XLOOKUP([@Bib],tblReg[Bib],tblReg[Team],""))</f>
      </c>
      <c r="F218" s="3" t="s">
        <v>22</v>
      </c>
      <c r="G218">
        <f>IF([@StageTime]="","",HOUR([@StageTime])*3600 + MINUTE([@StageTime])*60 + SECOND([@StageTime]))</f>
      </c>
      <c r="H218">
        <f>IF([@StageSeconds]="","",RANK([@StageSeconds],tblStage2[StageSeconds],1))</f>
      </c>
      <c r="I218">
        <f>IF([@Position]="",0,XLOOKUP([@Position],Config!tblBonus[Place],Config!tblBonus[Stage2BonusSec],0))</f>
      </c>
      <c r="J218">
        <f>IF([@StageSeconds]="","",[@StageSeconds]-[@BonusSeconds])</f>
      </c>
      <c r="K218" s="3">
        <f>IF([@NetSeconds]="","",[@NetSeconds]/86400)</f>
      </c>
    </row>
    <row r="219" spans="1:11" x14ac:dyDescent="0.25">
      <c r="A219" t="s">
        <v>22</v>
      </c>
      <c r="B219">
        <f>IF([@Bib]="","",XLOOKUP([@Bib],tblReg[Bib],tblReg[Field],""))</f>
      </c>
      <c r="C219">
        <f>IF([@Bib]="","",XLOOKUP([@Bib],tblReg[Bib],tblReg[FirstName],""))</f>
      </c>
      <c r="D219">
        <f>IF([@Bib]="","",XLOOKUP([@Bib],tblReg[Bib],tblReg[LastName],""))</f>
      </c>
      <c r="E219">
        <f>IF([@Bib]="","",XLOOKUP([@Bib],tblReg[Bib],tblReg[Team],""))</f>
      </c>
      <c r="F219" s="3" t="s">
        <v>22</v>
      </c>
      <c r="G219">
        <f>IF([@StageTime]="","",HOUR([@StageTime])*3600 + MINUTE([@StageTime])*60 + SECOND([@StageTime]))</f>
      </c>
      <c r="H219">
        <f>IF([@StageSeconds]="","",RANK([@StageSeconds],tblStage2[StageSeconds],1))</f>
      </c>
      <c r="I219">
        <f>IF([@Position]="",0,XLOOKUP([@Position],Config!tblBonus[Place],Config!tblBonus[Stage2BonusSec],0))</f>
      </c>
      <c r="J219">
        <f>IF([@StageSeconds]="","",[@StageSeconds]-[@BonusSeconds])</f>
      </c>
      <c r="K219" s="3">
        <f>IF([@NetSeconds]="","",[@NetSeconds]/86400)</f>
      </c>
    </row>
    <row r="220" spans="1:11" x14ac:dyDescent="0.25">
      <c r="A220" t="s">
        <v>22</v>
      </c>
      <c r="B220">
        <f>IF([@Bib]="","",XLOOKUP([@Bib],tblReg[Bib],tblReg[Field],""))</f>
      </c>
      <c r="C220">
        <f>IF([@Bib]="","",XLOOKUP([@Bib],tblReg[Bib],tblReg[FirstName],""))</f>
      </c>
      <c r="D220">
        <f>IF([@Bib]="","",XLOOKUP([@Bib],tblReg[Bib],tblReg[LastName],""))</f>
      </c>
      <c r="E220">
        <f>IF([@Bib]="","",XLOOKUP([@Bib],tblReg[Bib],tblReg[Team],""))</f>
      </c>
      <c r="F220" s="3" t="s">
        <v>22</v>
      </c>
      <c r="G220">
        <f>IF([@StageTime]="","",HOUR([@StageTime])*3600 + MINUTE([@StageTime])*60 + SECOND([@StageTime]))</f>
      </c>
      <c r="H220">
        <f>IF([@StageSeconds]="","",RANK([@StageSeconds],tblStage2[StageSeconds],1))</f>
      </c>
      <c r="I220">
        <f>IF([@Position]="",0,XLOOKUP([@Position],Config!tblBonus[Place],Config!tblBonus[Stage2BonusSec],0))</f>
      </c>
      <c r="J220">
        <f>IF([@StageSeconds]="","",[@StageSeconds]-[@BonusSeconds])</f>
      </c>
      <c r="K220" s="3">
        <f>IF([@NetSeconds]="","",[@NetSeconds]/86400)</f>
      </c>
    </row>
    <row r="221" spans="1:11" x14ac:dyDescent="0.25">
      <c r="A221" t="s">
        <v>22</v>
      </c>
      <c r="B221">
        <f>IF([@Bib]="","",XLOOKUP([@Bib],tblReg[Bib],tblReg[Field],""))</f>
      </c>
      <c r="C221">
        <f>IF([@Bib]="","",XLOOKUP([@Bib],tblReg[Bib],tblReg[FirstName],""))</f>
      </c>
      <c r="D221">
        <f>IF([@Bib]="","",XLOOKUP([@Bib],tblReg[Bib],tblReg[LastName],""))</f>
      </c>
      <c r="E221">
        <f>IF([@Bib]="","",XLOOKUP([@Bib],tblReg[Bib],tblReg[Team],""))</f>
      </c>
      <c r="F221" s="3" t="s">
        <v>22</v>
      </c>
      <c r="G221">
        <f>IF([@StageTime]="","",HOUR([@StageTime])*3600 + MINUTE([@StageTime])*60 + SECOND([@StageTime]))</f>
      </c>
      <c r="H221">
        <f>IF([@StageSeconds]="","",RANK([@StageSeconds],tblStage2[StageSeconds],1))</f>
      </c>
      <c r="I221">
        <f>IF([@Position]="",0,XLOOKUP([@Position],Config!tblBonus[Place],Config!tblBonus[Stage2BonusSec],0))</f>
      </c>
      <c r="J221">
        <f>IF([@StageSeconds]="","",[@StageSeconds]-[@BonusSeconds])</f>
      </c>
      <c r="K221" s="3">
        <f>IF([@NetSeconds]="","",[@NetSeconds]/86400)</f>
      </c>
    </row>
    <row r="222" spans="1:11" x14ac:dyDescent="0.25">
      <c r="A222" t="s">
        <v>22</v>
      </c>
      <c r="B222">
        <f>IF([@Bib]="","",XLOOKUP([@Bib],tblReg[Bib],tblReg[Field],""))</f>
      </c>
      <c r="C222">
        <f>IF([@Bib]="","",XLOOKUP([@Bib],tblReg[Bib],tblReg[FirstName],""))</f>
      </c>
      <c r="D222">
        <f>IF([@Bib]="","",XLOOKUP([@Bib],tblReg[Bib],tblReg[LastName],""))</f>
      </c>
      <c r="E222">
        <f>IF([@Bib]="","",XLOOKUP([@Bib],tblReg[Bib],tblReg[Team],""))</f>
      </c>
      <c r="F222" s="3" t="s">
        <v>22</v>
      </c>
      <c r="G222">
        <f>IF([@StageTime]="","",HOUR([@StageTime])*3600 + MINUTE([@StageTime])*60 + SECOND([@StageTime]))</f>
      </c>
      <c r="H222">
        <f>IF([@StageSeconds]="","",RANK([@StageSeconds],tblStage2[StageSeconds],1))</f>
      </c>
      <c r="I222">
        <f>IF([@Position]="",0,XLOOKUP([@Position],Config!tblBonus[Place],Config!tblBonus[Stage2BonusSec],0))</f>
      </c>
      <c r="J222">
        <f>IF([@StageSeconds]="","",[@StageSeconds]-[@BonusSeconds])</f>
      </c>
      <c r="K222" s="3">
        <f>IF([@NetSeconds]="","",[@NetSeconds]/86400)</f>
      </c>
    </row>
    <row r="223" spans="1:11" x14ac:dyDescent="0.25">
      <c r="A223" t="s">
        <v>22</v>
      </c>
      <c r="B223">
        <f>IF([@Bib]="","",XLOOKUP([@Bib],tblReg[Bib],tblReg[Field],""))</f>
      </c>
      <c r="C223">
        <f>IF([@Bib]="","",XLOOKUP([@Bib],tblReg[Bib],tblReg[FirstName],""))</f>
      </c>
      <c r="D223">
        <f>IF([@Bib]="","",XLOOKUP([@Bib],tblReg[Bib],tblReg[LastName],""))</f>
      </c>
      <c r="E223">
        <f>IF([@Bib]="","",XLOOKUP([@Bib],tblReg[Bib],tblReg[Team],""))</f>
      </c>
      <c r="F223" s="3" t="s">
        <v>22</v>
      </c>
      <c r="G223">
        <f>IF([@StageTime]="","",HOUR([@StageTime])*3600 + MINUTE([@StageTime])*60 + SECOND([@StageTime]))</f>
      </c>
      <c r="H223">
        <f>IF([@StageSeconds]="","",RANK([@StageSeconds],tblStage2[StageSeconds],1))</f>
      </c>
      <c r="I223">
        <f>IF([@Position]="",0,XLOOKUP([@Position],Config!tblBonus[Place],Config!tblBonus[Stage2BonusSec],0))</f>
      </c>
      <c r="J223">
        <f>IF([@StageSeconds]="","",[@StageSeconds]-[@BonusSeconds])</f>
      </c>
      <c r="K223" s="3">
        <f>IF([@NetSeconds]="","",[@NetSeconds]/86400)</f>
      </c>
    </row>
    <row r="224" spans="1:11" x14ac:dyDescent="0.25">
      <c r="A224" t="s">
        <v>22</v>
      </c>
      <c r="B224">
        <f>IF([@Bib]="","",XLOOKUP([@Bib],tblReg[Bib],tblReg[Field],""))</f>
      </c>
      <c r="C224">
        <f>IF([@Bib]="","",XLOOKUP([@Bib],tblReg[Bib],tblReg[FirstName],""))</f>
      </c>
      <c r="D224">
        <f>IF([@Bib]="","",XLOOKUP([@Bib],tblReg[Bib],tblReg[LastName],""))</f>
      </c>
      <c r="E224">
        <f>IF([@Bib]="","",XLOOKUP([@Bib],tblReg[Bib],tblReg[Team],""))</f>
      </c>
      <c r="F224" s="3" t="s">
        <v>22</v>
      </c>
      <c r="G224">
        <f>IF([@StageTime]="","",HOUR([@StageTime])*3600 + MINUTE([@StageTime])*60 + SECOND([@StageTime]))</f>
      </c>
      <c r="H224">
        <f>IF([@StageSeconds]="","",RANK([@StageSeconds],tblStage2[StageSeconds],1))</f>
      </c>
      <c r="I224">
        <f>IF([@Position]="",0,XLOOKUP([@Position],Config!tblBonus[Place],Config!tblBonus[Stage2BonusSec],0))</f>
      </c>
      <c r="J224">
        <f>IF([@StageSeconds]="","",[@StageSeconds]-[@BonusSeconds])</f>
      </c>
      <c r="K224" s="3">
        <f>IF([@NetSeconds]="","",[@NetSeconds]/86400)</f>
      </c>
    </row>
    <row r="225" spans="1:11" x14ac:dyDescent="0.25">
      <c r="A225" t="s">
        <v>22</v>
      </c>
      <c r="B225">
        <f>IF([@Bib]="","",XLOOKUP([@Bib],tblReg[Bib],tblReg[Field],""))</f>
      </c>
      <c r="C225">
        <f>IF([@Bib]="","",XLOOKUP([@Bib],tblReg[Bib],tblReg[FirstName],""))</f>
      </c>
      <c r="D225">
        <f>IF([@Bib]="","",XLOOKUP([@Bib],tblReg[Bib],tblReg[LastName],""))</f>
      </c>
      <c r="E225">
        <f>IF([@Bib]="","",XLOOKUP([@Bib],tblReg[Bib],tblReg[Team],""))</f>
      </c>
      <c r="F225" s="3" t="s">
        <v>22</v>
      </c>
      <c r="G225">
        <f>IF([@StageTime]="","",HOUR([@StageTime])*3600 + MINUTE([@StageTime])*60 + SECOND([@StageTime]))</f>
      </c>
      <c r="H225">
        <f>IF([@StageSeconds]="","",RANK([@StageSeconds],tblStage2[StageSeconds],1))</f>
      </c>
      <c r="I225">
        <f>IF([@Position]="",0,XLOOKUP([@Position],Config!tblBonus[Place],Config!tblBonus[Stage2BonusSec],0))</f>
      </c>
      <c r="J225">
        <f>IF([@StageSeconds]="","",[@StageSeconds]-[@BonusSeconds])</f>
      </c>
      <c r="K225" s="3">
        <f>IF([@NetSeconds]="","",[@NetSeconds]/86400)</f>
      </c>
    </row>
    <row r="226" spans="1:11" x14ac:dyDescent="0.25">
      <c r="A226" t="s">
        <v>22</v>
      </c>
      <c r="B226">
        <f>IF([@Bib]="","",XLOOKUP([@Bib],tblReg[Bib],tblReg[Field],""))</f>
      </c>
      <c r="C226">
        <f>IF([@Bib]="","",XLOOKUP([@Bib],tblReg[Bib],tblReg[FirstName],""))</f>
      </c>
      <c r="D226">
        <f>IF([@Bib]="","",XLOOKUP([@Bib],tblReg[Bib],tblReg[LastName],""))</f>
      </c>
      <c r="E226">
        <f>IF([@Bib]="","",XLOOKUP([@Bib],tblReg[Bib],tblReg[Team],""))</f>
      </c>
      <c r="F226" s="3" t="s">
        <v>22</v>
      </c>
      <c r="G226">
        <f>IF([@StageTime]="","",HOUR([@StageTime])*3600 + MINUTE([@StageTime])*60 + SECOND([@StageTime]))</f>
      </c>
      <c r="H226">
        <f>IF([@StageSeconds]="","",RANK([@StageSeconds],tblStage2[StageSeconds],1))</f>
      </c>
      <c r="I226">
        <f>IF([@Position]="",0,XLOOKUP([@Position],Config!tblBonus[Place],Config!tblBonus[Stage2BonusSec],0))</f>
      </c>
      <c r="J226">
        <f>IF([@StageSeconds]="","",[@StageSeconds]-[@BonusSeconds])</f>
      </c>
      <c r="K226" s="3">
        <f>IF([@NetSeconds]="","",[@NetSeconds]/86400)</f>
      </c>
    </row>
    <row r="227" spans="1:11" x14ac:dyDescent="0.25">
      <c r="A227" t="s">
        <v>22</v>
      </c>
      <c r="B227">
        <f>IF([@Bib]="","",XLOOKUP([@Bib],tblReg[Bib],tblReg[Field],""))</f>
      </c>
      <c r="C227">
        <f>IF([@Bib]="","",XLOOKUP([@Bib],tblReg[Bib],tblReg[FirstName],""))</f>
      </c>
      <c r="D227">
        <f>IF([@Bib]="","",XLOOKUP([@Bib],tblReg[Bib],tblReg[LastName],""))</f>
      </c>
      <c r="E227">
        <f>IF([@Bib]="","",XLOOKUP([@Bib],tblReg[Bib],tblReg[Team],""))</f>
      </c>
      <c r="F227" s="3" t="s">
        <v>22</v>
      </c>
      <c r="G227">
        <f>IF([@StageTime]="","",HOUR([@StageTime])*3600 + MINUTE([@StageTime])*60 + SECOND([@StageTime]))</f>
      </c>
      <c r="H227">
        <f>IF([@StageSeconds]="","",RANK([@StageSeconds],tblStage2[StageSeconds],1))</f>
      </c>
      <c r="I227">
        <f>IF([@Position]="",0,XLOOKUP([@Position],Config!tblBonus[Place],Config!tblBonus[Stage2BonusSec],0))</f>
      </c>
      <c r="J227">
        <f>IF([@StageSeconds]="","",[@StageSeconds]-[@BonusSeconds])</f>
      </c>
      <c r="K227" s="3">
        <f>IF([@NetSeconds]="","",[@NetSeconds]/86400)</f>
      </c>
    </row>
    <row r="228" spans="1:11" x14ac:dyDescent="0.25">
      <c r="A228" t="s">
        <v>22</v>
      </c>
      <c r="B228">
        <f>IF([@Bib]="","",XLOOKUP([@Bib],tblReg[Bib],tblReg[Field],""))</f>
      </c>
      <c r="C228">
        <f>IF([@Bib]="","",XLOOKUP([@Bib],tblReg[Bib],tblReg[FirstName],""))</f>
      </c>
      <c r="D228">
        <f>IF([@Bib]="","",XLOOKUP([@Bib],tblReg[Bib],tblReg[LastName],""))</f>
      </c>
      <c r="E228">
        <f>IF([@Bib]="","",XLOOKUP([@Bib],tblReg[Bib],tblReg[Team],""))</f>
      </c>
      <c r="F228" s="3" t="s">
        <v>22</v>
      </c>
      <c r="G228">
        <f>IF([@StageTime]="","",HOUR([@StageTime])*3600 + MINUTE([@StageTime])*60 + SECOND([@StageTime]))</f>
      </c>
      <c r="H228">
        <f>IF([@StageSeconds]="","",RANK([@StageSeconds],tblStage2[StageSeconds],1))</f>
      </c>
      <c r="I228">
        <f>IF([@Position]="",0,XLOOKUP([@Position],Config!tblBonus[Place],Config!tblBonus[Stage2BonusSec],0))</f>
      </c>
      <c r="J228">
        <f>IF([@StageSeconds]="","",[@StageSeconds]-[@BonusSeconds])</f>
      </c>
      <c r="K228" s="3">
        <f>IF([@NetSeconds]="","",[@NetSeconds]/86400)</f>
      </c>
    </row>
    <row r="229" spans="1:11" x14ac:dyDescent="0.25">
      <c r="A229" t="s">
        <v>22</v>
      </c>
      <c r="B229">
        <f>IF([@Bib]="","",XLOOKUP([@Bib],tblReg[Bib],tblReg[Field],""))</f>
      </c>
      <c r="C229">
        <f>IF([@Bib]="","",XLOOKUP([@Bib],tblReg[Bib],tblReg[FirstName],""))</f>
      </c>
      <c r="D229">
        <f>IF([@Bib]="","",XLOOKUP([@Bib],tblReg[Bib],tblReg[LastName],""))</f>
      </c>
      <c r="E229">
        <f>IF([@Bib]="","",XLOOKUP([@Bib],tblReg[Bib],tblReg[Team],""))</f>
      </c>
      <c r="F229" s="3" t="s">
        <v>22</v>
      </c>
      <c r="G229">
        <f>IF([@StageTime]="","",HOUR([@StageTime])*3600 + MINUTE([@StageTime])*60 + SECOND([@StageTime]))</f>
      </c>
      <c r="H229">
        <f>IF([@StageSeconds]="","",RANK([@StageSeconds],tblStage2[StageSeconds],1))</f>
      </c>
      <c r="I229">
        <f>IF([@Position]="",0,XLOOKUP([@Position],Config!tblBonus[Place],Config!tblBonus[Stage2BonusSec],0))</f>
      </c>
      <c r="J229">
        <f>IF([@StageSeconds]="","",[@StageSeconds]-[@BonusSeconds])</f>
      </c>
      <c r="K229" s="3">
        <f>IF([@NetSeconds]="","",[@NetSeconds]/86400)</f>
      </c>
    </row>
    <row r="230" spans="1:11" x14ac:dyDescent="0.25">
      <c r="A230" t="s">
        <v>22</v>
      </c>
      <c r="B230">
        <f>IF([@Bib]="","",XLOOKUP([@Bib],tblReg[Bib],tblReg[Field],""))</f>
      </c>
      <c r="C230">
        <f>IF([@Bib]="","",XLOOKUP([@Bib],tblReg[Bib],tblReg[FirstName],""))</f>
      </c>
      <c r="D230">
        <f>IF([@Bib]="","",XLOOKUP([@Bib],tblReg[Bib],tblReg[LastName],""))</f>
      </c>
      <c r="E230">
        <f>IF([@Bib]="","",XLOOKUP([@Bib],tblReg[Bib],tblReg[Team],""))</f>
      </c>
      <c r="F230" s="3" t="s">
        <v>22</v>
      </c>
      <c r="G230">
        <f>IF([@StageTime]="","",HOUR([@StageTime])*3600 + MINUTE([@StageTime])*60 + SECOND([@StageTime]))</f>
      </c>
      <c r="H230">
        <f>IF([@StageSeconds]="","",RANK([@StageSeconds],tblStage2[StageSeconds],1))</f>
      </c>
      <c r="I230">
        <f>IF([@Position]="",0,XLOOKUP([@Position],Config!tblBonus[Place],Config!tblBonus[Stage2BonusSec],0))</f>
      </c>
      <c r="J230">
        <f>IF([@StageSeconds]="","",[@StageSeconds]-[@BonusSeconds])</f>
      </c>
      <c r="K230" s="3">
        <f>IF([@NetSeconds]="","",[@NetSeconds]/86400)</f>
      </c>
    </row>
    <row r="231" spans="1:11" x14ac:dyDescent="0.25">
      <c r="A231" t="s">
        <v>22</v>
      </c>
      <c r="B231">
        <f>IF([@Bib]="","",XLOOKUP([@Bib],tblReg[Bib],tblReg[Field],""))</f>
      </c>
      <c r="C231">
        <f>IF([@Bib]="","",XLOOKUP([@Bib],tblReg[Bib],tblReg[FirstName],""))</f>
      </c>
      <c r="D231">
        <f>IF([@Bib]="","",XLOOKUP([@Bib],tblReg[Bib],tblReg[LastName],""))</f>
      </c>
      <c r="E231">
        <f>IF([@Bib]="","",XLOOKUP([@Bib],tblReg[Bib],tblReg[Team],""))</f>
      </c>
      <c r="F231" s="3" t="s">
        <v>22</v>
      </c>
      <c r="G231">
        <f>IF([@StageTime]="","",HOUR([@StageTime])*3600 + MINUTE([@StageTime])*60 + SECOND([@StageTime]))</f>
      </c>
      <c r="H231">
        <f>IF([@StageSeconds]="","",RANK([@StageSeconds],tblStage2[StageSeconds],1))</f>
      </c>
      <c r="I231">
        <f>IF([@Position]="",0,XLOOKUP([@Position],Config!tblBonus[Place],Config!tblBonus[Stage2BonusSec],0))</f>
      </c>
      <c r="J231">
        <f>IF([@StageSeconds]="","",[@StageSeconds]-[@BonusSeconds])</f>
      </c>
      <c r="K231" s="3">
        <f>IF([@NetSeconds]="","",[@NetSeconds]/86400)</f>
      </c>
    </row>
    <row r="232" spans="1:11" x14ac:dyDescent="0.25">
      <c r="A232" t="s">
        <v>22</v>
      </c>
      <c r="B232">
        <f>IF([@Bib]="","",XLOOKUP([@Bib],tblReg[Bib],tblReg[Field],""))</f>
      </c>
      <c r="C232">
        <f>IF([@Bib]="","",XLOOKUP([@Bib],tblReg[Bib],tblReg[FirstName],""))</f>
      </c>
      <c r="D232">
        <f>IF([@Bib]="","",XLOOKUP([@Bib],tblReg[Bib],tblReg[LastName],""))</f>
      </c>
      <c r="E232">
        <f>IF([@Bib]="","",XLOOKUP([@Bib],tblReg[Bib],tblReg[Team],""))</f>
      </c>
      <c r="F232" s="3" t="s">
        <v>22</v>
      </c>
      <c r="G232">
        <f>IF([@StageTime]="","",HOUR([@StageTime])*3600 + MINUTE([@StageTime])*60 + SECOND([@StageTime]))</f>
      </c>
      <c r="H232">
        <f>IF([@StageSeconds]="","",RANK([@StageSeconds],tblStage2[StageSeconds],1))</f>
      </c>
      <c r="I232">
        <f>IF([@Position]="",0,XLOOKUP([@Position],Config!tblBonus[Place],Config!tblBonus[Stage2BonusSec],0))</f>
      </c>
      <c r="J232">
        <f>IF([@StageSeconds]="","",[@StageSeconds]-[@BonusSeconds])</f>
      </c>
      <c r="K232" s="3">
        <f>IF([@NetSeconds]="","",[@NetSeconds]/86400)</f>
      </c>
    </row>
    <row r="233" spans="1:11" x14ac:dyDescent="0.25">
      <c r="A233" t="s">
        <v>22</v>
      </c>
      <c r="B233">
        <f>IF([@Bib]="","",XLOOKUP([@Bib],tblReg[Bib],tblReg[Field],""))</f>
      </c>
      <c r="C233">
        <f>IF([@Bib]="","",XLOOKUP([@Bib],tblReg[Bib],tblReg[FirstName],""))</f>
      </c>
      <c r="D233">
        <f>IF([@Bib]="","",XLOOKUP([@Bib],tblReg[Bib],tblReg[LastName],""))</f>
      </c>
      <c r="E233">
        <f>IF([@Bib]="","",XLOOKUP([@Bib],tblReg[Bib],tblReg[Team],""))</f>
      </c>
      <c r="F233" s="3" t="s">
        <v>22</v>
      </c>
      <c r="G233">
        <f>IF([@StageTime]="","",HOUR([@StageTime])*3600 + MINUTE([@StageTime])*60 + SECOND([@StageTime]))</f>
      </c>
      <c r="H233">
        <f>IF([@StageSeconds]="","",RANK([@StageSeconds],tblStage2[StageSeconds],1))</f>
      </c>
      <c r="I233">
        <f>IF([@Position]="",0,XLOOKUP([@Position],Config!tblBonus[Place],Config!tblBonus[Stage2BonusSec],0))</f>
      </c>
      <c r="J233">
        <f>IF([@StageSeconds]="","",[@StageSeconds]-[@BonusSeconds])</f>
      </c>
      <c r="K233" s="3">
        <f>IF([@NetSeconds]="","",[@NetSeconds]/86400)</f>
      </c>
    </row>
    <row r="234" spans="1:11" x14ac:dyDescent="0.25">
      <c r="A234" t="s">
        <v>22</v>
      </c>
      <c r="B234">
        <f>IF([@Bib]="","",XLOOKUP([@Bib],tblReg[Bib],tblReg[Field],""))</f>
      </c>
      <c r="C234">
        <f>IF([@Bib]="","",XLOOKUP([@Bib],tblReg[Bib],tblReg[FirstName],""))</f>
      </c>
      <c r="D234">
        <f>IF([@Bib]="","",XLOOKUP([@Bib],tblReg[Bib],tblReg[LastName],""))</f>
      </c>
      <c r="E234">
        <f>IF([@Bib]="","",XLOOKUP([@Bib],tblReg[Bib],tblReg[Team],""))</f>
      </c>
      <c r="F234" s="3" t="s">
        <v>22</v>
      </c>
      <c r="G234">
        <f>IF([@StageTime]="","",HOUR([@StageTime])*3600 + MINUTE([@StageTime])*60 + SECOND([@StageTime]))</f>
      </c>
      <c r="H234">
        <f>IF([@StageSeconds]="","",RANK([@StageSeconds],tblStage2[StageSeconds],1))</f>
      </c>
      <c r="I234">
        <f>IF([@Position]="",0,XLOOKUP([@Position],Config!tblBonus[Place],Config!tblBonus[Stage2BonusSec],0))</f>
      </c>
      <c r="J234">
        <f>IF([@StageSeconds]="","",[@StageSeconds]-[@BonusSeconds])</f>
      </c>
      <c r="K234" s="3">
        <f>IF([@NetSeconds]="","",[@NetSeconds]/86400)</f>
      </c>
    </row>
    <row r="235" spans="1:11" x14ac:dyDescent="0.25">
      <c r="A235" t="s">
        <v>22</v>
      </c>
      <c r="B235">
        <f>IF([@Bib]="","",XLOOKUP([@Bib],tblReg[Bib],tblReg[Field],""))</f>
      </c>
      <c r="C235">
        <f>IF([@Bib]="","",XLOOKUP([@Bib],tblReg[Bib],tblReg[FirstName],""))</f>
      </c>
      <c r="D235">
        <f>IF([@Bib]="","",XLOOKUP([@Bib],tblReg[Bib],tblReg[LastName],""))</f>
      </c>
      <c r="E235">
        <f>IF([@Bib]="","",XLOOKUP([@Bib],tblReg[Bib],tblReg[Team],""))</f>
      </c>
      <c r="F235" s="3" t="s">
        <v>22</v>
      </c>
      <c r="G235">
        <f>IF([@StageTime]="","",HOUR([@StageTime])*3600 + MINUTE([@StageTime])*60 + SECOND([@StageTime]))</f>
      </c>
      <c r="H235">
        <f>IF([@StageSeconds]="","",RANK([@StageSeconds],tblStage2[StageSeconds],1))</f>
      </c>
      <c r="I235">
        <f>IF([@Position]="",0,XLOOKUP([@Position],Config!tblBonus[Place],Config!tblBonus[Stage2BonusSec],0))</f>
      </c>
      <c r="J235">
        <f>IF([@StageSeconds]="","",[@StageSeconds]-[@BonusSeconds])</f>
      </c>
      <c r="K235" s="3">
        <f>IF([@NetSeconds]="","",[@NetSeconds]/86400)</f>
      </c>
    </row>
    <row r="236" spans="1:11" x14ac:dyDescent="0.25">
      <c r="A236" t="s">
        <v>22</v>
      </c>
      <c r="B236">
        <f>IF([@Bib]="","",XLOOKUP([@Bib],tblReg[Bib],tblReg[Field],""))</f>
      </c>
      <c r="C236">
        <f>IF([@Bib]="","",XLOOKUP([@Bib],tblReg[Bib],tblReg[FirstName],""))</f>
      </c>
      <c r="D236">
        <f>IF([@Bib]="","",XLOOKUP([@Bib],tblReg[Bib],tblReg[LastName],""))</f>
      </c>
      <c r="E236">
        <f>IF([@Bib]="","",XLOOKUP([@Bib],tblReg[Bib],tblReg[Team],""))</f>
      </c>
      <c r="F236" s="3" t="s">
        <v>22</v>
      </c>
      <c r="G236">
        <f>IF([@StageTime]="","",HOUR([@StageTime])*3600 + MINUTE([@StageTime])*60 + SECOND([@StageTime]))</f>
      </c>
      <c r="H236">
        <f>IF([@StageSeconds]="","",RANK([@StageSeconds],tblStage2[StageSeconds],1))</f>
      </c>
      <c r="I236">
        <f>IF([@Position]="",0,XLOOKUP([@Position],Config!tblBonus[Place],Config!tblBonus[Stage2BonusSec],0))</f>
      </c>
      <c r="J236">
        <f>IF([@StageSeconds]="","",[@StageSeconds]-[@BonusSeconds])</f>
      </c>
      <c r="K236" s="3">
        <f>IF([@NetSeconds]="","",[@NetSeconds]/86400)</f>
      </c>
    </row>
    <row r="237" spans="1:11" x14ac:dyDescent="0.25">
      <c r="A237" t="s">
        <v>22</v>
      </c>
      <c r="B237">
        <f>IF([@Bib]="","",XLOOKUP([@Bib],tblReg[Bib],tblReg[Field],""))</f>
      </c>
      <c r="C237">
        <f>IF([@Bib]="","",XLOOKUP([@Bib],tblReg[Bib],tblReg[FirstName],""))</f>
      </c>
      <c r="D237">
        <f>IF([@Bib]="","",XLOOKUP([@Bib],tblReg[Bib],tblReg[LastName],""))</f>
      </c>
      <c r="E237">
        <f>IF([@Bib]="","",XLOOKUP([@Bib],tblReg[Bib],tblReg[Team],""))</f>
      </c>
      <c r="F237" s="3" t="s">
        <v>22</v>
      </c>
      <c r="G237">
        <f>IF([@StageTime]="","",HOUR([@StageTime])*3600 + MINUTE([@StageTime])*60 + SECOND([@StageTime]))</f>
      </c>
      <c r="H237">
        <f>IF([@StageSeconds]="","",RANK([@StageSeconds],tblStage2[StageSeconds],1))</f>
      </c>
      <c r="I237">
        <f>IF([@Position]="",0,XLOOKUP([@Position],Config!tblBonus[Place],Config!tblBonus[Stage2BonusSec],0))</f>
      </c>
      <c r="J237">
        <f>IF([@StageSeconds]="","",[@StageSeconds]-[@BonusSeconds])</f>
      </c>
      <c r="K237" s="3">
        <f>IF([@NetSeconds]="","",[@NetSeconds]/86400)</f>
      </c>
    </row>
    <row r="238" spans="1:11" x14ac:dyDescent="0.25">
      <c r="A238" t="s">
        <v>22</v>
      </c>
      <c r="B238">
        <f>IF([@Bib]="","",XLOOKUP([@Bib],tblReg[Bib],tblReg[Field],""))</f>
      </c>
      <c r="C238">
        <f>IF([@Bib]="","",XLOOKUP([@Bib],tblReg[Bib],tblReg[FirstName],""))</f>
      </c>
      <c r="D238">
        <f>IF([@Bib]="","",XLOOKUP([@Bib],tblReg[Bib],tblReg[LastName],""))</f>
      </c>
      <c r="E238">
        <f>IF([@Bib]="","",XLOOKUP([@Bib],tblReg[Bib],tblReg[Team],""))</f>
      </c>
      <c r="F238" s="3" t="s">
        <v>22</v>
      </c>
      <c r="G238">
        <f>IF([@StageTime]="","",HOUR([@StageTime])*3600 + MINUTE([@StageTime])*60 + SECOND([@StageTime]))</f>
      </c>
      <c r="H238">
        <f>IF([@StageSeconds]="","",RANK([@StageSeconds],tblStage2[StageSeconds],1))</f>
      </c>
      <c r="I238">
        <f>IF([@Position]="",0,XLOOKUP([@Position],Config!tblBonus[Place],Config!tblBonus[Stage2BonusSec],0))</f>
      </c>
      <c r="J238">
        <f>IF([@StageSeconds]="","",[@StageSeconds]-[@BonusSeconds])</f>
      </c>
      <c r="K238" s="3">
        <f>IF([@NetSeconds]="","",[@NetSeconds]/86400)</f>
      </c>
    </row>
    <row r="239" spans="1:11" x14ac:dyDescent="0.25">
      <c r="A239" t="s">
        <v>22</v>
      </c>
      <c r="B239">
        <f>IF([@Bib]="","",XLOOKUP([@Bib],tblReg[Bib],tblReg[Field],""))</f>
      </c>
      <c r="C239">
        <f>IF([@Bib]="","",XLOOKUP([@Bib],tblReg[Bib],tblReg[FirstName],""))</f>
      </c>
      <c r="D239">
        <f>IF([@Bib]="","",XLOOKUP([@Bib],tblReg[Bib],tblReg[LastName],""))</f>
      </c>
      <c r="E239">
        <f>IF([@Bib]="","",XLOOKUP([@Bib],tblReg[Bib],tblReg[Team],""))</f>
      </c>
      <c r="F239" s="3" t="s">
        <v>22</v>
      </c>
      <c r="G239">
        <f>IF([@StageTime]="","",HOUR([@StageTime])*3600 + MINUTE([@StageTime])*60 + SECOND([@StageTime]))</f>
      </c>
      <c r="H239">
        <f>IF([@StageSeconds]="","",RANK([@StageSeconds],tblStage2[StageSeconds],1))</f>
      </c>
      <c r="I239">
        <f>IF([@Position]="",0,XLOOKUP([@Position],Config!tblBonus[Place],Config!tblBonus[Stage2BonusSec],0))</f>
      </c>
      <c r="J239">
        <f>IF([@StageSeconds]="","",[@StageSeconds]-[@BonusSeconds])</f>
      </c>
      <c r="K239" s="3">
        <f>IF([@NetSeconds]="","",[@NetSeconds]/86400)</f>
      </c>
    </row>
    <row r="240" spans="1:11" x14ac:dyDescent="0.25">
      <c r="A240" t="s">
        <v>22</v>
      </c>
      <c r="B240">
        <f>IF([@Bib]="","",XLOOKUP([@Bib],tblReg[Bib],tblReg[Field],""))</f>
      </c>
      <c r="C240">
        <f>IF([@Bib]="","",XLOOKUP([@Bib],tblReg[Bib],tblReg[FirstName],""))</f>
      </c>
      <c r="D240">
        <f>IF([@Bib]="","",XLOOKUP([@Bib],tblReg[Bib],tblReg[LastName],""))</f>
      </c>
      <c r="E240">
        <f>IF([@Bib]="","",XLOOKUP([@Bib],tblReg[Bib],tblReg[Team],""))</f>
      </c>
      <c r="F240" s="3" t="s">
        <v>22</v>
      </c>
      <c r="G240">
        <f>IF([@StageTime]="","",HOUR([@StageTime])*3600 + MINUTE([@StageTime])*60 + SECOND([@StageTime]))</f>
      </c>
      <c r="H240">
        <f>IF([@StageSeconds]="","",RANK([@StageSeconds],tblStage2[StageSeconds],1))</f>
      </c>
      <c r="I240">
        <f>IF([@Position]="",0,XLOOKUP([@Position],Config!tblBonus[Place],Config!tblBonus[Stage2BonusSec],0))</f>
      </c>
      <c r="J240">
        <f>IF([@StageSeconds]="","",[@StageSeconds]-[@BonusSeconds])</f>
      </c>
      <c r="K240" s="3">
        <f>IF([@NetSeconds]="","",[@NetSeconds]/86400)</f>
      </c>
    </row>
    <row r="241" spans="1:11" x14ac:dyDescent="0.25">
      <c r="A241" t="s">
        <v>22</v>
      </c>
      <c r="B241">
        <f>IF([@Bib]="","",XLOOKUP([@Bib],tblReg[Bib],tblReg[Field],""))</f>
      </c>
      <c r="C241">
        <f>IF([@Bib]="","",XLOOKUP([@Bib],tblReg[Bib],tblReg[FirstName],""))</f>
      </c>
      <c r="D241">
        <f>IF([@Bib]="","",XLOOKUP([@Bib],tblReg[Bib],tblReg[LastName],""))</f>
      </c>
      <c r="E241">
        <f>IF([@Bib]="","",XLOOKUP([@Bib],tblReg[Bib],tblReg[Team],""))</f>
      </c>
      <c r="F241" s="3" t="s">
        <v>22</v>
      </c>
      <c r="G241">
        <f>IF([@StageTime]="","",HOUR([@StageTime])*3600 + MINUTE([@StageTime])*60 + SECOND([@StageTime]))</f>
      </c>
      <c r="H241">
        <f>IF([@StageSeconds]="","",RANK([@StageSeconds],tblStage2[StageSeconds],1))</f>
      </c>
      <c r="I241">
        <f>IF([@Position]="",0,XLOOKUP([@Position],Config!tblBonus[Place],Config!tblBonus[Stage2BonusSec],0))</f>
      </c>
      <c r="J241">
        <f>IF([@StageSeconds]="","",[@StageSeconds]-[@BonusSeconds])</f>
      </c>
      <c r="K241" s="3">
        <f>IF([@NetSeconds]="","",[@NetSeconds]/86400)</f>
      </c>
    </row>
    <row r="242" spans="1:11" x14ac:dyDescent="0.25">
      <c r="A242" t="s">
        <v>22</v>
      </c>
      <c r="B242">
        <f>IF([@Bib]="","",XLOOKUP([@Bib],tblReg[Bib],tblReg[Field],""))</f>
      </c>
      <c r="C242">
        <f>IF([@Bib]="","",XLOOKUP([@Bib],tblReg[Bib],tblReg[FirstName],""))</f>
      </c>
      <c r="D242">
        <f>IF([@Bib]="","",XLOOKUP([@Bib],tblReg[Bib],tblReg[LastName],""))</f>
      </c>
      <c r="E242">
        <f>IF([@Bib]="","",XLOOKUP([@Bib],tblReg[Bib],tblReg[Team],""))</f>
      </c>
      <c r="F242" s="3" t="s">
        <v>22</v>
      </c>
      <c r="G242">
        <f>IF([@StageTime]="","",HOUR([@StageTime])*3600 + MINUTE([@StageTime])*60 + SECOND([@StageTime]))</f>
      </c>
      <c r="H242">
        <f>IF([@StageSeconds]="","",RANK([@StageSeconds],tblStage2[StageSeconds],1))</f>
      </c>
      <c r="I242">
        <f>IF([@Position]="",0,XLOOKUP([@Position],Config!tblBonus[Place],Config!tblBonus[Stage2BonusSec],0))</f>
      </c>
      <c r="J242">
        <f>IF([@StageSeconds]="","",[@StageSeconds]-[@BonusSeconds])</f>
      </c>
      <c r="K242" s="3">
        <f>IF([@NetSeconds]="","",[@NetSeconds]/86400)</f>
      </c>
    </row>
    <row r="243" spans="1:11" x14ac:dyDescent="0.25">
      <c r="A243" t="s">
        <v>22</v>
      </c>
      <c r="B243">
        <f>IF([@Bib]="","",XLOOKUP([@Bib],tblReg[Bib],tblReg[Field],""))</f>
      </c>
      <c r="C243">
        <f>IF([@Bib]="","",XLOOKUP([@Bib],tblReg[Bib],tblReg[FirstName],""))</f>
      </c>
      <c r="D243">
        <f>IF([@Bib]="","",XLOOKUP([@Bib],tblReg[Bib],tblReg[LastName],""))</f>
      </c>
      <c r="E243">
        <f>IF([@Bib]="","",XLOOKUP([@Bib],tblReg[Bib],tblReg[Team],""))</f>
      </c>
      <c r="F243" s="3" t="s">
        <v>22</v>
      </c>
      <c r="G243">
        <f>IF([@StageTime]="","",HOUR([@StageTime])*3600 + MINUTE([@StageTime])*60 + SECOND([@StageTime]))</f>
      </c>
      <c r="H243">
        <f>IF([@StageSeconds]="","",RANK([@StageSeconds],tblStage2[StageSeconds],1))</f>
      </c>
      <c r="I243">
        <f>IF([@Position]="",0,XLOOKUP([@Position],Config!tblBonus[Place],Config!tblBonus[Stage2BonusSec],0))</f>
      </c>
      <c r="J243">
        <f>IF([@StageSeconds]="","",[@StageSeconds]-[@BonusSeconds])</f>
      </c>
      <c r="K243" s="3">
        <f>IF([@NetSeconds]="","",[@NetSeconds]/86400)</f>
      </c>
    </row>
    <row r="244" spans="1:11" x14ac:dyDescent="0.25">
      <c r="A244" t="s">
        <v>22</v>
      </c>
      <c r="B244">
        <f>IF([@Bib]="","",XLOOKUP([@Bib],tblReg[Bib],tblReg[Field],""))</f>
      </c>
      <c r="C244">
        <f>IF([@Bib]="","",XLOOKUP([@Bib],tblReg[Bib],tblReg[FirstName],""))</f>
      </c>
      <c r="D244">
        <f>IF([@Bib]="","",XLOOKUP([@Bib],tblReg[Bib],tblReg[LastName],""))</f>
      </c>
      <c r="E244">
        <f>IF([@Bib]="","",XLOOKUP([@Bib],tblReg[Bib],tblReg[Team],""))</f>
      </c>
      <c r="F244" s="3" t="s">
        <v>22</v>
      </c>
      <c r="G244">
        <f>IF([@StageTime]="","",HOUR([@StageTime])*3600 + MINUTE([@StageTime])*60 + SECOND([@StageTime]))</f>
      </c>
      <c r="H244">
        <f>IF([@StageSeconds]="","",RANK([@StageSeconds],tblStage2[StageSeconds],1))</f>
      </c>
      <c r="I244">
        <f>IF([@Position]="",0,XLOOKUP([@Position],Config!tblBonus[Place],Config!tblBonus[Stage2BonusSec],0))</f>
      </c>
      <c r="J244">
        <f>IF([@StageSeconds]="","",[@StageSeconds]-[@BonusSeconds])</f>
      </c>
      <c r="K244" s="3">
        <f>IF([@NetSeconds]="","",[@NetSeconds]/86400)</f>
      </c>
    </row>
    <row r="245" spans="1:11" x14ac:dyDescent="0.25">
      <c r="A245" t="s">
        <v>22</v>
      </c>
      <c r="B245">
        <f>IF([@Bib]="","",XLOOKUP([@Bib],tblReg[Bib],tblReg[Field],""))</f>
      </c>
      <c r="C245">
        <f>IF([@Bib]="","",XLOOKUP([@Bib],tblReg[Bib],tblReg[FirstName],""))</f>
      </c>
      <c r="D245">
        <f>IF([@Bib]="","",XLOOKUP([@Bib],tblReg[Bib],tblReg[LastName],""))</f>
      </c>
      <c r="E245">
        <f>IF([@Bib]="","",XLOOKUP([@Bib],tblReg[Bib],tblReg[Team],""))</f>
      </c>
      <c r="F245" s="3" t="s">
        <v>22</v>
      </c>
      <c r="G245">
        <f>IF([@StageTime]="","",HOUR([@StageTime])*3600 + MINUTE([@StageTime])*60 + SECOND([@StageTime]))</f>
      </c>
      <c r="H245">
        <f>IF([@StageSeconds]="","",RANK([@StageSeconds],tblStage2[StageSeconds],1))</f>
      </c>
      <c r="I245">
        <f>IF([@Position]="",0,XLOOKUP([@Position],Config!tblBonus[Place],Config!tblBonus[Stage2BonusSec],0))</f>
      </c>
      <c r="J245">
        <f>IF([@StageSeconds]="","",[@StageSeconds]-[@BonusSeconds])</f>
      </c>
      <c r="K245" s="3">
        <f>IF([@NetSeconds]="","",[@NetSeconds]/86400)</f>
      </c>
    </row>
    <row r="246" spans="1:11" x14ac:dyDescent="0.25">
      <c r="A246" t="s">
        <v>22</v>
      </c>
      <c r="B246">
        <f>IF([@Bib]="","",XLOOKUP([@Bib],tblReg[Bib],tblReg[Field],""))</f>
      </c>
      <c r="C246">
        <f>IF([@Bib]="","",XLOOKUP([@Bib],tblReg[Bib],tblReg[FirstName],""))</f>
      </c>
      <c r="D246">
        <f>IF([@Bib]="","",XLOOKUP([@Bib],tblReg[Bib],tblReg[LastName],""))</f>
      </c>
      <c r="E246">
        <f>IF([@Bib]="","",XLOOKUP([@Bib],tblReg[Bib],tblReg[Team],""))</f>
      </c>
      <c r="F246" s="3" t="s">
        <v>22</v>
      </c>
      <c r="G246">
        <f>IF([@StageTime]="","",HOUR([@StageTime])*3600 + MINUTE([@StageTime])*60 + SECOND([@StageTime]))</f>
      </c>
      <c r="H246">
        <f>IF([@StageSeconds]="","",RANK([@StageSeconds],tblStage2[StageSeconds],1))</f>
      </c>
      <c r="I246">
        <f>IF([@Position]="",0,XLOOKUP([@Position],Config!tblBonus[Place],Config!tblBonus[Stage2BonusSec],0))</f>
      </c>
      <c r="J246">
        <f>IF([@StageSeconds]="","",[@StageSeconds]-[@BonusSeconds])</f>
      </c>
      <c r="K246" s="3">
        <f>IF([@NetSeconds]="","",[@NetSeconds]/86400)</f>
      </c>
    </row>
    <row r="247" spans="1:11" x14ac:dyDescent="0.25">
      <c r="A247" t="s">
        <v>22</v>
      </c>
      <c r="B247">
        <f>IF([@Bib]="","",XLOOKUP([@Bib],tblReg[Bib],tblReg[Field],""))</f>
      </c>
      <c r="C247">
        <f>IF([@Bib]="","",XLOOKUP([@Bib],tblReg[Bib],tblReg[FirstName],""))</f>
      </c>
      <c r="D247">
        <f>IF([@Bib]="","",XLOOKUP([@Bib],tblReg[Bib],tblReg[LastName],""))</f>
      </c>
      <c r="E247">
        <f>IF([@Bib]="","",XLOOKUP([@Bib],tblReg[Bib],tblReg[Team],""))</f>
      </c>
      <c r="F247" s="3" t="s">
        <v>22</v>
      </c>
      <c r="G247">
        <f>IF([@StageTime]="","",HOUR([@StageTime])*3600 + MINUTE([@StageTime])*60 + SECOND([@StageTime]))</f>
      </c>
      <c r="H247">
        <f>IF([@StageSeconds]="","",RANK([@StageSeconds],tblStage2[StageSeconds],1))</f>
      </c>
      <c r="I247">
        <f>IF([@Position]="",0,XLOOKUP([@Position],Config!tblBonus[Place],Config!tblBonus[Stage2BonusSec],0))</f>
      </c>
      <c r="J247">
        <f>IF([@StageSeconds]="","",[@StageSeconds]-[@BonusSeconds])</f>
      </c>
      <c r="K247" s="3">
        <f>IF([@NetSeconds]="","",[@NetSeconds]/86400)</f>
      </c>
    </row>
    <row r="248" spans="1:11" x14ac:dyDescent="0.25">
      <c r="A248" t="s">
        <v>22</v>
      </c>
      <c r="B248">
        <f>IF([@Bib]="","",XLOOKUP([@Bib],tblReg[Bib],tblReg[Field],""))</f>
      </c>
      <c r="C248">
        <f>IF([@Bib]="","",XLOOKUP([@Bib],tblReg[Bib],tblReg[FirstName],""))</f>
      </c>
      <c r="D248">
        <f>IF([@Bib]="","",XLOOKUP([@Bib],tblReg[Bib],tblReg[LastName],""))</f>
      </c>
      <c r="E248">
        <f>IF([@Bib]="","",XLOOKUP([@Bib],tblReg[Bib],tblReg[Team],""))</f>
      </c>
      <c r="F248" s="3" t="s">
        <v>22</v>
      </c>
      <c r="G248">
        <f>IF([@StageTime]="","",HOUR([@StageTime])*3600 + MINUTE([@StageTime])*60 + SECOND([@StageTime]))</f>
      </c>
      <c r="H248">
        <f>IF([@StageSeconds]="","",RANK([@StageSeconds],tblStage2[StageSeconds],1))</f>
      </c>
      <c r="I248">
        <f>IF([@Position]="",0,XLOOKUP([@Position],Config!tblBonus[Place],Config!tblBonus[Stage2BonusSec],0))</f>
      </c>
      <c r="J248">
        <f>IF([@StageSeconds]="","",[@StageSeconds]-[@BonusSeconds])</f>
      </c>
      <c r="K248" s="3">
        <f>IF([@NetSeconds]="","",[@NetSeconds]/86400)</f>
      </c>
    </row>
    <row r="249" spans="1:11" x14ac:dyDescent="0.25">
      <c r="A249" t="s">
        <v>22</v>
      </c>
      <c r="B249">
        <f>IF([@Bib]="","",XLOOKUP([@Bib],tblReg[Bib],tblReg[Field],""))</f>
      </c>
      <c r="C249">
        <f>IF([@Bib]="","",XLOOKUP([@Bib],tblReg[Bib],tblReg[FirstName],""))</f>
      </c>
      <c r="D249">
        <f>IF([@Bib]="","",XLOOKUP([@Bib],tblReg[Bib],tblReg[LastName],""))</f>
      </c>
      <c r="E249">
        <f>IF([@Bib]="","",XLOOKUP([@Bib],tblReg[Bib],tblReg[Team],""))</f>
      </c>
      <c r="F249" s="3" t="s">
        <v>22</v>
      </c>
      <c r="G249">
        <f>IF([@StageTime]="","",HOUR([@StageTime])*3600 + MINUTE([@StageTime])*60 + SECOND([@StageTime]))</f>
      </c>
      <c r="H249">
        <f>IF([@StageSeconds]="","",RANK([@StageSeconds],tblStage2[StageSeconds],1))</f>
      </c>
      <c r="I249">
        <f>IF([@Position]="",0,XLOOKUP([@Position],Config!tblBonus[Place],Config!tblBonus[Stage2BonusSec],0))</f>
      </c>
      <c r="J249">
        <f>IF([@StageSeconds]="","",[@StageSeconds]-[@BonusSeconds])</f>
      </c>
      <c r="K249" s="3">
        <f>IF([@NetSeconds]="","",[@NetSeconds]/86400)</f>
      </c>
    </row>
    <row r="250" spans="1:11" x14ac:dyDescent="0.25">
      <c r="A250" t="s">
        <v>22</v>
      </c>
      <c r="B250">
        <f>IF([@Bib]="","",XLOOKUP([@Bib],tblReg[Bib],tblReg[Field],""))</f>
      </c>
      <c r="C250">
        <f>IF([@Bib]="","",XLOOKUP([@Bib],tblReg[Bib],tblReg[FirstName],""))</f>
      </c>
      <c r="D250">
        <f>IF([@Bib]="","",XLOOKUP([@Bib],tblReg[Bib],tblReg[LastName],""))</f>
      </c>
      <c r="E250">
        <f>IF([@Bib]="","",XLOOKUP([@Bib],tblReg[Bib],tblReg[Team],""))</f>
      </c>
      <c r="F250" s="3" t="s">
        <v>22</v>
      </c>
      <c r="G250">
        <f>IF([@StageTime]="","",HOUR([@StageTime])*3600 + MINUTE([@StageTime])*60 + SECOND([@StageTime]))</f>
      </c>
      <c r="H250">
        <f>IF([@StageSeconds]="","",RANK([@StageSeconds],tblStage2[StageSeconds],1))</f>
      </c>
      <c r="I250">
        <f>IF([@Position]="",0,XLOOKUP([@Position],Config!tblBonus[Place],Config!tblBonus[Stage2BonusSec],0))</f>
      </c>
      <c r="J250">
        <f>IF([@StageSeconds]="","",[@StageSeconds]-[@BonusSeconds])</f>
      </c>
      <c r="K250" s="3">
        <f>IF([@NetSeconds]="","",[@NetSeconds]/86400)</f>
      </c>
    </row>
    <row r="251" spans="1:11" x14ac:dyDescent="0.25">
      <c r="A251" t="s">
        <v>22</v>
      </c>
      <c r="B251">
        <f>IF([@Bib]="","",XLOOKUP([@Bib],tblReg[Bib],tblReg[Field],""))</f>
      </c>
      <c r="C251">
        <f>IF([@Bib]="","",XLOOKUP([@Bib],tblReg[Bib],tblReg[FirstName],""))</f>
      </c>
      <c r="D251">
        <f>IF([@Bib]="","",XLOOKUP([@Bib],tblReg[Bib],tblReg[LastName],""))</f>
      </c>
      <c r="E251">
        <f>IF([@Bib]="","",XLOOKUP([@Bib],tblReg[Bib],tblReg[Team],""))</f>
      </c>
      <c r="F251" s="3" t="s">
        <v>22</v>
      </c>
      <c r="G251">
        <f>IF([@StageTime]="","",HOUR([@StageTime])*3600 + MINUTE([@StageTime])*60 + SECOND([@StageTime]))</f>
      </c>
      <c r="H251">
        <f>IF([@StageSeconds]="","",RANK([@StageSeconds],tblStage2[StageSeconds],1))</f>
      </c>
      <c r="I251">
        <f>IF([@Position]="",0,XLOOKUP([@Position],Config!tblBonus[Place],Config!tblBonus[Stage2BonusSec],0))</f>
      </c>
      <c r="J251">
        <f>IF([@StageSeconds]="","",[@StageSeconds]-[@BonusSeconds])</f>
      </c>
      <c r="K251" s="3">
        <f>IF([@NetSeconds]="","",[@NetSeconds]/86400)</f>
      </c>
    </row>
    <row r="270" spans="1:4" x14ac:dyDescent="0.25">
      <c r="A270" s="1" t="s">
        <v>30</v>
      </c>
      <c r="B270" s="1"/>
      <c r="C270" s="1"/>
      <c r="D270" s="1"/>
    </row>
    <row r="271" spans="1:1" x14ac:dyDescent="0.25">
      <c r="A271" t="s">
        <v>38</v>
      </c>
    </row>
    <row r="330" spans="1:4" x14ac:dyDescent="0.25">
      <c r="A330" s="1" t="s">
        <v>32</v>
      </c>
      <c r="B330" s="1"/>
      <c r="C330" s="1"/>
      <c r="D330" s="1"/>
    </row>
    <row r="331" spans="1:1" x14ac:dyDescent="0.25">
      <c r="A331" t="s">
        <v>39</v>
      </c>
    </row>
    <row r="390" spans="1:4" x14ac:dyDescent="0.25">
      <c r="A390" s="1" t="s">
        <v>34</v>
      </c>
      <c r="B390" s="1"/>
      <c r="C390" s="1"/>
      <c r="D390" s="1"/>
    </row>
    <row r="391" spans="1:1" x14ac:dyDescent="0.25">
      <c r="A391" t="s">
        <v>40</v>
      </c>
    </row>
    <row r="450" spans="1:4" x14ac:dyDescent="0.25">
      <c r="A450" s="1" t="s">
        <v>36</v>
      </c>
      <c r="B450" s="1"/>
      <c r="C450" s="1"/>
      <c r="D450" s="1"/>
    </row>
    <row r="451" spans="1:1" x14ac:dyDescent="0.25">
      <c r="A451" t="s">
        <v>41</v>
      </c>
    </row>
  </sheetData>
  <mergeCells count="4">
    <mergeCell ref="A270:D270"/>
    <mergeCell ref="A330:D330"/>
    <mergeCell ref="A390:D390"/>
    <mergeCell ref="A450:D450"/>
  </mergeCells>
  <dataValidations count="2">
    <dataValidation type="list" allowBlank="1" sqref="A10:A251">
      <formula1>=tblReg[Bib]</formula1>
    </dataValidation>
    <dataValidation type="list" allowBlank="1" sqref="A2:A251">
      <formula1>=tblReg[Bib]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8" customWidth="1"/>
    <col min="6" max="13" width="14" customWidth="1"/>
  </cols>
  <sheetData>
    <row r="1" spans="1:11" x14ac:dyDescent="0.25">
      <c r="A1" t="s">
        <v>15</v>
      </c>
      <c r="B1" t="s">
        <v>18</v>
      </c>
      <c r="C1" t="s">
        <v>16</v>
      </c>
      <c r="D1" t="s">
        <v>17</v>
      </c>
      <c r="E1" t="s">
        <v>19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22</v>
      </c>
      <c r="B2">
        <f>IF([@Bib]="","",XLOOKUP([@Bib],tblReg[Bib],tblReg[Field],""))</f>
      </c>
      <c r="C2">
        <f>IF([@Bib]="","",XLOOKUP([@Bib],tblReg[Bib],tblReg[FirstName],""))</f>
      </c>
      <c r="D2">
        <f>IF([@Bib]="","",XLOOKUP([@Bib],tblReg[Bib],tblReg[LastName],""))</f>
      </c>
      <c r="E2">
        <f>IF([@Bib]="","",XLOOKUP([@Bib],tblReg[Bib],tblReg[Team],""))</f>
      </c>
      <c r="F2" s="3" t="s">
        <v>22</v>
      </c>
      <c r="G2">
        <f>IF([@StageTime]="","",HOUR([@StageTime])*3600 + MINUTE([@StageTime])*60 + SECOND([@StageTime]))</f>
      </c>
      <c r="H2">
        <f>IF([@StageSeconds]="","",RANK([@StageSeconds],tblStage3[StageSeconds],1))</f>
      </c>
      <c r="I2">
        <f>IF([@Position]="",0,XLOOKUP([@Position],Config!tblBonus[Place],Config!tblBonus[Stage3BonusSec],0))</f>
      </c>
      <c r="J2">
        <f>IF([@StageSeconds]="","",[@StageSeconds]-[@BonusSeconds])</f>
      </c>
      <c r="K2" s="3">
        <f>IF([@NetSeconds]="","",[@NetSeconds]/86400)</f>
      </c>
    </row>
    <row r="3" spans="1:11" x14ac:dyDescent="0.25">
      <c r="A3" t="s">
        <v>22</v>
      </c>
      <c r="B3">
        <f>IF([@Bib]="","",XLOOKUP([@Bib],tblReg[Bib],tblReg[Field],""))</f>
      </c>
      <c r="C3">
        <f>IF([@Bib]="","",XLOOKUP([@Bib],tblReg[Bib],tblReg[FirstName],""))</f>
      </c>
      <c r="D3">
        <f>IF([@Bib]="","",XLOOKUP([@Bib],tblReg[Bib],tblReg[LastName],""))</f>
      </c>
      <c r="E3">
        <f>IF([@Bib]="","",XLOOKUP([@Bib],tblReg[Bib],tblReg[Team],""))</f>
      </c>
      <c r="F3" s="3" t="s">
        <v>22</v>
      </c>
      <c r="G3">
        <f>IF([@StageTime]="","",HOUR([@StageTime])*3600 + MINUTE([@StageTime])*60 + SECOND([@StageTime]))</f>
      </c>
      <c r="H3">
        <f>IF([@StageSeconds]="","",RANK([@StageSeconds],tblStage3[StageSeconds],1))</f>
      </c>
      <c r="I3">
        <f>IF([@Position]="",0,XLOOKUP([@Position],Config!tblBonus[Place],Config!tblBonus[Stage3BonusSec],0))</f>
      </c>
      <c r="J3">
        <f>IF([@StageSeconds]="","",[@StageSeconds]-[@BonusSeconds])</f>
      </c>
      <c r="K3" s="3">
        <f>IF([@NetSeconds]="","",[@NetSeconds]/86400)</f>
      </c>
    </row>
    <row r="4" spans="1:11" x14ac:dyDescent="0.25">
      <c r="A4" t="s">
        <v>22</v>
      </c>
      <c r="B4">
        <f>IF([@Bib]="","",XLOOKUP([@Bib],tblReg[Bib],tblReg[Field],""))</f>
      </c>
      <c r="C4">
        <f>IF([@Bib]="","",XLOOKUP([@Bib],tblReg[Bib],tblReg[FirstName],""))</f>
      </c>
      <c r="D4">
        <f>IF([@Bib]="","",XLOOKUP([@Bib],tblReg[Bib],tblReg[LastName],""))</f>
      </c>
      <c r="E4">
        <f>IF([@Bib]="","",XLOOKUP([@Bib],tblReg[Bib],tblReg[Team],""))</f>
      </c>
      <c r="F4" s="3" t="s">
        <v>22</v>
      </c>
      <c r="G4">
        <f>IF([@StageTime]="","",HOUR([@StageTime])*3600 + MINUTE([@StageTime])*60 + SECOND([@StageTime]))</f>
      </c>
      <c r="H4">
        <f>IF([@StageSeconds]="","",RANK([@StageSeconds],tblStage3[StageSeconds],1))</f>
      </c>
      <c r="I4">
        <f>IF([@Position]="",0,XLOOKUP([@Position],Config!tblBonus[Place],Config!tblBonus[Stage3BonusSec],0))</f>
      </c>
      <c r="J4">
        <f>IF([@StageSeconds]="","",[@StageSeconds]-[@BonusSeconds])</f>
      </c>
      <c r="K4" s="3">
        <f>IF([@NetSeconds]="","",[@NetSeconds]/86400)</f>
      </c>
    </row>
    <row r="5" spans="1:11" x14ac:dyDescent="0.25">
      <c r="A5" t="s">
        <v>22</v>
      </c>
      <c r="B5">
        <f>IF([@Bib]="","",XLOOKUP([@Bib],tblReg[Bib],tblReg[Field],""))</f>
      </c>
      <c r="C5">
        <f>IF([@Bib]="","",XLOOKUP([@Bib],tblReg[Bib],tblReg[FirstName],""))</f>
      </c>
      <c r="D5">
        <f>IF([@Bib]="","",XLOOKUP([@Bib],tblReg[Bib],tblReg[LastName],""))</f>
      </c>
      <c r="E5">
        <f>IF([@Bib]="","",XLOOKUP([@Bib],tblReg[Bib],tblReg[Team],""))</f>
      </c>
      <c r="F5" s="3" t="s">
        <v>22</v>
      </c>
      <c r="G5">
        <f>IF([@StageTime]="","",HOUR([@StageTime])*3600 + MINUTE([@StageTime])*60 + SECOND([@StageTime]))</f>
      </c>
      <c r="H5">
        <f>IF([@StageSeconds]="","",RANK([@StageSeconds],tblStage3[StageSeconds],1))</f>
      </c>
      <c r="I5">
        <f>IF([@Position]="",0,XLOOKUP([@Position],Config!tblBonus[Place],Config!tblBonus[Stage3BonusSec],0))</f>
      </c>
      <c r="J5">
        <f>IF([@StageSeconds]="","",[@StageSeconds]-[@BonusSeconds])</f>
      </c>
      <c r="K5" s="3">
        <f>IF([@NetSeconds]="","",[@NetSeconds]/86400)</f>
      </c>
    </row>
    <row r="6" spans="1:11" x14ac:dyDescent="0.25">
      <c r="A6" t="s">
        <v>22</v>
      </c>
      <c r="B6">
        <f>IF([@Bib]="","",XLOOKUP([@Bib],tblReg[Bib],tblReg[Field],""))</f>
      </c>
      <c r="C6">
        <f>IF([@Bib]="","",XLOOKUP([@Bib],tblReg[Bib],tblReg[FirstName],""))</f>
      </c>
      <c r="D6">
        <f>IF([@Bib]="","",XLOOKUP([@Bib],tblReg[Bib],tblReg[LastName],""))</f>
      </c>
      <c r="E6">
        <f>IF([@Bib]="","",XLOOKUP([@Bib],tblReg[Bib],tblReg[Team],""))</f>
      </c>
      <c r="F6" s="3" t="s">
        <v>22</v>
      </c>
      <c r="G6">
        <f>IF([@StageTime]="","",HOUR([@StageTime])*3600 + MINUTE([@StageTime])*60 + SECOND([@StageTime]))</f>
      </c>
      <c r="H6">
        <f>IF([@StageSeconds]="","",RANK([@StageSeconds],tblStage3[StageSeconds],1))</f>
      </c>
      <c r="I6">
        <f>IF([@Position]="",0,XLOOKUP([@Position],Config!tblBonus[Place],Config!tblBonus[Stage3BonusSec],0))</f>
      </c>
      <c r="J6">
        <f>IF([@StageSeconds]="","",[@StageSeconds]-[@BonusSeconds])</f>
      </c>
      <c r="K6" s="3">
        <f>IF([@NetSeconds]="","",[@NetSeconds]/86400)</f>
      </c>
    </row>
    <row r="7" spans="1:11" x14ac:dyDescent="0.25">
      <c r="A7" t="s">
        <v>22</v>
      </c>
      <c r="B7">
        <f>IF([@Bib]="","",XLOOKUP([@Bib],tblReg[Bib],tblReg[Field],""))</f>
      </c>
      <c r="C7">
        <f>IF([@Bib]="","",XLOOKUP([@Bib],tblReg[Bib],tblReg[FirstName],""))</f>
      </c>
      <c r="D7">
        <f>IF([@Bib]="","",XLOOKUP([@Bib],tblReg[Bib],tblReg[LastName],""))</f>
      </c>
      <c r="E7">
        <f>IF([@Bib]="","",XLOOKUP([@Bib],tblReg[Bib],tblReg[Team],""))</f>
      </c>
      <c r="F7" s="3" t="s">
        <v>22</v>
      </c>
      <c r="G7">
        <f>IF([@StageTime]="","",HOUR([@StageTime])*3600 + MINUTE([@StageTime])*60 + SECOND([@StageTime]))</f>
      </c>
      <c r="H7">
        <f>IF([@StageSeconds]="","",RANK([@StageSeconds],tblStage3[StageSeconds],1))</f>
      </c>
      <c r="I7">
        <f>IF([@Position]="",0,XLOOKUP([@Position],Config!tblBonus[Place],Config!tblBonus[Stage3BonusSec],0))</f>
      </c>
      <c r="J7">
        <f>IF([@StageSeconds]="","",[@StageSeconds]-[@BonusSeconds])</f>
      </c>
      <c r="K7" s="3">
        <f>IF([@NetSeconds]="","",[@NetSeconds]/86400)</f>
      </c>
    </row>
    <row r="8" spans="1:11" x14ac:dyDescent="0.25">
      <c r="A8" t="s">
        <v>22</v>
      </c>
      <c r="B8">
        <f>IF([@Bib]="","",XLOOKUP([@Bib],tblReg[Bib],tblReg[Field],""))</f>
      </c>
      <c r="C8">
        <f>IF([@Bib]="","",XLOOKUP([@Bib],tblReg[Bib],tblReg[FirstName],""))</f>
      </c>
      <c r="D8">
        <f>IF([@Bib]="","",XLOOKUP([@Bib],tblReg[Bib],tblReg[LastName],""))</f>
      </c>
      <c r="E8">
        <f>IF([@Bib]="","",XLOOKUP([@Bib],tblReg[Bib],tblReg[Team],""))</f>
      </c>
      <c r="F8" s="3" t="s">
        <v>22</v>
      </c>
      <c r="G8">
        <f>IF([@StageTime]="","",HOUR([@StageTime])*3600 + MINUTE([@StageTime])*60 + SECOND([@StageTime]))</f>
      </c>
      <c r="H8">
        <f>IF([@StageSeconds]="","",RANK([@StageSeconds],tblStage3[StageSeconds],1))</f>
      </c>
      <c r="I8">
        <f>IF([@Position]="",0,XLOOKUP([@Position],Config!tblBonus[Place],Config!tblBonus[Stage3BonusSec],0))</f>
      </c>
      <c r="J8">
        <f>IF([@StageSeconds]="","",[@StageSeconds]-[@BonusSeconds])</f>
      </c>
      <c r="K8" s="3">
        <f>IF([@NetSeconds]="","",[@NetSeconds]/86400)</f>
      </c>
    </row>
    <row r="9" spans="1:11" x14ac:dyDescent="0.25">
      <c r="A9" t="s">
        <v>22</v>
      </c>
      <c r="B9">
        <f>IF([@Bib]="","",XLOOKUP([@Bib],tblReg[Bib],tblReg[Field],""))</f>
      </c>
      <c r="C9">
        <f>IF([@Bib]="","",XLOOKUP([@Bib],tblReg[Bib],tblReg[FirstName],""))</f>
      </c>
      <c r="D9">
        <f>IF([@Bib]="","",XLOOKUP([@Bib],tblReg[Bib],tblReg[LastName],""))</f>
      </c>
      <c r="E9">
        <f>IF([@Bib]="","",XLOOKUP([@Bib],tblReg[Bib],tblReg[Team],""))</f>
      </c>
      <c r="F9" s="3" t="s">
        <v>22</v>
      </c>
      <c r="G9">
        <f>IF([@StageTime]="","",HOUR([@StageTime])*3600 + MINUTE([@StageTime])*60 + SECOND([@StageTime]))</f>
      </c>
      <c r="H9">
        <f>IF([@StageSeconds]="","",RANK([@StageSeconds],tblStage3[StageSeconds],1))</f>
      </c>
      <c r="I9">
        <f>IF([@Position]="",0,XLOOKUP([@Position],Config!tblBonus[Place],Config!tblBonus[Stage3BonusSec],0))</f>
      </c>
      <c r="J9">
        <f>IF([@StageSeconds]="","",[@StageSeconds]-[@BonusSeconds])</f>
      </c>
      <c r="K9" s="3">
        <f>IF([@NetSeconds]="","",[@NetSeconds]/86400)</f>
      </c>
    </row>
    <row r="10" spans="1:11" x14ac:dyDescent="0.25">
      <c r="A10" t="s">
        <v>22</v>
      </c>
      <c r="B10">
        <f>IF([@Bib]="","",XLOOKUP([@Bib],tblReg[Bib],tblReg[Field],""))</f>
      </c>
      <c r="C10">
        <f>IF([@Bib]="","",XLOOKUP([@Bib],tblReg[Bib],tblReg[FirstName],""))</f>
      </c>
      <c r="D10">
        <f>IF([@Bib]="","",XLOOKUP([@Bib],tblReg[Bib],tblReg[LastName],""))</f>
      </c>
      <c r="E10">
        <f>IF([@Bib]="","",XLOOKUP([@Bib],tblReg[Bib],tblReg[Team],""))</f>
      </c>
      <c r="F10" s="3" t="s">
        <v>22</v>
      </c>
      <c r="G10">
        <f>IF([@StageTime]="","",HOUR([@StageTime])*3600 + MINUTE([@StageTime])*60 + SECOND([@StageTime]))</f>
      </c>
      <c r="H10">
        <f>IF([@StageSeconds]="","",RANK([@StageSeconds],tblStage3[StageSeconds],1))</f>
      </c>
      <c r="I10">
        <f>IF([@Position]="",0,XLOOKUP([@Position],Config!tblBonus[Place],Config!tblBonus[Stage3BonusSec],0))</f>
      </c>
      <c r="J10">
        <f>IF([@StageSeconds]="","",[@StageSeconds]-[@BonusSeconds])</f>
      </c>
      <c r="K10" s="3">
        <f>IF([@NetSeconds]="","",[@NetSeconds]/86400)</f>
      </c>
    </row>
    <row r="11" spans="1:11" x14ac:dyDescent="0.25">
      <c r="A11" t="s">
        <v>22</v>
      </c>
      <c r="B11">
        <f>IF([@Bib]="","",XLOOKUP([@Bib],tblReg[Bib],tblReg[Field],""))</f>
      </c>
      <c r="C11">
        <f>IF([@Bib]="","",XLOOKUP([@Bib],tblReg[Bib],tblReg[FirstName],""))</f>
      </c>
      <c r="D11">
        <f>IF([@Bib]="","",XLOOKUP([@Bib],tblReg[Bib],tblReg[LastName],""))</f>
      </c>
      <c r="E11">
        <f>IF([@Bib]="","",XLOOKUP([@Bib],tblReg[Bib],tblReg[Team],""))</f>
      </c>
      <c r="F11" s="3" t="s">
        <v>22</v>
      </c>
      <c r="G11">
        <f>IF([@StageTime]="","",HOUR([@StageTime])*3600 + MINUTE([@StageTime])*60 + SECOND([@StageTime]))</f>
      </c>
      <c r="H11">
        <f>IF([@StageSeconds]="","",RANK([@StageSeconds],tblStage3[StageSeconds],1))</f>
      </c>
      <c r="I11">
        <f>IF([@Position]="",0,XLOOKUP([@Position],Config!tblBonus[Place],Config!tblBonus[Stage3BonusSec],0))</f>
      </c>
      <c r="J11">
        <f>IF([@StageSeconds]="","",[@StageSeconds]-[@BonusSeconds])</f>
      </c>
      <c r="K11" s="3">
        <f>IF([@NetSeconds]="","",[@NetSeconds]/86400)</f>
      </c>
    </row>
    <row r="12" spans="1:11" x14ac:dyDescent="0.25">
      <c r="A12" t="s">
        <v>22</v>
      </c>
      <c r="B12">
        <f>IF([@Bib]="","",XLOOKUP([@Bib],tblReg[Bib],tblReg[Field],""))</f>
      </c>
      <c r="C12">
        <f>IF([@Bib]="","",XLOOKUP([@Bib],tblReg[Bib],tblReg[FirstName],""))</f>
      </c>
      <c r="D12">
        <f>IF([@Bib]="","",XLOOKUP([@Bib],tblReg[Bib],tblReg[LastName],""))</f>
      </c>
      <c r="E12">
        <f>IF([@Bib]="","",XLOOKUP([@Bib],tblReg[Bib],tblReg[Team],""))</f>
      </c>
      <c r="F12" s="3" t="s">
        <v>22</v>
      </c>
      <c r="G12">
        <f>IF([@StageTime]="","",HOUR([@StageTime])*3600 + MINUTE([@StageTime])*60 + SECOND([@StageTime]))</f>
      </c>
      <c r="H12">
        <f>IF([@StageSeconds]="","",RANK([@StageSeconds],tblStage3[StageSeconds],1))</f>
      </c>
      <c r="I12">
        <f>IF([@Position]="",0,XLOOKUP([@Position],Config!tblBonus[Place],Config!tblBonus[Stage3BonusSec],0))</f>
      </c>
      <c r="J12">
        <f>IF([@StageSeconds]="","",[@StageSeconds]-[@BonusSeconds])</f>
      </c>
      <c r="K12" s="3">
        <f>IF([@NetSeconds]="","",[@NetSeconds]/86400)</f>
      </c>
    </row>
    <row r="13" spans="1:11" x14ac:dyDescent="0.25">
      <c r="A13" t="s">
        <v>22</v>
      </c>
      <c r="B13">
        <f>IF([@Bib]="","",XLOOKUP([@Bib],tblReg[Bib],tblReg[Field],""))</f>
      </c>
      <c r="C13">
        <f>IF([@Bib]="","",XLOOKUP([@Bib],tblReg[Bib],tblReg[FirstName],""))</f>
      </c>
      <c r="D13">
        <f>IF([@Bib]="","",XLOOKUP([@Bib],tblReg[Bib],tblReg[LastName],""))</f>
      </c>
      <c r="E13">
        <f>IF([@Bib]="","",XLOOKUP([@Bib],tblReg[Bib],tblReg[Team],""))</f>
      </c>
      <c r="F13" s="3" t="s">
        <v>22</v>
      </c>
      <c r="G13">
        <f>IF([@StageTime]="","",HOUR([@StageTime])*3600 + MINUTE([@StageTime])*60 + SECOND([@StageTime]))</f>
      </c>
      <c r="H13">
        <f>IF([@StageSeconds]="","",RANK([@StageSeconds],tblStage3[StageSeconds],1))</f>
      </c>
      <c r="I13">
        <f>IF([@Position]="",0,XLOOKUP([@Position],Config!tblBonus[Place],Config!tblBonus[Stage3BonusSec],0))</f>
      </c>
      <c r="J13">
        <f>IF([@StageSeconds]="","",[@StageSeconds]-[@BonusSeconds])</f>
      </c>
      <c r="K13" s="3">
        <f>IF([@NetSeconds]="","",[@NetSeconds]/86400)</f>
      </c>
    </row>
    <row r="14" spans="1:11" x14ac:dyDescent="0.25">
      <c r="A14" t="s">
        <v>22</v>
      </c>
      <c r="B14">
        <f>IF([@Bib]="","",XLOOKUP([@Bib],tblReg[Bib],tblReg[Field],""))</f>
      </c>
      <c r="C14">
        <f>IF([@Bib]="","",XLOOKUP([@Bib],tblReg[Bib],tblReg[FirstName],""))</f>
      </c>
      <c r="D14">
        <f>IF([@Bib]="","",XLOOKUP([@Bib],tblReg[Bib],tblReg[LastName],""))</f>
      </c>
      <c r="E14">
        <f>IF([@Bib]="","",XLOOKUP([@Bib],tblReg[Bib],tblReg[Team],""))</f>
      </c>
      <c r="F14" s="3" t="s">
        <v>22</v>
      </c>
      <c r="G14">
        <f>IF([@StageTime]="","",HOUR([@StageTime])*3600 + MINUTE([@StageTime])*60 + SECOND([@StageTime]))</f>
      </c>
      <c r="H14">
        <f>IF([@StageSeconds]="","",RANK([@StageSeconds],tblStage3[StageSeconds],1))</f>
      </c>
      <c r="I14">
        <f>IF([@Position]="",0,XLOOKUP([@Position],Config!tblBonus[Place],Config!tblBonus[Stage3BonusSec],0))</f>
      </c>
      <c r="J14">
        <f>IF([@StageSeconds]="","",[@StageSeconds]-[@BonusSeconds])</f>
      </c>
      <c r="K14" s="3">
        <f>IF([@NetSeconds]="","",[@NetSeconds]/86400)</f>
      </c>
    </row>
    <row r="15" spans="1:11" x14ac:dyDescent="0.25">
      <c r="A15" t="s">
        <v>22</v>
      </c>
      <c r="B15">
        <f>IF([@Bib]="","",XLOOKUP([@Bib],tblReg[Bib],tblReg[Field],""))</f>
      </c>
      <c r="C15">
        <f>IF([@Bib]="","",XLOOKUP([@Bib],tblReg[Bib],tblReg[FirstName],""))</f>
      </c>
      <c r="D15">
        <f>IF([@Bib]="","",XLOOKUP([@Bib],tblReg[Bib],tblReg[LastName],""))</f>
      </c>
      <c r="E15">
        <f>IF([@Bib]="","",XLOOKUP([@Bib],tblReg[Bib],tblReg[Team],""))</f>
      </c>
      <c r="F15" s="3" t="s">
        <v>22</v>
      </c>
      <c r="G15">
        <f>IF([@StageTime]="","",HOUR([@StageTime])*3600 + MINUTE([@StageTime])*60 + SECOND([@StageTime]))</f>
      </c>
      <c r="H15">
        <f>IF([@StageSeconds]="","",RANK([@StageSeconds],tblStage3[StageSeconds],1))</f>
      </c>
      <c r="I15">
        <f>IF([@Position]="",0,XLOOKUP([@Position],Config!tblBonus[Place],Config!tblBonus[Stage3BonusSec],0))</f>
      </c>
      <c r="J15">
        <f>IF([@StageSeconds]="","",[@StageSeconds]-[@BonusSeconds])</f>
      </c>
      <c r="K15" s="3">
        <f>IF([@NetSeconds]="","",[@NetSeconds]/86400)</f>
      </c>
    </row>
    <row r="16" spans="1:11" x14ac:dyDescent="0.25">
      <c r="A16" t="s">
        <v>22</v>
      </c>
      <c r="B16">
        <f>IF([@Bib]="","",XLOOKUP([@Bib],tblReg[Bib],tblReg[Field],""))</f>
      </c>
      <c r="C16">
        <f>IF([@Bib]="","",XLOOKUP([@Bib],tblReg[Bib],tblReg[FirstName],""))</f>
      </c>
      <c r="D16">
        <f>IF([@Bib]="","",XLOOKUP([@Bib],tblReg[Bib],tblReg[LastName],""))</f>
      </c>
      <c r="E16">
        <f>IF([@Bib]="","",XLOOKUP([@Bib],tblReg[Bib],tblReg[Team],""))</f>
      </c>
      <c r="F16" s="3" t="s">
        <v>22</v>
      </c>
      <c r="G16">
        <f>IF([@StageTime]="","",HOUR([@StageTime])*3600 + MINUTE([@StageTime])*60 + SECOND([@StageTime]))</f>
      </c>
      <c r="H16">
        <f>IF([@StageSeconds]="","",RANK([@StageSeconds],tblStage3[StageSeconds],1))</f>
      </c>
      <c r="I16">
        <f>IF([@Position]="",0,XLOOKUP([@Position],Config!tblBonus[Place],Config!tblBonus[Stage3BonusSec],0))</f>
      </c>
      <c r="J16">
        <f>IF([@StageSeconds]="","",[@StageSeconds]-[@BonusSeconds])</f>
      </c>
      <c r="K16" s="3">
        <f>IF([@NetSeconds]="","",[@NetSeconds]/86400)</f>
      </c>
    </row>
    <row r="17" spans="1:11" x14ac:dyDescent="0.25">
      <c r="A17" t="s">
        <v>22</v>
      </c>
      <c r="B17">
        <f>IF([@Bib]="","",XLOOKUP([@Bib],tblReg[Bib],tblReg[Field],""))</f>
      </c>
      <c r="C17">
        <f>IF([@Bib]="","",XLOOKUP([@Bib],tblReg[Bib],tblReg[FirstName],""))</f>
      </c>
      <c r="D17">
        <f>IF([@Bib]="","",XLOOKUP([@Bib],tblReg[Bib],tblReg[LastName],""))</f>
      </c>
      <c r="E17">
        <f>IF([@Bib]="","",XLOOKUP([@Bib],tblReg[Bib],tblReg[Team],""))</f>
      </c>
      <c r="F17" s="3" t="s">
        <v>22</v>
      </c>
      <c r="G17">
        <f>IF([@StageTime]="","",HOUR([@StageTime])*3600 + MINUTE([@StageTime])*60 + SECOND([@StageTime]))</f>
      </c>
      <c r="H17">
        <f>IF([@StageSeconds]="","",RANK([@StageSeconds],tblStage3[StageSeconds],1))</f>
      </c>
      <c r="I17">
        <f>IF([@Position]="",0,XLOOKUP([@Position],Config!tblBonus[Place],Config!tblBonus[Stage3BonusSec],0))</f>
      </c>
      <c r="J17">
        <f>IF([@StageSeconds]="","",[@StageSeconds]-[@BonusSeconds])</f>
      </c>
      <c r="K17" s="3">
        <f>IF([@NetSeconds]="","",[@NetSeconds]/86400)</f>
      </c>
    </row>
    <row r="18" spans="1:11" x14ac:dyDescent="0.25">
      <c r="A18" t="s">
        <v>22</v>
      </c>
      <c r="B18">
        <f>IF([@Bib]="","",XLOOKUP([@Bib],tblReg[Bib],tblReg[Field],""))</f>
      </c>
      <c r="C18">
        <f>IF([@Bib]="","",XLOOKUP([@Bib],tblReg[Bib],tblReg[FirstName],""))</f>
      </c>
      <c r="D18">
        <f>IF([@Bib]="","",XLOOKUP([@Bib],tblReg[Bib],tblReg[LastName],""))</f>
      </c>
      <c r="E18">
        <f>IF([@Bib]="","",XLOOKUP([@Bib],tblReg[Bib],tblReg[Team],""))</f>
      </c>
      <c r="F18" s="3" t="s">
        <v>22</v>
      </c>
      <c r="G18">
        <f>IF([@StageTime]="","",HOUR([@StageTime])*3600 + MINUTE([@StageTime])*60 + SECOND([@StageTime]))</f>
      </c>
      <c r="H18">
        <f>IF([@StageSeconds]="","",RANK([@StageSeconds],tblStage3[StageSeconds],1))</f>
      </c>
      <c r="I18">
        <f>IF([@Position]="",0,XLOOKUP([@Position],Config!tblBonus[Place],Config!tblBonus[Stage3BonusSec],0))</f>
      </c>
      <c r="J18">
        <f>IF([@StageSeconds]="","",[@StageSeconds]-[@BonusSeconds])</f>
      </c>
      <c r="K18" s="3">
        <f>IF([@NetSeconds]="","",[@NetSeconds]/86400)</f>
      </c>
    </row>
    <row r="19" spans="1:11" x14ac:dyDescent="0.25">
      <c r="A19" t="s">
        <v>22</v>
      </c>
      <c r="B19">
        <f>IF([@Bib]="","",XLOOKUP([@Bib],tblReg[Bib],tblReg[Field],""))</f>
      </c>
      <c r="C19">
        <f>IF([@Bib]="","",XLOOKUP([@Bib],tblReg[Bib],tblReg[FirstName],""))</f>
      </c>
      <c r="D19">
        <f>IF([@Bib]="","",XLOOKUP([@Bib],tblReg[Bib],tblReg[LastName],""))</f>
      </c>
      <c r="E19">
        <f>IF([@Bib]="","",XLOOKUP([@Bib],tblReg[Bib],tblReg[Team],""))</f>
      </c>
      <c r="F19" s="3" t="s">
        <v>22</v>
      </c>
      <c r="G19">
        <f>IF([@StageTime]="","",HOUR([@StageTime])*3600 + MINUTE([@StageTime])*60 + SECOND([@StageTime]))</f>
      </c>
      <c r="H19">
        <f>IF([@StageSeconds]="","",RANK([@StageSeconds],tblStage3[StageSeconds],1))</f>
      </c>
      <c r="I19">
        <f>IF([@Position]="",0,XLOOKUP([@Position],Config!tblBonus[Place],Config!tblBonus[Stage3BonusSec],0))</f>
      </c>
      <c r="J19">
        <f>IF([@StageSeconds]="","",[@StageSeconds]-[@BonusSeconds])</f>
      </c>
      <c r="K19" s="3">
        <f>IF([@NetSeconds]="","",[@NetSeconds]/86400)</f>
      </c>
    </row>
    <row r="20" spans="1:11" x14ac:dyDescent="0.25">
      <c r="A20" t="s">
        <v>22</v>
      </c>
      <c r="B20">
        <f>IF([@Bib]="","",XLOOKUP([@Bib],tblReg[Bib],tblReg[Field],""))</f>
      </c>
      <c r="C20">
        <f>IF([@Bib]="","",XLOOKUP([@Bib],tblReg[Bib],tblReg[FirstName],""))</f>
      </c>
      <c r="D20">
        <f>IF([@Bib]="","",XLOOKUP([@Bib],tblReg[Bib],tblReg[LastName],""))</f>
      </c>
      <c r="E20">
        <f>IF([@Bib]="","",XLOOKUP([@Bib],tblReg[Bib],tblReg[Team],""))</f>
      </c>
      <c r="F20" s="3" t="s">
        <v>22</v>
      </c>
      <c r="G20">
        <f>IF([@StageTime]="","",HOUR([@StageTime])*3600 + MINUTE([@StageTime])*60 + SECOND([@StageTime]))</f>
      </c>
      <c r="H20">
        <f>IF([@StageSeconds]="","",RANK([@StageSeconds],tblStage3[StageSeconds],1))</f>
      </c>
      <c r="I20">
        <f>IF([@Position]="",0,XLOOKUP([@Position],Config!tblBonus[Place],Config!tblBonus[Stage3BonusSec],0))</f>
      </c>
      <c r="J20">
        <f>IF([@StageSeconds]="","",[@StageSeconds]-[@BonusSeconds])</f>
      </c>
      <c r="K20" s="3">
        <f>IF([@NetSeconds]="","",[@NetSeconds]/86400)</f>
      </c>
    </row>
    <row r="21" spans="1:11" x14ac:dyDescent="0.25">
      <c r="A21" t="s">
        <v>22</v>
      </c>
      <c r="B21">
        <f>IF([@Bib]="","",XLOOKUP([@Bib],tblReg[Bib],tblReg[Field],""))</f>
      </c>
      <c r="C21">
        <f>IF([@Bib]="","",XLOOKUP([@Bib],tblReg[Bib],tblReg[FirstName],""))</f>
      </c>
      <c r="D21">
        <f>IF([@Bib]="","",XLOOKUP([@Bib],tblReg[Bib],tblReg[LastName],""))</f>
      </c>
      <c r="E21">
        <f>IF([@Bib]="","",XLOOKUP([@Bib],tblReg[Bib],tblReg[Team],""))</f>
      </c>
      <c r="F21" s="3" t="s">
        <v>22</v>
      </c>
      <c r="G21">
        <f>IF([@StageTime]="","",HOUR([@StageTime])*3600 + MINUTE([@StageTime])*60 + SECOND([@StageTime]))</f>
      </c>
      <c r="H21">
        <f>IF([@StageSeconds]="","",RANK([@StageSeconds],tblStage3[StageSeconds],1))</f>
      </c>
      <c r="I21">
        <f>IF([@Position]="",0,XLOOKUP([@Position],Config!tblBonus[Place],Config!tblBonus[Stage3BonusSec],0))</f>
      </c>
      <c r="J21">
        <f>IF([@StageSeconds]="","",[@StageSeconds]-[@BonusSeconds])</f>
      </c>
      <c r="K21" s="3">
        <f>IF([@NetSeconds]="","",[@NetSeconds]/86400)</f>
      </c>
    </row>
    <row r="22" spans="1:11" x14ac:dyDescent="0.25">
      <c r="A22" t="s">
        <v>22</v>
      </c>
      <c r="B22">
        <f>IF([@Bib]="","",XLOOKUP([@Bib],tblReg[Bib],tblReg[Field],""))</f>
      </c>
      <c r="C22">
        <f>IF([@Bib]="","",XLOOKUP([@Bib],tblReg[Bib],tblReg[FirstName],""))</f>
      </c>
      <c r="D22">
        <f>IF([@Bib]="","",XLOOKUP([@Bib],tblReg[Bib],tblReg[LastName],""))</f>
      </c>
      <c r="E22">
        <f>IF([@Bib]="","",XLOOKUP([@Bib],tblReg[Bib],tblReg[Team],""))</f>
      </c>
      <c r="F22" s="3" t="s">
        <v>22</v>
      </c>
      <c r="G22">
        <f>IF([@StageTime]="","",HOUR([@StageTime])*3600 + MINUTE([@StageTime])*60 + SECOND([@StageTime]))</f>
      </c>
      <c r="H22">
        <f>IF([@StageSeconds]="","",RANK([@StageSeconds],tblStage3[StageSeconds],1))</f>
      </c>
      <c r="I22">
        <f>IF([@Position]="",0,XLOOKUP([@Position],Config!tblBonus[Place],Config!tblBonus[Stage3BonusSec],0))</f>
      </c>
      <c r="J22">
        <f>IF([@StageSeconds]="","",[@StageSeconds]-[@BonusSeconds])</f>
      </c>
      <c r="K22" s="3">
        <f>IF([@NetSeconds]="","",[@NetSeconds]/86400)</f>
      </c>
    </row>
    <row r="23" spans="1:11" x14ac:dyDescent="0.25">
      <c r="A23" t="s">
        <v>22</v>
      </c>
      <c r="B23">
        <f>IF([@Bib]="","",XLOOKUP([@Bib],tblReg[Bib],tblReg[Field],""))</f>
      </c>
      <c r="C23">
        <f>IF([@Bib]="","",XLOOKUP([@Bib],tblReg[Bib],tblReg[FirstName],""))</f>
      </c>
      <c r="D23">
        <f>IF([@Bib]="","",XLOOKUP([@Bib],tblReg[Bib],tblReg[LastName],""))</f>
      </c>
      <c r="E23">
        <f>IF([@Bib]="","",XLOOKUP([@Bib],tblReg[Bib],tblReg[Team],""))</f>
      </c>
      <c r="F23" s="3" t="s">
        <v>22</v>
      </c>
      <c r="G23">
        <f>IF([@StageTime]="","",HOUR([@StageTime])*3600 + MINUTE([@StageTime])*60 + SECOND([@StageTime]))</f>
      </c>
      <c r="H23">
        <f>IF([@StageSeconds]="","",RANK([@StageSeconds],tblStage3[StageSeconds],1))</f>
      </c>
      <c r="I23">
        <f>IF([@Position]="",0,XLOOKUP([@Position],Config!tblBonus[Place],Config!tblBonus[Stage3BonusSec],0))</f>
      </c>
      <c r="J23">
        <f>IF([@StageSeconds]="","",[@StageSeconds]-[@BonusSeconds])</f>
      </c>
      <c r="K23" s="3">
        <f>IF([@NetSeconds]="","",[@NetSeconds]/86400)</f>
      </c>
    </row>
    <row r="24" spans="1:11" x14ac:dyDescent="0.25">
      <c r="A24" t="s">
        <v>22</v>
      </c>
      <c r="B24">
        <f>IF([@Bib]="","",XLOOKUP([@Bib],tblReg[Bib],tblReg[Field],""))</f>
      </c>
      <c r="C24">
        <f>IF([@Bib]="","",XLOOKUP([@Bib],tblReg[Bib],tblReg[FirstName],""))</f>
      </c>
      <c r="D24">
        <f>IF([@Bib]="","",XLOOKUP([@Bib],tblReg[Bib],tblReg[LastName],""))</f>
      </c>
      <c r="E24">
        <f>IF([@Bib]="","",XLOOKUP([@Bib],tblReg[Bib],tblReg[Team],""))</f>
      </c>
      <c r="F24" s="3" t="s">
        <v>22</v>
      </c>
      <c r="G24">
        <f>IF([@StageTime]="","",HOUR([@StageTime])*3600 + MINUTE([@StageTime])*60 + SECOND([@StageTime]))</f>
      </c>
      <c r="H24">
        <f>IF([@StageSeconds]="","",RANK([@StageSeconds],tblStage3[StageSeconds],1))</f>
      </c>
      <c r="I24">
        <f>IF([@Position]="",0,XLOOKUP([@Position],Config!tblBonus[Place],Config!tblBonus[Stage3BonusSec],0))</f>
      </c>
      <c r="J24">
        <f>IF([@StageSeconds]="","",[@StageSeconds]-[@BonusSeconds])</f>
      </c>
      <c r="K24" s="3">
        <f>IF([@NetSeconds]="","",[@NetSeconds]/86400)</f>
      </c>
    </row>
    <row r="25" spans="1:11" x14ac:dyDescent="0.25">
      <c r="A25" t="s">
        <v>22</v>
      </c>
      <c r="B25">
        <f>IF([@Bib]="","",XLOOKUP([@Bib],tblReg[Bib],tblReg[Field],""))</f>
      </c>
      <c r="C25">
        <f>IF([@Bib]="","",XLOOKUP([@Bib],tblReg[Bib],tblReg[FirstName],""))</f>
      </c>
      <c r="D25">
        <f>IF([@Bib]="","",XLOOKUP([@Bib],tblReg[Bib],tblReg[LastName],""))</f>
      </c>
      <c r="E25">
        <f>IF([@Bib]="","",XLOOKUP([@Bib],tblReg[Bib],tblReg[Team],""))</f>
      </c>
      <c r="F25" s="3" t="s">
        <v>22</v>
      </c>
      <c r="G25">
        <f>IF([@StageTime]="","",HOUR([@StageTime])*3600 + MINUTE([@StageTime])*60 + SECOND([@StageTime]))</f>
      </c>
      <c r="H25">
        <f>IF([@StageSeconds]="","",RANK([@StageSeconds],tblStage3[StageSeconds],1))</f>
      </c>
      <c r="I25">
        <f>IF([@Position]="",0,XLOOKUP([@Position],Config!tblBonus[Place],Config!tblBonus[Stage3BonusSec],0))</f>
      </c>
      <c r="J25">
        <f>IF([@StageSeconds]="","",[@StageSeconds]-[@BonusSeconds])</f>
      </c>
      <c r="K25" s="3">
        <f>IF([@NetSeconds]="","",[@NetSeconds]/86400)</f>
      </c>
    </row>
    <row r="26" spans="1:11" x14ac:dyDescent="0.25">
      <c r="A26" t="s">
        <v>22</v>
      </c>
      <c r="B26">
        <f>IF([@Bib]="","",XLOOKUP([@Bib],tblReg[Bib],tblReg[Field],""))</f>
      </c>
      <c r="C26">
        <f>IF([@Bib]="","",XLOOKUP([@Bib],tblReg[Bib],tblReg[FirstName],""))</f>
      </c>
      <c r="D26">
        <f>IF([@Bib]="","",XLOOKUP([@Bib],tblReg[Bib],tblReg[LastName],""))</f>
      </c>
      <c r="E26">
        <f>IF([@Bib]="","",XLOOKUP([@Bib],tblReg[Bib],tblReg[Team],""))</f>
      </c>
      <c r="F26" s="3" t="s">
        <v>22</v>
      </c>
      <c r="G26">
        <f>IF([@StageTime]="","",HOUR([@StageTime])*3600 + MINUTE([@StageTime])*60 + SECOND([@StageTime]))</f>
      </c>
      <c r="H26">
        <f>IF([@StageSeconds]="","",RANK([@StageSeconds],tblStage3[StageSeconds],1))</f>
      </c>
      <c r="I26">
        <f>IF([@Position]="",0,XLOOKUP([@Position],Config!tblBonus[Place],Config!tblBonus[Stage3BonusSec],0))</f>
      </c>
      <c r="J26">
        <f>IF([@StageSeconds]="","",[@StageSeconds]-[@BonusSeconds])</f>
      </c>
      <c r="K26" s="3">
        <f>IF([@NetSeconds]="","",[@NetSeconds]/86400)</f>
      </c>
    </row>
    <row r="27" spans="1:11" x14ac:dyDescent="0.25">
      <c r="A27" t="s">
        <v>22</v>
      </c>
      <c r="B27">
        <f>IF([@Bib]="","",XLOOKUP([@Bib],tblReg[Bib],tblReg[Field],""))</f>
      </c>
      <c r="C27">
        <f>IF([@Bib]="","",XLOOKUP([@Bib],tblReg[Bib],tblReg[FirstName],""))</f>
      </c>
      <c r="D27">
        <f>IF([@Bib]="","",XLOOKUP([@Bib],tblReg[Bib],tblReg[LastName],""))</f>
      </c>
      <c r="E27">
        <f>IF([@Bib]="","",XLOOKUP([@Bib],tblReg[Bib],tblReg[Team],""))</f>
      </c>
      <c r="F27" s="3" t="s">
        <v>22</v>
      </c>
      <c r="G27">
        <f>IF([@StageTime]="","",HOUR([@StageTime])*3600 + MINUTE([@StageTime])*60 + SECOND([@StageTime]))</f>
      </c>
      <c r="H27">
        <f>IF([@StageSeconds]="","",RANK([@StageSeconds],tblStage3[StageSeconds],1))</f>
      </c>
      <c r="I27">
        <f>IF([@Position]="",0,XLOOKUP([@Position],Config!tblBonus[Place],Config!tblBonus[Stage3BonusSec],0))</f>
      </c>
      <c r="J27">
        <f>IF([@StageSeconds]="","",[@StageSeconds]-[@BonusSeconds])</f>
      </c>
      <c r="K27" s="3">
        <f>IF([@NetSeconds]="","",[@NetSeconds]/86400)</f>
      </c>
    </row>
    <row r="28" spans="1:11" x14ac:dyDescent="0.25">
      <c r="A28" t="s">
        <v>22</v>
      </c>
      <c r="B28">
        <f>IF([@Bib]="","",XLOOKUP([@Bib],tblReg[Bib],tblReg[Field],""))</f>
      </c>
      <c r="C28">
        <f>IF([@Bib]="","",XLOOKUP([@Bib],tblReg[Bib],tblReg[FirstName],""))</f>
      </c>
      <c r="D28">
        <f>IF([@Bib]="","",XLOOKUP([@Bib],tblReg[Bib],tblReg[LastName],""))</f>
      </c>
      <c r="E28">
        <f>IF([@Bib]="","",XLOOKUP([@Bib],tblReg[Bib],tblReg[Team],""))</f>
      </c>
      <c r="F28" s="3" t="s">
        <v>22</v>
      </c>
      <c r="G28">
        <f>IF([@StageTime]="","",HOUR([@StageTime])*3600 + MINUTE([@StageTime])*60 + SECOND([@StageTime]))</f>
      </c>
      <c r="H28">
        <f>IF([@StageSeconds]="","",RANK([@StageSeconds],tblStage3[StageSeconds],1))</f>
      </c>
      <c r="I28">
        <f>IF([@Position]="",0,XLOOKUP([@Position],Config!tblBonus[Place],Config!tblBonus[Stage3BonusSec],0))</f>
      </c>
      <c r="J28">
        <f>IF([@StageSeconds]="","",[@StageSeconds]-[@BonusSeconds])</f>
      </c>
      <c r="K28" s="3">
        <f>IF([@NetSeconds]="","",[@NetSeconds]/86400)</f>
      </c>
    </row>
    <row r="29" spans="1:11" x14ac:dyDescent="0.25">
      <c r="A29" t="s">
        <v>22</v>
      </c>
      <c r="B29">
        <f>IF([@Bib]="","",XLOOKUP([@Bib],tblReg[Bib],tblReg[Field],""))</f>
      </c>
      <c r="C29">
        <f>IF([@Bib]="","",XLOOKUP([@Bib],tblReg[Bib],tblReg[FirstName],""))</f>
      </c>
      <c r="D29">
        <f>IF([@Bib]="","",XLOOKUP([@Bib],tblReg[Bib],tblReg[LastName],""))</f>
      </c>
      <c r="E29">
        <f>IF([@Bib]="","",XLOOKUP([@Bib],tblReg[Bib],tblReg[Team],""))</f>
      </c>
      <c r="F29" s="3" t="s">
        <v>22</v>
      </c>
      <c r="G29">
        <f>IF([@StageTime]="","",HOUR([@StageTime])*3600 + MINUTE([@StageTime])*60 + SECOND([@StageTime]))</f>
      </c>
      <c r="H29">
        <f>IF([@StageSeconds]="","",RANK([@StageSeconds],tblStage3[StageSeconds],1))</f>
      </c>
      <c r="I29">
        <f>IF([@Position]="",0,XLOOKUP([@Position],Config!tblBonus[Place],Config!tblBonus[Stage3BonusSec],0))</f>
      </c>
      <c r="J29">
        <f>IF([@StageSeconds]="","",[@StageSeconds]-[@BonusSeconds])</f>
      </c>
      <c r="K29" s="3">
        <f>IF([@NetSeconds]="","",[@NetSeconds]/86400)</f>
      </c>
    </row>
    <row r="30" spans="1:11" x14ac:dyDescent="0.25">
      <c r="A30" t="s">
        <v>22</v>
      </c>
      <c r="B30">
        <f>IF([@Bib]="","",XLOOKUP([@Bib],tblReg[Bib],tblReg[Field],""))</f>
      </c>
      <c r="C30">
        <f>IF([@Bib]="","",XLOOKUP([@Bib],tblReg[Bib],tblReg[FirstName],""))</f>
      </c>
      <c r="D30">
        <f>IF([@Bib]="","",XLOOKUP([@Bib],tblReg[Bib],tblReg[LastName],""))</f>
      </c>
      <c r="E30">
        <f>IF([@Bib]="","",XLOOKUP([@Bib],tblReg[Bib],tblReg[Team],""))</f>
      </c>
      <c r="F30" s="3" t="s">
        <v>22</v>
      </c>
      <c r="G30">
        <f>IF([@StageTime]="","",HOUR([@StageTime])*3600 + MINUTE([@StageTime])*60 + SECOND([@StageTime]))</f>
      </c>
      <c r="H30">
        <f>IF([@StageSeconds]="","",RANK([@StageSeconds],tblStage3[StageSeconds],1))</f>
      </c>
      <c r="I30">
        <f>IF([@Position]="",0,XLOOKUP([@Position],Config!tblBonus[Place],Config!tblBonus[Stage3BonusSec],0))</f>
      </c>
      <c r="J30">
        <f>IF([@StageSeconds]="","",[@StageSeconds]-[@BonusSeconds])</f>
      </c>
      <c r="K30" s="3">
        <f>IF([@NetSeconds]="","",[@NetSeconds]/86400)</f>
      </c>
    </row>
    <row r="31" spans="1:11" x14ac:dyDescent="0.25">
      <c r="A31" t="s">
        <v>22</v>
      </c>
      <c r="B31">
        <f>IF([@Bib]="","",XLOOKUP([@Bib],tblReg[Bib],tblReg[Field],""))</f>
      </c>
      <c r="C31">
        <f>IF([@Bib]="","",XLOOKUP([@Bib],tblReg[Bib],tblReg[FirstName],""))</f>
      </c>
      <c r="D31">
        <f>IF([@Bib]="","",XLOOKUP([@Bib],tblReg[Bib],tblReg[LastName],""))</f>
      </c>
      <c r="E31">
        <f>IF([@Bib]="","",XLOOKUP([@Bib],tblReg[Bib],tblReg[Team],""))</f>
      </c>
      <c r="F31" s="3" t="s">
        <v>22</v>
      </c>
      <c r="G31">
        <f>IF([@StageTime]="","",HOUR([@StageTime])*3600 + MINUTE([@StageTime])*60 + SECOND([@StageTime]))</f>
      </c>
      <c r="H31">
        <f>IF([@StageSeconds]="","",RANK([@StageSeconds],tblStage3[StageSeconds],1))</f>
      </c>
      <c r="I31">
        <f>IF([@Position]="",0,XLOOKUP([@Position],Config!tblBonus[Place],Config!tblBonus[Stage3BonusSec],0))</f>
      </c>
      <c r="J31">
        <f>IF([@StageSeconds]="","",[@StageSeconds]-[@BonusSeconds])</f>
      </c>
      <c r="K31" s="3">
        <f>IF([@NetSeconds]="","",[@NetSeconds]/86400)</f>
      </c>
    </row>
    <row r="32" spans="1:11" x14ac:dyDescent="0.25">
      <c r="A32" t="s">
        <v>22</v>
      </c>
      <c r="B32">
        <f>IF([@Bib]="","",XLOOKUP([@Bib],tblReg[Bib],tblReg[Field],""))</f>
      </c>
      <c r="C32">
        <f>IF([@Bib]="","",XLOOKUP([@Bib],tblReg[Bib],tblReg[FirstName],""))</f>
      </c>
      <c r="D32">
        <f>IF([@Bib]="","",XLOOKUP([@Bib],tblReg[Bib],tblReg[LastName],""))</f>
      </c>
      <c r="E32">
        <f>IF([@Bib]="","",XLOOKUP([@Bib],tblReg[Bib],tblReg[Team],""))</f>
      </c>
      <c r="F32" s="3" t="s">
        <v>22</v>
      </c>
      <c r="G32">
        <f>IF([@StageTime]="","",HOUR([@StageTime])*3600 + MINUTE([@StageTime])*60 + SECOND([@StageTime]))</f>
      </c>
      <c r="H32">
        <f>IF([@StageSeconds]="","",RANK([@StageSeconds],tblStage3[StageSeconds],1))</f>
      </c>
      <c r="I32">
        <f>IF([@Position]="",0,XLOOKUP([@Position],Config!tblBonus[Place],Config!tblBonus[Stage3BonusSec],0))</f>
      </c>
      <c r="J32">
        <f>IF([@StageSeconds]="","",[@StageSeconds]-[@BonusSeconds])</f>
      </c>
      <c r="K32" s="3">
        <f>IF([@NetSeconds]="","",[@NetSeconds]/86400)</f>
      </c>
    </row>
    <row r="33" spans="1:11" x14ac:dyDescent="0.25">
      <c r="A33" t="s">
        <v>22</v>
      </c>
      <c r="B33">
        <f>IF([@Bib]="","",XLOOKUP([@Bib],tblReg[Bib],tblReg[Field],""))</f>
      </c>
      <c r="C33">
        <f>IF([@Bib]="","",XLOOKUP([@Bib],tblReg[Bib],tblReg[FirstName],""))</f>
      </c>
      <c r="D33">
        <f>IF([@Bib]="","",XLOOKUP([@Bib],tblReg[Bib],tblReg[LastName],""))</f>
      </c>
      <c r="E33">
        <f>IF([@Bib]="","",XLOOKUP([@Bib],tblReg[Bib],tblReg[Team],""))</f>
      </c>
      <c r="F33" s="3" t="s">
        <v>22</v>
      </c>
      <c r="G33">
        <f>IF([@StageTime]="","",HOUR([@StageTime])*3600 + MINUTE([@StageTime])*60 + SECOND([@StageTime]))</f>
      </c>
      <c r="H33">
        <f>IF([@StageSeconds]="","",RANK([@StageSeconds],tblStage3[StageSeconds],1))</f>
      </c>
      <c r="I33">
        <f>IF([@Position]="",0,XLOOKUP([@Position],Config!tblBonus[Place],Config!tblBonus[Stage3BonusSec],0))</f>
      </c>
      <c r="J33">
        <f>IF([@StageSeconds]="","",[@StageSeconds]-[@BonusSeconds])</f>
      </c>
      <c r="K33" s="3">
        <f>IF([@NetSeconds]="","",[@NetSeconds]/86400)</f>
      </c>
    </row>
    <row r="34" spans="1:11" x14ac:dyDescent="0.25">
      <c r="A34" t="s">
        <v>22</v>
      </c>
      <c r="B34">
        <f>IF([@Bib]="","",XLOOKUP([@Bib],tblReg[Bib],tblReg[Field],""))</f>
      </c>
      <c r="C34">
        <f>IF([@Bib]="","",XLOOKUP([@Bib],tblReg[Bib],tblReg[FirstName],""))</f>
      </c>
      <c r="D34">
        <f>IF([@Bib]="","",XLOOKUP([@Bib],tblReg[Bib],tblReg[LastName],""))</f>
      </c>
      <c r="E34">
        <f>IF([@Bib]="","",XLOOKUP([@Bib],tblReg[Bib],tblReg[Team],""))</f>
      </c>
      <c r="F34" s="3" t="s">
        <v>22</v>
      </c>
      <c r="G34">
        <f>IF([@StageTime]="","",HOUR([@StageTime])*3600 + MINUTE([@StageTime])*60 + SECOND([@StageTime]))</f>
      </c>
      <c r="H34">
        <f>IF([@StageSeconds]="","",RANK([@StageSeconds],tblStage3[StageSeconds],1))</f>
      </c>
      <c r="I34">
        <f>IF([@Position]="",0,XLOOKUP([@Position],Config!tblBonus[Place],Config!tblBonus[Stage3BonusSec],0))</f>
      </c>
      <c r="J34">
        <f>IF([@StageSeconds]="","",[@StageSeconds]-[@BonusSeconds])</f>
      </c>
      <c r="K34" s="3">
        <f>IF([@NetSeconds]="","",[@NetSeconds]/86400)</f>
      </c>
    </row>
    <row r="35" spans="1:11" x14ac:dyDescent="0.25">
      <c r="A35" t="s">
        <v>22</v>
      </c>
      <c r="B35">
        <f>IF([@Bib]="","",XLOOKUP([@Bib],tblReg[Bib],tblReg[Field],""))</f>
      </c>
      <c r="C35">
        <f>IF([@Bib]="","",XLOOKUP([@Bib],tblReg[Bib],tblReg[FirstName],""))</f>
      </c>
      <c r="D35">
        <f>IF([@Bib]="","",XLOOKUP([@Bib],tblReg[Bib],tblReg[LastName],""))</f>
      </c>
      <c r="E35">
        <f>IF([@Bib]="","",XLOOKUP([@Bib],tblReg[Bib],tblReg[Team],""))</f>
      </c>
      <c r="F35" s="3" t="s">
        <v>22</v>
      </c>
      <c r="G35">
        <f>IF([@StageTime]="","",HOUR([@StageTime])*3600 + MINUTE([@StageTime])*60 + SECOND([@StageTime]))</f>
      </c>
      <c r="H35">
        <f>IF([@StageSeconds]="","",RANK([@StageSeconds],tblStage3[StageSeconds],1))</f>
      </c>
      <c r="I35">
        <f>IF([@Position]="",0,XLOOKUP([@Position],Config!tblBonus[Place],Config!tblBonus[Stage3BonusSec],0))</f>
      </c>
      <c r="J35">
        <f>IF([@StageSeconds]="","",[@StageSeconds]-[@BonusSeconds])</f>
      </c>
      <c r="K35" s="3">
        <f>IF([@NetSeconds]="","",[@NetSeconds]/86400)</f>
      </c>
    </row>
    <row r="36" spans="1:11" x14ac:dyDescent="0.25">
      <c r="A36" t="s">
        <v>22</v>
      </c>
      <c r="B36">
        <f>IF([@Bib]="","",XLOOKUP([@Bib],tblReg[Bib],tblReg[Field],""))</f>
      </c>
      <c r="C36">
        <f>IF([@Bib]="","",XLOOKUP([@Bib],tblReg[Bib],tblReg[FirstName],""))</f>
      </c>
      <c r="D36">
        <f>IF([@Bib]="","",XLOOKUP([@Bib],tblReg[Bib],tblReg[LastName],""))</f>
      </c>
      <c r="E36">
        <f>IF([@Bib]="","",XLOOKUP([@Bib],tblReg[Bib],tblReg[Team],""))</f>
      </c>
      <c r="F36" s="3" t="s">
        <v>22</v>
      </c>
      <c r="G36">
        <f>IF([@StageTime]="","",HOUR([@StageTime])*3600 + MINUTE([@StageTime])*60 + SECOND([@StageTime]))</f>
      </c>
      <c r="H36">
        <f>IF([@StageSeconds]="","",RANK([@StageSeconds],tblStage3[StageSeconds],1))</f>
      </c>
      <c r="I36">
        <f>IF([@Position]="",0,XLOOKUP([@Position],Config!tblBonus[Place],Config!tblBonus[Stage3BonusSec],0))</f>
      </c>
      <c r="J36">
        <f>IF([@StageSeconds]="","",[@StageSeconds]-[@BonusSeconds])</f>
      </c>
      <c r="K36" s="3">
        <f>IF([@NetSeconds]="","",[@NetSeconds]/86400)</f>
      </c>
    </row>
    <row r="37" spans="1:11" x14ac:dyDescent="0.25">
      <c r="A37" t="s">
        <v>22</v>
      </c>
      <c r="B37">
        <f>IF([@Bib]="","",XLOOKUP([@Bib],tblReg[Bib],tblReg[Field],""))</f>
      </c>
      <c r="C37">
        <f>IF([@Bib]="","",XLOOKUP([@Bib],tblReg[Bib],tblReg[FirstName],""))</f>
      </c>
      <c r="D37">
        <f>IF([@Bib]="","",XLOOKUP([@Bib],tblReg[Bib],tblReg[LastName],""))</f>
      </c>
      <c r="E37">
        <f>IF([@Bib]="","",XLOOKUP([@Bib],tblReg[Bib],tblReg[Team],""))</f>
      </c>
      <c r="F37" s="3" t="s">
        <v>22</v>
      </c>
      <c r="G37">
        <f>IF([@StageTime]="","",HOUR([@StageTime])*3600 + MINUTE([@StageTime])*60 + SECOND([@StageTime]))</f>
      </c>
      <c r="H37">
        <f>IF([@StageSeconds]="","",RANK([@StageSeconds],tblStage3[StageSeconds],1))</f>
      </c>
      <c r="I37">
        <f>IF([@Position]="",0,XLOOKUP([@Position],Config!tblBonus[Place],Config!tblBonus[Stage3BonusSec],0))</f>
      </c>
      <c r="J37">
        <f>IF([@StageSeconds]="","",[@StageSeconds]-[@BonusSeconds])</f>
      </c>
      <c r="K37" s="3">
        <f>IF([@NetSeconds]="","",[@NetSeconds]/86400)</f>
      </c>
    </row>
    <row r="38" spans="1:11" x14ac:dyDescent="0.25">
      <c r="A38" t="s">
        <v>22</v>
      </c>
      <c r="B38">
        <f>IF([@Bib]="","",XLOOKUP([@Bib],tblReg[Bib],tblReg[Field],""))</f>
      </c>
      <c r="C38">
        <f>IF([@Bib]="","",XLOOKUP([@Bib],tblReg[Bib],tblReg[FirstName],""))</f>
      </c>
      <c r="D38">
        <f>IF([@Bib]="","",XLOOKUP([@Bib],tblReg[Bib],tblReg[LastName],""))</f>
      </c>
      <c r="E38">
        <f>IF([@Bib]="","",XLOOKUP([@Bib],tblReg[Bib],tblReg[Team],""))</f>
      </c>
      <c r="F38" s="3" t="s">
        <v>22</v>
      </c>
      <c r="G38">
        <f>IF([@StageTime]="","",HOUR([@StageTime])*3600 + MINUTE([@StageTime])*60 + SECOND([@StageTime]))</f>
      </c>
      <c r="H38">
        <f>IF([@StageSeconds]="","",RANK([@StageSeconds],tblStage3[StageSeconds],1))</f>
      </c>
      <c r="I38">
        <f>IF([@Position]="",0,XLOOKUP([@Position],Config!tblBonus[Place],Config!tblBonus[Stage3BonusSec],0))</f>
      </c>
      <c r="J38">
        <f>IF([@StageSeconds]="","",[@StageSeconds]-[@BonusSeconds])</f>
      </c>
      <c r="K38" s="3">
        <f>IF([@NetSeconds]="","",[@NetSeconds]/86400)</f>
      </c>
    </row>
    <row r="39" spans="1:11" x14ac:dyDescent="0.25">
      <c r="A39" t="s">
        <v>22</v>
      </c>
      <c r="B39">
        <f>IF([@Bib]="","",XLOOKUP([@Bib],tblReg[Bib],tblReg[Field],""))</f>
      </c>
      <c r="C39">
        <f>IF([@Bib]="","",XLOOKUP([@Bib],tblReg[Bib],tblReg[FirstName],""))</f>
      </c>
      <c r="D39">
        <f>IF([@Bib]="","",XLOOKUP([@Bib],tblReg[Bib],tblReg[LastName],""))</f>
      </c>
      <c r="E39">
        <f>IF([@Bib]="","",XLOOKUP([@Bib],tblReg[Bib],tblReg[Team],""))</f>
      </c>
      <c r="F39" s="3" t="s">
        <v>22</v>
      </c>
      <c r="G39">
        <f>IF([@StageTime]="","",HOUR([@StageTime])*3600 + MINUTE([@StageTime])*60 + SECOND([@StageTime]))</f>
      </c>
      <c r="H39">
        <f>IF([@StageSeconds]="","",RANK([@StageSeconds],tblStage3[StageSeconds],1))</f>
      </c>
      <c r="I39">
        <f>IF([@Position]="",0,XLOOKUP([@Position],Config!tblBonus[Place],Config!tblBonus[Stage3BonusSec],0))</f>
      </c>
      <c r="J39">
        <f>IF([@StageSeconds]="","",[@StageSeconds]-[@BonusSeconds])</f>
      </c>
      <c r="K39" s="3">
        <f>IF([@NetSeconds]="","",[@NetSeconds]/86400)</f>
      </c>
    </row>
    <row r="40" spans="1:11" x14ac:dyDescent="0.25">
      <c r="A40" t="s">
        <v>22</v>
      </c>
      <c r="B40">
        <f>IF([@Bib]="","",XLOOKUP([@Bib],tblReg[Bib],tblReg[Field],""))</f>
      </c>
      <c r="C40">
        <f>IF([@Bib]="","",XLOOKUP([@Bib],tblReg[Bib],tblReg[FirstName],""))</f>
      </c>
      <c r="D40">
        <f>IF([@Bib]="","",XLOOKUP([@Bib],tblReg[Bib],tblReg[LastName],""))</f>
      </c>
      <c r="E40">
        <f>IF([@Bib]="","",XLOOKUP([@Bib],tblReg[Bib],tblReg[Team],""))</f>
      </c>
      <c r="F40" s="3" t="s">
        <v>22</v>
      </c>
      <c r="G40">
        <f>IF([@StageTime]="","",HOUR([@StageTime])*3600 + MINUTE([@StageTime])*60 + SECOND([@StageTime]))</f>
      </c>
      <c r="H40">
        <f>IF([@StageSeconds]="","",RANK([@StageSeconds],tblStage3[StageSeconds],1))</f>
      </c>
      <c r="I40">
        <f>IF([@Position]="",0,XLOOKUP([@Position],Config!tblBonus[Place],Config!tblBonus[Stage3BonusSec],0))</f>
      </c>
      <c r="J40">
        <f>IF([@StageSeconds]="","",[@StageSeconds]-[@BonusSeconds])</f>
      </c>
      <c r="K40" s="3">
        <f>IF([@NetSeconds]="","",[@NetSeconds]/86400)</f>
      </c>
    </row>
    <row r="41" spans="1:11" x14ac:dyDescent="0.25">
      <c r="A41" t="s">
        <v>22</v>
      </c>
      <c r="B41">
        <f>IF([@Bib]="","",XLOOKUP([@Bib],tblReg[Bib],tblReg[Field],""))</f>
      </c>
      <c r="C41">
        <f>IF([@Bib]="","",XLOOKUP([@Bib],tblReg[Bib],tblReg[FirstName],""))</f>
      </c>
      <c r="D41">
        <f>IF([@Bib]="","",XLOOKUP([@Bib],tblReg[Bib],tblReg[LastName],""))</f>
      </c>
      <c r="E41">
        <f>IF([@Bib]="","",XLOOKUP([@Bib],tblReg[Bib],tblReg[Team],""))</f>
      </c>
      <c r="F41" s="3" t="s">
        <v>22</v>
      </c>
      <c r="G41">
        <f>IF([@StageTime]="","",HOUR([@StageTime])*3600 + MINUTE([@StageTime])*60 + SECOND([@StageTime]))</f>
      </c>
      <c r="H41">
        <f>IF([@StageSeconds]="","",RANK([@StageSeconds],tblStage3[StageSeconds],1))</f>
      </c>
      <c r="I41">
        <f>IF([@Position]="",0,XLOOKUP([@Position],Config!tblBonus[Place],Config!tblBonus[Stage3BonusSec],0))</f>
      </c>
      <c r="J41">
        <f>IF([@StageSeconds]="","",[@StageSeconds]-[@BonusSeconds])</f>
      </c>
      <c r="K41" s="3">
        <f>IF([@NetSeconds]="","",[@NetSeconds]/86400)</f>
      </c>
    </row>
    <row r="42" spans="1:11" x14ac:dyDescent="0.25">
      <c r="A42" t="s">
        <v>22</v>
      </c>
      <c r="B42">
        <f>IF([@Bib]="","",XLOOKUP([@Bib],tblReg[Bib],tblReg[Field],""))</f>
      </c>
      <c r="C42">
        <f>IF([@Bib]="","",XLOOKUP([@Bib],tblReg[Bib],tblReg[FirstName],""))</f>
      </c>
      <c r="D42">
        <f>IF([@Bib]="","",XLOOKUP([@Bib],tblReg[Bib],tblReg[LastName],""))</f>
      </c>
      <c r="E42">
        <f>IF([@Bib]="","",XLOOKUP([@Bib],tblReg[Bib],tblReg[Team],""))</f>
      </c>
      <c r="F42" s="3" t="s">
        <v>22</v>
      </c>
      <c r="G42">
        <f>IF([@StageTime]="","",HOUR([@StageTime])*3600 + MINUTE([@StageTime])*60 + SECOND([@StageTime]))</f>
      </c>
      <c r="H42">
        <f>IF([@StageSeconds]="","",RANK([@StageSeconds],tblStage3[StageSeconds],1))</f>
      </c>
      <c r="I42">
        <f>IF([@Position]="",0,XLOOKUP([@Position],Config!tblBonus[Place],Config!tblBonus[Stage3BonusSec],0))</f>
      </c>
      <c r="J42">
        <f>IF([@StageSeconds]="","",[@StageSeconds]-[@BonusSeconds])</f>
      </c>
      <c r="K42" s="3">
        <f>IF([@NetSeconds]="","",[@NetSeconds]/86400)</f>
      </c>
    </row>
    <row r="43" spans="1:11" x14ac:dyDescent="0.25">
      <c r="A43" t="s">
        <v>22</v>
      </c>
      <c r="B43">
        <f>IF([@Bib]="","",XLOOKUP([@Bib],tblReg[Bib],tblReg[Field],""))</f>
      </c>
      <c r="C43">
        <f>IF([@Bib]="","",XLOOKUP([@Bib],tblReg[Bib],tblReg[FirstName],""))</f>
      </c>
      <c r="D43">
        <f>IF([@Bib]="","",XLOOKUP([@Bib],tblReg[Bib],tblReg[LastName],""))</f>
      </c>
      <c r="E43">
        <f>IF([@Bib]="","",XLOOKUP([@Bib],tblReg[Bib],tblReg[Team],""))</f>
      </c>
      <c r="F43" s="3" t="s">
        <v>22</v>
      </c>
      <c r="G43">
        <f>IF([@StageTime]="","",HOUR([@StageTime])*3600 + MINUTE([@StageTime])*60 + SECOND([@StageTime]))</f>
      </c>
      <c r="H43">
        <f>IF([@StageSeconds]="","",RANK([@StageSeconds],tblStage3[StageSeconds],1))</f>
      </c>
      <c r="I43">
        <f>IF([@Position]="",0,XLOOKUP([@Position],Config!tblBonus[Place],Config!tblBonus[Stage3BonusSec],0))</f>
      </c>
      <c r="J43">
        <f>IF([@StageSeconds]="","",[@StageSeconds]-[@BonusSeconds])</f>
      </c>
      <c r="K43" s="3">
        <f>IF([@NetSeconds]="","",[@NetSeconds]/86400)</f>
      </c>
    </row>
    <row r="44" spans="1:11" x14ac:dyDescent="0.25">
      <c r="A44" t="s">
        <v>22</v>
      </c>
      <c r="B44">
        <f>IF([@Bib]="","",XLOOKUP([@Bib],tblReg[Bib],tblReg[Field],""))</f>
      </c>
      <c r="C44">
        <f>IF([@Bib]="","",XLOOKUP([@Bib],tblReg[Bib],tblReg[FirstName],""))</f>
      </c>
      <c r="D44">
        <f>IF([@Bib]="","",XLOOKUP([@Bib],tblReg[Bib],tblReg[LastName],""))</f>
      </c>
      <c r="E44">
        <f>IF([@Bib]="","",XLOOKUP([@Bib],tblReg[Bib],tblReg[Team],""))</f>
      </c>
      <c r="F44" s="3" t="s">
        <v>22</v>
      </c>
      <c r="G44">
        <f>IF([@StageTime]="","",HOUR([@StageTime])*3600 + MINUTE([@StageTime])*60 + SECOND([@StageTime]))</f>
      </c>
      <c r="H44">
        <f>IF([@StageSeconds]="","",RANK([@StageSeconds],tblStage3[StageSeconds],1))</f>
      </c>
      <c r="I44">
        <f>IF([@Position]="",0,XLOOKUP([@Position],Config!tblBonus[Place],Config!tblBonus[Stage3BonusSec],0))</f>
      </c>
      <c r="J44">
        <f>IF([@StageSeconds]="","",[@StageSeconds]-[@BonusSeconds])</f>
      </c>
      <c r="K44" s="3">
        <f>IF([@NetSeconds]="","",[@NetSeconds]/86400)</f>
      </c>
    </row>
    <row r="45" spans="1:11" x14ac:dyDescent="0.25">
      <c r="A45" t="s">
        <v>22</v>
      </c>
      <c r="B45">
        <f>IF([@Bib]="","",XLOOKUP([@Bib],tblReg[Bib],tblReg[Field],""))</f>
      </c>
      <c r="C45">
        <f>IF([@Bib]="","",XLOOKUP([@Bib],tblReg[Bib],tblReg[FirstName],""))</f>
      </c>
      <c r="D45">
        <f>IF([@Bib]="","",XLOOKUP([@Bib],tblReg[Bib],tblReg[LastName],""))</f>
      </c>
      <c r="E45">
        <f>IF([@Bib]="","",XLOOKUP([@Bib],tblReg[Bib],tblReg[Team],""))</f>
      </c>
      <c r="F45" s="3" t="s">
        <v>22</v>
      </c>
      <c r="G45">
        <f>IF([@StageTime]="","",HOUR([@StageTime])*3600 + MINUTE([@StageTime])*60 + SECOND([@StageTime]))</f>
      </c>
      <c r="H45">
        <f>IF([@StageSeconds]="","",RANK([@StageSeconds],tblStage3[StageSeconds],1))</f>
      </c>
      <c r="I45">
        <f>IF([@Position]="",0,XLOOKUP([@Position],Config!tblBonus[Place],Config!tblBonus[Stage3BonusSec],0))</f>
      </c>
      <c r="J45">
        <f>IF([@StageSeconds]="","",[@StageSeconds]-[@BonusSeconds])</f>
      </c>
      <c r="K45" s="3">
        <f>IF([@NetSeconds]="","",[@NetSeconds]/86400)</f>
      </c>
    </row>
    <row r="46" spans="1:11" x14ac:dyDescent="0.25">
      <c r="A46" t="s">
        <v>22</v>
      </c>
      <c r="B46">
        <f>IF([@Bib]="","",XLOOKUP([@Bib],tblReg[Bib],tblReg[Field],""))</f>
      </c>
      <c r="C46">
        <f>IF([@Bib]="","",XLOOKUP([@Bib],tblReg[Bib],tblReg[FirstName],""))</f>
      </c>
      <c r="D46">
        <f>IF([@Bib]="","",XLOOKUP([@Bib],tblReg[Bib],tblReg[LastName],""))</f>
      </c>
      <c r="E46">
        <f>IF([@Bib]="","",XLOOKUP([@Bib],tblReg[Bib],tblReg[Team],""))</f>
      </c>
      <c r="F46" s="3" t="s">
        <v>22</v>
      </c>
      <c r="G46">
        <f>IF([@StageTime]="","",HOUR([@StageTime])*3600 + MINUTE([@StageTime])*60 + SECOND([@StageTime]))</f>
      </c>
      <c r="H46">
        <f>IF([@StageSeconds]="","",RANK([@StageSeconds],tblStage3[StageSeconds],1))</f>
      </c>
      <c r="I46">
        <f>IF([@Position]="",0,XLOOKUP([@Position],Config!tblBonus[Place],Config!tblBonus[Stage3BonusSec],0))</f>
      </c>
      <c r="J46">
        <f>IF([@StageSeconds]="","",[@StageSeconds]-[@BonusSeconds])</f>
      </c>
      <c r="K46" s="3">
        <f>IF([@NetSeconds]="","",[@NetSeconds]/86400)</f>
      </c>
    </row>
    <row r="47" spans="1:11" x14ac:dyDescent="0.25">
      <c r="A47" t="s">
        <v>22</v>
      </c>
      <c r="B47">
        <f>IF([@Bib]="","",XLOOKUP([@Bib],tblReg[Bib],tblReg[Field],""))</f>
      </c>
      <c r="C47">
        <f>IF([@Bib]="","",XLOOKUP([@Bib],tblReg[Bib],tblReg[FirstName],""))</f>
      </c>
      <c r="D47">
        <f>IF([@Bib]="","",XLOOKUP([@Bib],tblReg[Bib],tblReg[LastName],""))</f>
      </c>
      <c r="E47">
        <f>IF([@Bib]="","",XLOOKUP([@Bib],tblReg[Bib],tblReg[Team],""))</f>
      </c>
      <c r="F47" s="3" t="s">
        <v>22</v>
      </c>
      <c r="G47">
        <f>IF([@StageTime]="","",HOUR([@StageTime])*3600 + MINUTE([@StageTime])*60 + SECOND([@StageTime]))</f>
      </c>
      <c r="H47">
        <f>IF([@StageSeconds]="","",RANK([@StageSeconds],tblStage3[StageSeconds],1))</f>
      </c>
      <c r="I47">
        <f>IF([@Position]="",0,XLOOKUP([@Position],Config!tblBonus[Place],Config!tblBonus[Stage3BonusSec],0))</f>
      </c>
      <c r="J47">
        <f>IF([@StageSeconds]="","",[@StageSeconds]-[@BonusSeconds])</f>
      </c>
      <c r="K47" s="3">
        <f>IF([@NetSeconds]="","",[@NetSeconds]/86400)</f>
      </c>
    </row>
    <row r="48" spans="1:11" x14ac:dyDescent="0.25">
      <c r="A48" t="s">
        <v>22</v>
      </c>
      <c r="B48">
        <f>IF([@Bib]="","",XLOOKUP([@Bib],tblReg[Bib],tblReg[Field],""))</f>
      </c>
      <c r="C48">
        <f>IF([@Bib]="","",XLOOKUP([@Bib],tblReg[Bib],tblReg[FirstName],""))</f>
      </c>
      <c r="D48">
        <f>IF([@Bib]="","",XLOOKUP([@Bib],tblReg[Bib],tblReg[LastName],""))</f>
      </c>
      <c r="E48">
        <f>IF([@Bib]="","",XLOOKUP([@Bib],tblReg[Bib],tblReg[Team],""))</f>
      </c>
      <c r="F48" s="3" t="s">
        <v>22</v>
      </c>
      <c r="G48">
        <f>IF([@StageTime]="","",HOUR([@StageTime])*3600 + MINUTE([@StageTime])*60 + SECOND([@StageTime]))</f>
      </c>
      <c r="H48">
        <f>IF([@StageSeconds]="","",RANK([@StageSeconds],tblStage3[StageSeconds],1))</f>
      </c>
      <c r="I48">
        <f>IF([@Position]="",0,XLOOKUP([@Position],Config!tblBonus[Place],Config!tblBonus[Stage3BonusSec],0))</f>
      </c>
      <c r="J48">
        <f>IF([@StageSeconds]="","",[@StageSeconds]-[@BonusSeconds])</f>
      </c>
      <c r="K48" s="3">
        <f>IF([@NetSeconds]="","",[@NetSeconds]/86400)</f>
      </c>
    </row>
    <row r="49" spans="1:11" x14ac:dyDescent="0.25">
      <c r="A49" t="s">
        <v>22</v>
      </c>
      <c r="B49">
        <f>IF([@Bib]="","",XLOOKUP([@Bib],tblReg[Bib],tblReg[Field],""))</f>
      </c>
      <c r="C49">
        <f>IF([@Bib]="","",XLOOKUP([@Bib],tblReg[Bib],tblReg[FirstName],""))</f>
      </c>
      <c r="D49">
        <f>IF([@Bib]="","",XLOOKUP([@Bib],tblReg[Bib],tblReg[LastName],""))</f>
      </c>
      <c r="E49">
        <f>IF([@Bib]="","",XLOOKUP([@Bib],tblReg[Bib],tblReg[Team],""))</f>
      </c>
      <c r="F49" s="3" t="s">
        <v>22</v>
      </c>
      <c r="G49">
        <f>IF([@StageTime]="","",HOUR([@StageTime])*3600 + MINUTE([@StageTime])*60 + SECOND([@StageTime]))</f>
      </c>
      <c r="H49">
        <f>IF([@StageSeconds]="","",RANK([@StageSeconds],tblStage3[StageSeconds],1))</f>
      </c>
      <c r="I49">
        <f>IF([@Position]="",0,XLOOKUP([@Position],Config!tblBonus[Place],Config!tblBonus[Stage3BonusSec],0))</f>
      </c>
      <c r="J49">
        <f>IF([@StageSeconds]="","",[@StageSeconds]-[@BonusSeconds])</f>
      </c>
      <c r="K49" s="3">
        <f>IF([@NetSeconds]="","",[@NetSeconds]/86400)</f>
      </c>
    </row>
    <row r="50" spans="1:11" x14ac:dyDescent="0.25">
      <c r="A50" t="s">
        <v>22</v>
      </c>
      <c r="B50">
        <f>IF([@Bib]="","",XLOOKUP([@Bib],tblReg[Bib],tblReg[Field],""))</f>
      </c>
      <c r="C50">
        <f>IF([@Bib]="","",XLOOKUP([@Bib],tblReg[Bib],tblReg[FirstName],""))</f>
      </c>
      <c r="D50">
        <f>IF([@Bib]="","",XLOOKUP([@Bib],tblReg[Bib],tblReg[LastName],""))</f>
      </c>
      <c r="E50">
        <f>IF([@Bib]="","",XLOOKUP([@Bib],tblReg[Bib],tblReg[Team],""))</f>
      </c>
      <c r="F50" s="3" t="s">
        <v>22</v>
      </c>
      <c r="G50">
        <f>IF([@StageTime]="","",HOUR([@StageTime])*3600 + MINUTE([@StageTime])*60 + SECOND([@StageTime]))</f>
      </c>
      <c r="H50">
        <f>IF([@StageSeconds]="","",RANK([@StageSeconds],tblStage3[StageSeconds],1))</f>
      </c>
      <c r="I50">
        <f>IF([@Position]="",0,XLOOKUP([@Position],Config!tblBonus[Place],Config!tblBonus[Stage3BonusSec],0))</f>
      </c>
      <c r="J50">
        <f>IF([@StageSeconds]="","",[@StageSeconds]-[@BonusSeconds])</f>
      </c>
      <c r="K50" s="3">
        <f>IF([@NetSeconds]="","",[@NetSeconds]/86400)</f>
      </c>
    </row>
    <row r="51" spans="1:11" x14ac:dyDescent="0.25">
      <c r="A51" t="s">
        <v>22</v>
      </c>
      <c r="B51">
        <f>IF([@Bib]="","",XLOOKUP([@Bib],tblReg[Bib],tblReg[Field],""))</f>
      </c>
      <c r="C51">
        <f>IF([@Bib]="","",XLOOKUP([@Bib],tblReg[Bib],tblReg[FirstName],""))</f>
      </c>
      <c r="D51">
        <f>IF([@Bib]="","",XLOOKUP([@Bib],tblReg[Bib],tblReg[LastName],""))</f>
      </c>
      <c r="E51">
        <f>IF([@Bib]="","",XLOOKUP([@Bib],tblReg[Bib],tblReg[Team],""))</f>
      </c>
      <c r="F51" s="3" t="s">
        <v>22</v>
      </c>
      <c r="G51">
        <f>IF([@StageTime]="","",HOUR([@StageTime])*3600 + MINUTE([@StageTime])*60 + SECOND([@StageTime]))</f>
      </c>
      <c r="H51">
        <f>IF([@StageSeconds]="","",RANK([@StageSeconds],tblStage3[StageSeconds],1))</f>
      </c>
      <c r="I51">
        <f>IF([@Position]="",0,XLOOKUP([@Position],Config!tblBonus[Place],Config!tblBonus[Stage3BonusSec],0))</f>
      </c>
      <c r="J51">
        <f>IF([@StageSeconds]="","",[@StageSeconds]-[@BonusSeconds])</f>
      </c>
      <c r="K51" s="3">
        <f>IF([@NetSeconds]="","",[@NetSeconds]/86400)</f>
      </c>
    </row>
    <row r="52" spans="1:11" x14ac:dyDescent="0.25">
      <c r="A52" t="s">
        <v>22</v>
      </c>
      <c r="B52">
        <f>IF([@Bib]="","",XLOOKUP([@Bib],tblReg[Bib],tblReg[Field],""))</f>
      </c>
      <c r="C52">
        <f>IF([@Bib]="","",XLOOKUP([@Bib],tblReg[Bib],tblReg[FirstName],""))</f>
      </c>
      <c r="D52">
        <f>IF([@Bib]="","",XLOOKUP([@Bib],tblReg[Bib],tblReg[LastName],""))</f>
      </c>
      <c r="E52">
        <f>IF([@Bib]="","",XLOOKUP([@Bib],tblReg[Bib],tblReg[Team],""))</f>
      </c>
      <c r="F52" s="3" t="s">
        <v>22</v>
      </c>
      <c r="G52">
        <f>IF([@StageTime]="","",HOUR([@StageTime])*3600 + MINUTE([@StageTime])*60 + SECOND([@StageTime]))</f>
      </c>
      <c r="H52">
        <f>IF([@StageSeconds]="","",RANK([@StageSeconds],tblStage3[StageSeconds],1))</f>
      </c>
      <c r="I52">
        <f>IF([@Position]="",0,XLOOKUP([@Position],Config!tblBonus[Place],Config!tblBonus[Stage3BonusSec],0))</f>
      </c>
      <c r="J52">
        <f>IF([@StageSeconds]="","",[@StageSeconds]-[@BonusSeconds])</f>
      </c>
      <c r="K52" s="3">
        <f>IF([@NetSeconds]="","",[@NetSeconds]/86400)</f>
      </c>
    </row>
    <row r="53" spans="1:11" x14ac:dyDescent="0.25">
      <c r="A53" t="s">
        <v>22</v>
      </c>
      <c r="B53">
        <f>IF([@Bib]="","",XLOOKUP([@Bib],tblReg[Bib],tblReg[Field],""))</f>
      </c>
      <c r="C53">
        <f>IF([@Bib]="","",XLOOKUP([@Bib],tblReg[Bib],tblReg[FirstName],""))</f>
      </c>
      <c r="D53">
        <f>IF([@Bib]="","",XLOOKUP([@Bib],tblReg[Bib],tblReg[LastName],""))</f>
      </c>
      <c r="E53">
        <f>IF([@Bib]="","",XLOOKUP([@Bib],tblReg[Bib],tblReg[Team],""))</f>
      </c>
      <c r="F53" s="3" t="s">
        <v>22</v>
      </c>
      <c r="G53">
        <f>IF([@StageTime]="","",HOUR([@StageTime])*3600 + MINUTE([@StageTime])*60 + SECOND([@StageTime]))</f>
      </c>
      <c r="H53">
        <f>IF([@StageSeconds]="","",RANK([@StageSeconds],tblStage3[StageSeconds],1))</f>
      </c>
      <c r="I53">
        <f>IF([@Position]="",0,XLOOKUP([@Position],Config!tblBonus[Place],Config!tblBonus[Stage3BonusSec],0))</f>
      </c>
      <c r="J53">
        <f>IF([@StageSeconds]="","",[@StageSeconds]-[@BonusSeconds])</f>
      </c>
      <c r="K53" s="3">
        <f>IF([@NetSeconds]="","",[@NetSeconds]/86400)</f>
      </c>
    </row>
    <row r="54" spans="1:11" x14ac:dyDescent="0.25">
      <c r="A54" t="s">
        <v>22</v>
      </c>
      <c r="B54">
        <f>IF([@Bib]="","",XLOOKUP([@Bib],tblReg[Bib],tblReg[Field],""))</f>
      </c>
      <c r="C54">
        <f>IF([@Bib]="","",XLOOKUP([@Bib],tblReg[Bib],tblReg[FirstName],""))</f>
      </c>
      <c r="D54">
        <f>IF([@Bib]="","",XLOOKUP([@Bib],tblReg[Bib],tblReg[LastName],""))</f>
      </c>
      <c r="E54">
        <f>IF([@Bib]="","",XLOOKUP([@Bib],tblReg[Bib],tblReg[Team],""))</f>
      </c>
      <c r="F54" s="3" t="s">
        <v>22</v>
      </c>
      <c r="G54">
        <f>IF([@StageTime]="","",HOUR([@StageTime])*3600 + MINUTE([@StageTime])*60 + SECOND([@StageTime]))</f>
      </c>
      <c r="H54">
        <f>IF([@StageSeconds]="","",RANK([@StageSeconds],tblStage3[StageSeconds],1))</f>
      </c>
      <c r="I54">
        <f>IF([@Position]="",0,XLOOKUP([@Position],Config!tblBonus[Place],Config!tblBonus[Stage3BonusSec],0))</f>
      </c>
      <c r="J54">
        <f>IF([@StageSeconds]="","",[@StageSeconds]-[@BonusSeconds])</f>
      </c>
      <c r="K54" s="3">
        <f>IF([@NetSeconds]="","",[@NetSeconds]/86400)</f>
      </c>
    </row>
    <row r="55" spans="1:11" x14ac:dyDescent="0.25">
      <c r="A55" t="s">
        <v>22</v>
      </c>
      <c r="B55">
        <f>IF([@Bib]="","",XLOOKUP([@Bib],tblReg[Bib],tblReg[Field],""))</f>
      </c>
      <c r="C55">
        <f>IF([@Bib]="","",XLOOKUP([@Bib],tblReg[Bib],tblReg[FirstName],""))</f>
      </c>
      <c r="D55">
        <f>IF([@Bib]="","",XLOOKUP([@Bib],tblReg[Bib],tblReg[LastName],""))</f>
      </c>
      <c r="E55">
        <f>IF([@Bib]="","",XLOOKUP([@Bib],tblReg[Bib],tblReg[Team],""))</f>
      </c>
      <c r="F55" s="3" t="s">
        <v>22</v>
      </c>
      <c r="G55">
        <f>IF([@StageTime]="","",HOUR([@StageTime])*3600 + MINUTE([@StageTime])*60 + SECOND([@StageTime]))</f>
      </c>
      <c r="H55">
        <f>IF([@StageSeconds]="","",RANK([@StageSeconds],tblStage3[StageSeconds],1))</f>
      </c>
      <c r="I55">
        <f>IF([@Position]="",0,XLOOKUP([@Position],Config!tblBonus[Place],Config!tblBonus[Stage3BonusSec],0))</f>
      </c>
      <c r="J55">
        <f>IF([@StageSeconds]="","",[@StageSeconds]-[@BonusSeconds])</f>
      </c>
      <c r="K55" s="3">
        <f>IF([@NetSeconds]="","",[@NetSeconds]/86400)</f>
      </c>
    </row>
    <row r="56" spans="1:11" x14ac:dyDescent="0.25">
      <c r="A56" t="s">
        <v>22</v>
      </c>
      <c r="B56">
        <f>IF([@Bib]="","",XLOOKUP([@Bib],tblReg[Bib],tblReg[Field],""))</f>
      </c>
      <c r="C56">
        <f>IF([@Bib]="","",XLOOKUP([@Bib],tblReg[Bib],tblReg[FirstName],""))</f>
      </c>
      <c r="D56">
        <f>IF([@Bib]="","",XLOOKUP([@Bib],tblReg[Bib],tblReg[LastName],""))</f>
      </c>
      <c r="E56">
        <f>IF([@Bib]="","",XLOOKUP([@Bib],tblReg[Bib],tblReg[Team],""))</f>
      </c>
      <c r="F56" s="3" t="s">
        <v>22</v>
      </c>
      <c r="G56">
        <f>IF([@StageTime]="","",HOUR([@StageTime])*3600 + MINUTE([@StageTime])*60 + SECOND([@StageTime]))</f>
      </c>
      <c r="H56">
        <f>IF([@StageSeconds]="","",RANK([@StageSeconds],tblStage3[StageSeconds],1))</f>
      </c>
      <c r="I56">
        <f>IF([@Position]="",0,XLOOKUP([@Position],Config!tblBonus[Place],Config!tblBonus[Stage3BonusSec],0))</f>
      </c>
      <c r="J56">
        <f>IF([@StageSeconds]="","",[@StageSeconds]-[@BonusSeconds])</f>
      </c>
      <c r="K56" s="3">
        <f>IF([@NetSeconds]="","",[@NetSeconds]/86400)</f>
      </c>
    </row>
    <row r="57" spans="1:11" x14ac:dyDescent="0.25">
      <c r="A57" t="s">
        <v>22</v>
      </c>
      <c r="B57">
        <f>IF([@Bib]="","",XLOOKUP([@Bib],tblReg[Bib],tblReg[Field],""))</f>
      </c>
      <c r="C57">
        <f>IF([@Bib]="","",XLOOKUP([@Bib],tblReg[Bib],tblReg[FirstName],""))</f>
      </c>
      <c r="D57">
        <f>IF([@Bib]="","",XLOOKUP([@Bib],tblReg[Bib],tblReg[LastName],""))</f>
      </c>
      <c r="E57">
        <f>IF([@Bib]="","",XLOOKUP([@Bib],tblReg[Bib],tblReg[Team],""))</f>
      </c>
      <c r="F57" s="3" t="s">
        <v>22</v>
      </c>
      <c r="G57">
        <f>IF([@StageTime]="","",HOUR([@StageTime])*3600 + MINUTE([@StageTime])*60 + SECOND([@StageTime]))</f>
      </c>
      <c r="H57">
        <f>IF([@StageSeconds]="","",RANK([@StageSeconds],tblStage3[StageSeconds],1))</f>
      </c>
      <c r="I57">
        <f>IF([@Position]="",0,XLOOKUP([@Position],Config!tblBonus[Place],Config!tblBonus[Stage3BonusSec],0))</f>
      </c>
      <c r="J57">
        <f>IF([@StageSeconds]="","",[@StageSeconds]-[@BonusSeconds])</f>
      </c>
      <c r="K57" s="3">
        <f>IF([@NetSeconds]="","",[@NetSeconds]/86400)</f>
      </c>
    </row>
    <row r="58" spans="1:11" x14ac:dyDescent="0.25">
      <c r="A58" t="s">
        <v>22</v>
      </c>
      <c r="B58">
        <f>IF([@Bib]="","",XLOOKUP([@Bib],tblReg[Bib],tblReg[Field],""))</f>
      </c>
      <c r="C58">
        <f>IF([@Bib]="","",XLOOKUP([@Bib],tblReg[Bib],tblReg[FirstName],""))</f>
      </c>
      <c r="D58">
        <f>IF([@Bib]="","",XLOOKUP([@Bib],tblReg[Bib],tblReg[LastName],""))</f>
      </c>
      <c r="E58">
        <f>IF([@Bib]="","",XLOOKUP([@Bib],tblReg[Bib],tblReg[Team],""))</f>
      </c>
      <c r="F58" s="3" t="s">
        <v>22</v>
      </c>
      <c r="G58">
        <f>IF([@StageTime]="","",HOUR([@StageTime])*3600 + MINUTE([@StageTime])*60 + SECOND([@StageTime]))</f>
      </c>
      <c r="H58">
        <f>IF([@StageSeconds]="","",RANK([@StageSeconds],tblStage3[StageSeconds],1))</f>
      </c>
      <c r="I58">
        <f>IF([@Position]="",0,XLOOKUP([@Position],Config!tblBonus[Place],Config!tblBonus[Stage3BonusSec],0))</f>
      </c>
      <c r="J58">
        <f>IF([@StageSeconds]="","",[@StageSeconds]-[@BonusSeconds])</f>
      </c>
      <c r="K58" s="3">
        <f>IF([@NetSeconds]="","",[@NetSeconds]/86400)</f>
      </c>
    </row>
    <row r="59" spans="1:11" x14ac:dyDescent="0.25">
      <c r="A59" t="s">
        <v>22</v>
      </c>
      <c r="B59">
        <f>IF([@Bib]="","",XLOOKUP([@Bib],tblReg[Bib],tblReg[Field],""))</f>
      </c>
      <c r="C59">
        <f>IF([@Bib]="","",XLOOKUP([@Bib],tblReg[Bib],tblReg[FirstName],""))</f>
      </c>
      <c r="D59">
        <f>IF([@Bib]="","",XLOOKUP([@Bib],tblReg[Bib],tblReg[LastName],""))</f>
      </c>
      <c r="E59">
        <f>IF([@Bib]="","",XLOOKUP([@Bib],tblReg[Bib],tblReg[Team],""))</f>
      </c>
      <c r="F59" s="3" t="s">
        <v>22</v>
      </c>
      <c r="G59">
        <f>IF([@StageTime]="","",HOUR([@StageTime])*3600 + MINUTE([@StageTime])*60 + SECOND([@StageTime]))</f>
      </c>
      <c r="H59">
        <f>IF([@StageSeconds]="","",RANK([@StageSeconds],tblStage3[StageSeconds],1))</f>
      </c>
      <c r="I59">
        <f>IF([@Position]="",0,XLOOKUP([@Position],Config!tblBonus[Place],Config!tblBonus[Stage3BonusSec],0))</f>
      </c>
      <c r="J59">
        <f>IF([@StageSeconds]="","",[@StageSeconds]-[@BonusSeconds])</f>
      </c>
      <c r="K59" s="3">
        <f>IF([@NetSeconds]="","",[@NetSeconds]/86400)</f>
      </c>
    </row>
    <row r="60" spans="1:11" x14ac:dyDescent="0.25">
      <c r="A60" t="s">
        <v>22</v>
      </c>
      <c r="B60">
        <f>IF([@Bib]="","",XLOOKUP([@Bib],tblReg[Bib],tblReg[Field],""))</f>
      </c>
      <c r="C60">
        <f>IF([@Bib]="","",XLOOKUP([@Bib],tblReg[Bib],tblReg[FirstName],""))</f>
      </c>
      <c r="D60">
        <f>IF([@Bib]="","",XLOOKUP([@Bib],tblReg[Bib],tblReg[LastName],""))</f>
      </c>
      <c r="E60">
        <f>IF([@Bib]="","",XLOOKUP([@Bib],tblReg[Bib],tblReg[Team],""))</f>
      </c>
      <c r="F60" s="3" t="s">
        <v>22</v>
      </c>
      <c r="G60">
        <f>IF([@StageTime]="","",HOUR([@StageTime])*3600 + MINUTE([@StageTime])*60 + SECOND([@StageTime]))</f>
      </c>
      <c r="H60">
        <f>IF([@StageSeconds]="","",RANK([@StageSeconds],tblStage3[StageSeconds],1))</f>
      </c>
      <c r="I60">
        <f>IF([@Position]="",0,XLOOKUP([@Position],Config!tblBonus[Place],Config!tblBonus[Stage3BonusSec],0))</f>
      </c>
      <c r="J60">
        <f>IF([@StageSeconds]="","",[@StageSeconds]-[@BonusSeconds])</f>
      </c>
      <c r="K60" s="3">
        <f>IF([@NetSeconds]="","",[@NetSeconds]/86400)</f>
      </c>
    </row>
    <row r="61" spans="1:11" x14ac:dyDescent="0.25">
      <c r="A61" t="s">
        <v>22</v>
      </c>
      <c r="B61">
        <f>IF([@Bib]="","",XLOOKUP([@Bib],tblReg[Bib],tblReg[Field],""))</f>
      </c>
      <c r="C61">
        <f>IF([@Bib]="","",XLOOKUP([@Bib],tblReg[Bib],tblReg[FirstName],""))</f>
      </c>
      <c r="D61">
        <f>IF([@Bib]="","",XLOOKUP([@Bib],tblReg[Bib],tblReg[LastName],""))</f>
      </c>
      <c r="E61">
        <f>IF([@Bib]="","",XLOOKUP([@Bib],tblReg[Bib],tblReg[Team],""))</f>
      </c>
      <c r="F61" s="3" t="s">
        <v>22</v>
      </c>
      <c r="G61">
        <f>IF([@StageTime]="","",HOUR([@StageTime])*3600 + MINUTE([@StageTime])*60 + SECOND([@StageTime]))</f>
      </c>
      <c r="H61">
        <f>IF([@StageSeconds]="","",RANK([@StageSeconds],tblStage3[StageSeconds],1))</f>
      </c>
      <c r="I61">
        <f>IF([@Position]="",0,XLOOKUP([@Position],Config!tblBonus[Place],Config!tblBonus[Stage3BonusSec],0))</f>
      </c>
      <c r="J61">
        <f>IF([@StageSeconds]="","",[@StageSeconds]-[@BonusSeconds])</f>
      </c>
      <c r="K61" s="3">
        <f>IF([@NetSeconds]="","",[@NetSeconds]/86400)</f>
      </c>
    </row>
    <row r="62" spans="1:11" x14ac:dyDescent="0.25">
      <c r="A62" t="s">
        <v>22</v>
      </c>
      <c r="B62">
        <f>IF([@Bib]="","",XLOOKUP([@Bib],tblReg[Bib],tblReg[Field],""))</f>
      </c>
      <c r="C62">
        <f>IF([@Bib]="","",XLOOKUP([@Bib],tblReg[Bib],tblReg[FirstName],""))</f>
      </c>
      <c r="D62">
        <f>IF([@Bib]="","",XLOOKUP([@Bib],tblReg[Bib],tblReg[LastName],""))</f>
      </c>
      <c r="E62">
        <f>IF([@Bib]="","",XLOOKUP([@Bib],tblReg[Bib],tblReg[Team],""))</f>
      </c>
      <c r="F62" s="3" t="s">
        <v>22</v>
      </c>
      <c r="G62">
        <f>IF([@StageTime]="","",HOUR([@StageTime])*3600 + MINUTE([@StageTime])*60 + SECOND([@StageTime]))</f>
      </c>
      <c r="H62">
        <f>IF([@StageSeconds]="","",RANK([@StageSeconds],tblStage3[StageSeconds],1))</f>
      </c>
      <c r="I62">
        <f>IF([@Position]="",0,XLOOKUP([@Position],Config!tblBonus[Place],Config!tblBonus[Stage3BonusSec],0))</f>
      </c>
      <c r="J62">
        <f>IF([@StageSeconds]="","",[@StageSeconds]-[@BonusSeconds])</f>
      </c>
      <c r="K62" s="3">
        <f>IF([@NetSeconds]="","",[@NetSeconds]/86400)</f>
      </c>
    </row>
    <row r="63" spans="1:11" x14ac:dyDescent="0.25">
      <c r="A63" t="s">
        <v>22</v>
      </c>
      <c r="B63">
        <f>IF([@Bib]="","",XLOOKUP([@Bib],tblReg[Bib],tblReg[Field],""))</f>
      </c>
      <c r="C63">
        <f>IF([@Bib]="","",XLOOKUP([@Bib],tblReg[Bib],tblReg[FirstName],""))</f>
      </c>
      <c r="D63">
        <f>IF([@Bib]="","",XLOOKUP([@Bib],tblReg[Bib],tblReg[LastName],""))</f>
      </c>
      <c r="E63">
        <f>IF([@Bib]="","",XLOOKUP([@Bib],tblReg[Bib],tblReg[Team],""))</f>
      </c>
      <c r="F63" s="3" t="s">
        <v>22</v>
      </c>
      <c r="G63">
        <f>IF([@StageTime]="","",HOUR([@StageTime])*3600 + MINUTE([@StageTime])*60 + SECOND([@StageTime]))</f>
      </c>
      <c r="H63">
        <f>IF([@StageSeconds]="","",RANK([@StageSeconds],tblStage3[StageSeconds],1))</f>
      </c>
      <c r="I63">
        <f>IF([@Position]="",0,XLOOKUP([@Position],Config!tblBonus[Place],Config!tblBonus[Stage3BonusSec],0))</f>
      </c>
      <c r="J63">
        <f>IF([@StageSeconds]="","",[@StageSeconds]-[@BonusSeconds])</f>
      </c>
      <c r="K63" s="3">
        <f>IF([@NetSeconds]="","",[@NetSeconds]/86400)</f>
      </c>
    </row>
    <row r="64" spans="1:11" x14ac:dyDescent="0.25">
      <c r="A64" t="s">
        <v>22</v>
      </c>
      <c r="B64">
        <f>IF([@Bib]="","",XLOOKUP([@Bib],tblReg[Bib],tblReg[Field],""))</f>
      </c>
      <c r="C64">
        <f>IF([@Bib]="","",XLOOKUP([@Bib],tblReg[Bib],tblReg[FirstName],""))</f>
      </c>
      <c r="D64">
        <f>IF([@Bib]="","",XLOOKUP([@Bib],tblReg[Bib],tblReg[LastName],""))</f>
      </c>
      <c r="E64">
        <f>IF([@Bib]="","",XLOOKUP([@Bib],tblReg[Bib],tblReg[Team],""))</f>
      </c>
      <c r="F64" s="3" t="s">
        <v>22</v>
      </c>
      <c r="G64">
        <f>IF([@StageTime]="","",HOUR([@StageTime])*3600 + MINUTE([@StageTime])*60 + SECOND([@StageTime]))</f>
      </c>
      <c r="H64">
        <f>IF([@StageSeconds]="","",RANK([@StageSeconds],tblStage3[StageSeconds],1))</f>
      </c>
      <c r="I64">
        <f>IF([@Position]="",0,XLOOKUP([@Position],Config!tblBonus[Place],Config!tblBonus[Stage3BonusSec],0))</f>
      </c>
      <c r="J64">
        <f>IF([@StageSeconds]="","",[@StageSeconds]-[@BonusSeconds])</f>
      </c>
      <c r="K64" s="3">
        <f>IF([@NetSeconds]="","",[@NetSeconds]/86400)</f>
      </c>
    </row>
    <row r="65" spans="1:11" x14ac:dyDescent="0.25">
      <c r="A65" t="s">
        <v>22</v>
      </c>
      <c r="B65">
        <f>IF([@Bib]="","",XLOOKUP([@Bib],tblReg[Bib],tblReg[Field],""))</f>
      </c>
      <c r="C65">
        <f>IF([@Bib]="","",XLOOKUP([@Bib],tblReg[Bib],tblReg[FirstName],""))</f>
      </c>
      <c r="D65">
        <f>IF([@Bib]="","",XLOOKUP([@Bib],tblReg[Bib],tblReg[LastName],""))</f>
      </c>
      <c r="E65">
        <f>IF([@Bib]="","",XLOOKUP([@Bib],tblReg[Bib],tblReg[Team],""))</f>
      </c>
      <c r="F65" s="3" t="s">
        <v>22</v>
      </c>
      <c r="G65">
        <f>IF([@StageTime]="","",HOUR([@StageTime])*3600 + MINUTE([@StageTime])*60 + SECOND([@StageTime]))</f>
      </c>
      <c r="H65">
        <f>IF([@StageSeconds]="","",RANK([@StageSeconds],tblStage3[StageSeconds],1))</f>
      </c>
      <c r="I65">
        <f>IF([@Position]="",0,XLOOKUP([@Position],Config!tblBonus[Place],Config!tblBonus[Stage3BonusSec],0))</f>
      </c>
      <c r="J65">
        <f>IF([@StageSeconds]="","",[@StageSeconds]-[@BonusSeconds])</f>
      </c>
      <c r="K65" s="3">
        <f>IF([@NetSeconds]="","",[@NetSeconds]/86400)</f>
      </c>
    </row>
    <row r="66" spans="1:11" x14ac:dyDescent="0.25">
      <c r="A66" t="s">
        <v>22</v>
      </c>
      <c r="B66">
        <f>IF([@Bib]="","",XLOOKUP([@Bib],tblReg[Bib],tblReg[Field],""))</f>
      </c>
      <c r="C66">
        <f>IF([@Bib]="","",XLOOKUP([@Bib],tblReg[Bib],tblReg[FirstName],""))</f>
      </c>
      <c r="D66">
        <f>IF([@Bib]="","",XLOOKUP([@Bib],tblReg[Bib],tblReg[LastName],""))</f>
      </c>
      <c r="E66">
        <f>IF([@Bib]="","",XLOOKUP([@Bib],tblReg[Bib],tblReg[Team],""))</f>
      </c>
      <c r="F66" s="3" t="s">
        <v>22</v>
      </c>
      <c r="G66">
        <f>IF([@StageTime]="","",HOUR([@StageTime])*3600 + MINUTE([@StageTime])*60 + SECOND([@StageTime]))</f>
      </c>
      <c r="H66">
        <f>IF([@StageSeconds]="","",RANK([@StageSeconds],tblStage3[StageSeconds],1))</f>
      </c>
      <c r="I66">
        <f>IF([@Position]="",0,XLOOKUP([@Position],Config!tblBonus[Place],Config!tblBonus[Stage3BonusSec],0))</f>
      </c>
      <c r="J66">
        <f>IF([@StageSeconds]="","",[@StageSeconds]-[@BonusSeconds])</f>
      </c>
      <c r="K66" s="3">
        <f>IF([@NetSeconds]="","",[@NetSeconds]/86400)</f>
      </c>
    </row>
    <row r="67" spans="1:11" x14ac:dyDescent="0.25">
      <c r="A67" t="s">
        <v>22</v>
      </c>
      <c r="B67">
        <f>IF([@Bib]="","",XLOOKUP([@Bib],tblReg[Bib],tblReg[Field],""))</f>
      </c>
      <c r="C67">
        <f>IF([@Bib]="","",XLOOKUP([@Bib],tblReg[Bib],tblReg[FirstName],""))</f>
      </c>
      <c r="D67">
        <f>IF([@Bib]="","",XLOOKUP([@Bib],tblReg[Bib],tblReg[LastName],""))</f>
      </c>
      <c r="E67">
        <f>IF([@Bib]="","",XLOOKUP([@Bib],tblReg[Bib],tblReg[Team],""))</f>
      </c>
      <c r="F67" s="3" t="s">
        <v>22</v>
      </c>
      <c r="G67">
        <f>IF([@StageTime]="","",HOUR([@StageTime])*3600 + MINUTE([@StageTime])*60 + SECOND([@StageTime]))</f>
      </c>
      <c r="H67">
        <f>IF([@StageSeconds]="","",RANK([@StageSeconds],tblStage3[StageSeconds],1))</f>
      </c>
      <c r="I67">
        <f>IF([@Position]="",0,XLOOKUP([@Position],Config!tblBonus[Place],Config!tblBonus[Stage3BonusSec],0))</f>
      </c>
      <c r="J67">
        <f>IF([@StageSeconds]="","",[@StageSeconds]-[@BonusSeconds])</f>
      </c>
      <c r="K67" s="3">
        <f>IF([@NetSeconds]="","",[@NetSeconds]/86400)</f>
      </c>
    </row>
    <row r="68" spans="1:11" x14ac:dyDescent="0.25">
      <c r="A68" t="s">
        <v>22</v>
      </c>
      <c r="B68">
        <f>IF([@Bib]="","",XLOOKUP([@Bib],tblReg[Bib],tblReg[Field],""))</f>
      </c>
      <c r="C68">
        <f>IF([@Bib]="","",XLOOKUP([@Bib],tblReg[Bib],tblReg[FirstName],""))</f>
      </c>
      <c r="D68">
        <f>IF([@Bib]="","",XLOOKUP([@Bib],tblReg[Bib],tblReg[LastName],""))</f>
      </c>
      <c r="E68">
        <f>IF([@Bib]="","",XLOOKUP([@Bib],tblReg[Bib],tblReg[Team],""))</f>
      </c>
      <c r="F68" s="3" t="s">
        <v>22</v>
      </c>
      <c r="G68">
        <f>IF([@StageTime]="","",HOUR([@StageTime])*3600 + MINUTE([@StageTime])*60 + SECOND([@StageTime]))</f>
      </c>
      <c r="H68">
        <f>IF([@StageSeconds]="","",RANK([@StageSeconds],tblStage3[StageSeconds],1))</f>
      </c>
      <c r="I68">
        <f>IF([@Position]="",0,XLOOKUP([@Position],Config!tblBonus[Place],Config!tblBonus[Stage3BonusSec],0))</f>
      </c>
      <c r="J68">
        <f>IF([@StageSeconds]="","",[@StageSeconds]-[@BonusSeconds])</f>
      </c>
      <c r="K68" s="3">
        <f>IF([@NetSeconds]="","",[@NetSeconds]/86400)</f>
      </c>
    </row>
    <row r="69" spans="1:11" x14ac:dyDescent="0.25">
      <c r="A69" t="s">
        <v>22</v>
      </c>
      <c r="B69">
        <f>IF([@Bib]="","",XLOOKUP([@Bib],tblReg[Bib],tblReg[Field],""))</f>
      </c>
      <c r="C69">
        <f>IF([@Bib]="","",XLOOKUP([@Bib],tblReg[Bib],tblReg[FirstName],""))</f>
      </c>
      <c r="D69">
        <f>IF([@Bib]="","",XLOOKUP([@Bib],tblReg[Bib],tblReg[LastName],""))</f>
      </c>
      <c r="E69">
        <f>IF([@Bib]="","",XLOOKUP([@Bib],tblReg[Bib],tblReg[Team],""))</f>
      </c>
      <c r="F69" s="3" t="s">
        <v>22</v>
      </c>
      <c r="G69">
        <f>IF([@StageTime]="","",HOUR([@StageTime])*3600 + MINUTE([@StageTime])*60 + SECOND([@StageTime]))</f>
      </c>
      <c r="H69">
        <f>IF([@StageSeconds]="","",RANK([@StageSeconds],tblStage3[StageSeconds],1))</f>
      </c>
      <c r="I69">
        <f>IF([@Position]="",0,XLOOKUP([@Position],Config!tblBonus[Place],Config!tblBonus[Stage3BonusSec],0))</f>
      </c>
      <c r="J69">
        <f>IF([@StageSeconds]="","",[@StageSeconds]-[@BonusSeconds])</f>
      </c>
      <c r="K69" s="3">
        <f>IF([@NetSeconds]="","",[@NetSeconds]/86400)</f>
      </c>
    </row>
    <row r="70" spans="1:11" x14ac:dyDescent="0.25">
      <c r="A70" t="s">
        <v>22</v>
      </c>
      <c r="B70">
        <f>IF([@Bib]="","",XLOOKUP([@Bib],tblReg[Bib],tblReg[Field],""))</f>
      </c>
      <c r="C70">
        <f>IF([@Bib]="","",XLOOKUP([@Bib],tblReg[Bib],tblReg[FirstName],""))</f>
      </c>
      <c r="D70">
        <f>IF([@Bib]="","",XLOOKUP([@Bib],tblReg[Bib],tblReg[LastName],""))</f>
      </c>
      <c r="E70">
        <f>IF([@Bib]="","",XLOOKUP([@Bib],tblReg[Bib],tblReg[Team],""))</f>
      </c>
      <c r="F70" s="3" t="s">
        <v>22</v>
      </c>
      <c r="G70">
        <f>IF([@StageTime]="","",HOUR([@StageTime])*3600 + MINUTE([@StageTime])*60 + SECOND([@StageTime]))</f>
      </c>
      <c r="H70">
        <f>IF([@StageSeconds]="","",RANK([@StageSeconds],tblStage3[StageSeconds],1))</f>
      </c>
      <c r="I70">
        <f>IF([@Position]="",0,XLOOKUP([@Position],Config!tblBonus[Place],Config!tblBonus[Stage3BonusSec],0))</f>
      </c>
      <c r="J70">
        <f>IF([@StageSeconds]="","",[@StageSeconds]-[@BonusSeconds])</f>
      </c>
      <c r="K70" s="3">
        <f>IF([@NetSeconds]="","",[@NetSeconds]/86400)</f>
      </c>
    </row>
    <row r="71" spans="1:11" x14ac:dyDescent="0.25">
      <c r="A71" t="s">
        <v>22</v>
      </c>
      <c r="B71">
        <f>IF([@Bib]="","",XLOOKUP([@Bib],tblReg[Bib],tblReg[Field],""))</f>
      </c>
      <c r="C71">
        <f>IF([@Bib]="","",XLOOKUP([@Bib],tblReg[Bib],tblReg[FirstName],""))</f>
      </c>
      <c r="D71">
        <f>IF([@Bib]="","",XLOOKUP([@Bib],tblReg[Bib],tblReg[LastName],""))</f>
      </c>
      <c r="E71">
        <f>IF([@Bib]="","",XLOOKUP([@Bib],tblReg[Bib],tblReg[Team],""))</f>
      </c>
      <c r="F71" s="3" t="s">
        <v>22</v>
      </c>
      <c r="G71">
        <f>IF([@StageTime]="","",HOUR([@StageTime])*3600 + MINUTE([@StageTime])*60 + SECOND([@StageTime]))</f>
      </c>
      <c r="H71">
        <f>IF([@StageSeconds]="","",RANK([@StageSeconds],tblStage3[StageSeconds],1))</f>
      </c>
      <c r="I71">
        <f>IF([@Position]="",0,XLOOKUP([@Position],Config!tblBonus[Place],Config!tblBonus[Stage3BonusSec],0))</f>
      </c>
      <c r="J71">
        <f>IF([@StageSeconds]="","",[@StageSeconds]-[@BonusSeconds])</f>
      </c>
      <c r="K71" s="3">
        <f>IF([@NetSeconds]="","",[@NetSeconds]/86400)</f>
      </c>
    </row>
    <row r="72" spans="1:11" x14ac:dyDescent="0.25">
      <c r="A72" t="s">
        <v>22</v>
      </c>
      <c r="B72">
        <f>IF([@Bib]="","",XLOOKUP([@Bib],tblReg[Bib],tblReg[Field],""))</f>
      </c>
      <c r="C72">
        <f>IF([@Bib]="","",XLOOKUP([@Bib],tblReg[Bib],tblReg[FirstName],""))</f>
      </c>
      <c r="D72">
        <f>IF([@Bib]="","",XLOOKUP([@Bib],tblReg[Bib],tblReg[LastName],""))</f>
      </c>
      <c r="E72">
        <f>IF([@Bib]="","",XLOOKUP([@Bib],tblReg[Bib],tblReg[Team],""))</f>
      </c>
      <c r="F72" s="3" t="s">
        <v>22</v>
      </c>
      <c r="G72">
        <f>IF([@StageTime]="","",HOUR([@StageTime])*3600 + MINUTE([@StageTime])*60 + SECOND([@StageTime]))</f>
      </c>
      <c r="H72">
        <f>IF([@StageSeconds]="","",RANK([@StageSeconds],tblStage3[StageSeconds],1))</f>
      </c>
      <c r="I72">
        <f>IF([@Position]="",0,XLOOKUP([@Position],Config!tblBonus[Place],Config!tblBonus[Stage3BonusSec],0))</f>
      </c>
      <c r="J72">
        <f>IF([@StageSeconds]="","",[@StageSeconds]-[@BonusSeconds])</f>
      </c>
      <c r="K72" s="3">
        <f>IF([@NetSeconds]="","",[@NetSeconds]/86400)</f>
      </c>
    </row>
    <row r="73" spans="1:11" x14ac:dyDescent="0.25">
      <c r="A73" t="s">
        <v>22</v>
      </c>
      <c r="B73">
        <f>IF([@Bib]="","",XLOOKUP([@Bib],tblReg[Bib],tblReg[Field],""))</f>
      </c>
      <c r="C73">
        <f>IF([@Bib]="","",XLOOKUP([@Bib],tblReg[Bib],tblReg[FirstName],""))</f>
      </c>
      <c r="D73">
        <f>IF([@Bib]="","",XLOOKUP([@Bib],tblReg[Bib],tblReg[LastName],""))</f>
      </c>
      <c r="E73">
        <f>IF([@Bib]="","",XLOOKUP([@Bib],tblReg[Bib],tblReg[Team],""))</f>
      </c>
      <c r="F73" s="3" t="s">
        <v>22</v>
      </c>
      <c r="G73">
        <f>IF([@StageTime]="","",HOUR([@StageTime])*3600 + MINUTE([@StageTime])*60 + SECOND([@StageTime]))</f>
      </c>
      <c r="H73">
        <f>IF([@StageSeconds]="","",RANK([@StageSeconds],tblStage3[StageSeconds],1))</f>
      </c>
      <c r="I73">
        <f>IF([@Position]="",0,XLOOKUP([@Position],Config!tblBonus[Place],Config!tblBonus[Stage3BonusSec],0))</f>
      </c>
      <c r="J73">
        <f>IF([@StageSeconds]="","",[@StageSeconds]-[@BonusSeconds])</f>
      </c>
      <c r="K73" s="3">
        <f>IF([@NetSeconds]="","",[@NetSeconds]/86400)</f>
      </c>
    </row>
    <row r="74" spans="1:11" x14ac:dyDescent="0.25">
      <c r="A74" t="s">
        <v>22</v>
      </c>
      <c r="B74">
        <f>IF([@Bib]="","",XLOOKUP([@Bib],tblReg[Bib],tblReg[Field],""))</f>
      </c>
      <c r="C74">
        <f>IF([@Bib]="","",XLOOKUP([@Bib],tblReg[Bib],tblReg[FirstName],""))</f>
      </c>
      <c r="D74">
        <f>IF([@Bib]="","",XLOOKUP([@Bib],tblReg[Bib],tblReg[LastName],""))</f>
      </c>
      <c r="E74">
        <f>IF([@Bib]="","",XLOOKUP([@Bib],tblReg[Bib],tblReg[Team],""))</f>
      </c>
      <c r="F74" s="3" t="s">
        <v>22</v>
      </c>
      <c r="G74">
        <f>IF([@StageTime]="","",HOUR([@StageTime])*3600 + MINUTE([@StageTime])*60 + SECOND([@StageTime]))</f>
      </c>
      <c r="H74">
        <f>IF([@StageSeconds]="","",RANK([@StageSeconds],tblStage3[StageSeconds],1))</f>
      </c>
      <c r="I74">
        <f>IF([@Position]="",0,XLOOKUP([@Position],Config!tblBonus[Place],Config!tblBonus[Stage3BonusSec],0))</f>
      </c>
      <c r="J74">
        <f>IF([@StageSeconds]="","",[@StageSeconds]-[@BonusSeconds])</f>
      </c>
      <c r="K74" s="3">
        <f>IF([@NetSeconds]="","",[@NetSeconds]/86400)</f>
      </c>
    </row>
    <row r="75" spans="1:11" x14ac:dyDescent="0.25">
      <c r="A75" t="s">
        <v>22</v>
      </c>
      <c r="B75">
        <f>IF([@Bib]="","",XLOOKUP([@Bib],tblReg[Bib],tblReg[Field],""))</f>
      </c>
      <c r="C75">
        <f>IF([@Bib]="","",XLOOKUP([@Bib],tblReg[Bib],tblReg[FirstName],""))</f>
      </c>
      <c r="D75">
        <f>IF([@Bib]="","",XLOOKUP([@Bib],tblReg[Bib],tblReg[LastName],""))</f>
      </c>
      <c r="E75">
        <f>IF([@Bib]="","",XLOOKUP([@Bib],tblReg[Bib],tblReg[Team],""))</f>
      </c>
      <c r="F75" s="3" t="s">
        <v>22</v>
      </c>
      <c r="G75">
        <f>IF([@StageTime]="","",HOUR([@StageTime])*3600 + MINUTE([@StageTime])*60 + SECOND([@StageTime]))</f>
      </c>
      <c r="H75">
        <f>IF([@StageSeconds]="","",RANK([@StageSeconds],tblStage3[StageSeconds],1))</f>
      </c>
      <c r="I75">
        <f>IF([@Position]="",0,XLOOKUP([@Position],Config!tblBonus[Place],Config!tblBonus[Stage3BonusSec],0))</f>
      </c>
      <c r="J75">
        <f>IF([@StageSeconds]="","",[@StageSeconds]-[@BonusSeconds])</f>
      </c>
      <c r="K75" s="3">
        <f>IF([@NetSeconds]="","",[@NetSeconds]/86400)</f>
      </c>
    </row>
    <row r="76" spans="1:11" x14ac:dyDescent="0.25">
      <c r="A76" t="s">
        <v>22</v>
      </c>
      <c r="B76">
        <f>IF([@Bib]="","",XLOOKUP([@Bib],tblReg[Bib],tblReg[Field],""))</f>
      </c>
      <c r="C76">
        <f>IF([@Bib]="","",XLOOKUP([@Bib],tblReg[Bib],tblReg[FirstName],""))</f>
      </c>
      <c r="D76">
        <f>IF([@Bib]="","",XLOOKUP([@Bib],tblReg[Bib],tblReg[LastName],""))</f>
      </c>
      <c r="E76">
        <f>IF([@Bib]="","",XLOOKUP([@Bib],tblReg[Bib],tblReg[Team],""))</f>
      </c>
      <c r="F76" s="3" t="s">
        <v>22</v>
      </c>
      <c r="G76">
        <f>IF([@StageTime]="","",HOUR([@StageTime])*3600 + MINUTE([@StageTime])*60 + SECOND([@StageTime]))</f>
      </c>
      <c r="H76">
        <f>IF([@StageSeconds]="","",RANK([@StageSeconds],tblStage3[StageSeconds],1))</f>
      </c>
      <c r="I76">
        <f>IF([@Position]="",0,XLOOKUP([@Position],Config!tblBonus[Place],Config!tblBonus[Stage3BonusSec],0))</f>
      </c>
      <c r="J76">
        <f>IF([@StageSeconds]="","",[@StageSeconds]-[@BonusSeconds])</f>
      </c>
      <c r="K76" s="3">
        <f>IF([@NetSeconds]="","",[@NetSeconds]/86400)</f>
      </c>
    </row>
    <row r="77" spans="1:11" x14ac:dyDescent="0.25">
      <c r="A77" t="s">
        <v>22</v>
      </c>
      <c r="B77">
        <f>IF([@Bib]="","",XLOOKUP([@Bib],tblReg[Bib],tblReg[Field],""))</f>
      </c>
      <c r="C77">
        <f>IF([@Bib]="","",XLOOKUP([@Bib],tblReg[Bib],tblReg[FirstName],""))</f>
      </c>
      <c r="D77">
        <f>IF([@Bib]="","",XLOOKUP([@Bib],tblReg[Bib],tblReg[LastName],""))</f>
      </c>
      <c r="E77">
        <f>IF([@Bib]="","",XLOOKUP([@Bib],tblReg[Bib],tblReg[Team],""))</f>
      </c>
      <c r="F77" s="3" t="s">
        <v>22</v>
      </c>
      <c r="G77">
        <f>IF([@StageTime]="","",HOUR([@StageTime])*3600 + MINUTE([@StageTime])*60 + SECOND([@StageTime]))</f>
      </c>
      <c r="H77">
        <f>IF([@StageSeconds]="","",RANK([@StageSeconds],tblStage3[StageSeconds],1))</f>
      </c>
      <c r="I77">
        <f>IF([@Position]="",0,XLOOKUP([@Position],Config!tblBonus[Place],Config!tblBonus[Stage3BonusSec],0))</f>
      </c>
      <c r="J77">
        <f>IF([@StageSeconds]="","",[@StageSeconds]-[@BonusSeconds])</f>
      </c>
      <c r="K77" s="3">
        <f>IF([@NetSeconds]="","",[@NetSeconds]/86400)</f>
      </c>
    </row>
    <row r="78" spans="1:11" x14ac:dyDescent="0.25">
      <c r="A78" t="s">
        <v>22</v>
      </c>
      <c r="B78">
        <f>IF([@Bib]="","",XLOOKUP([@Bib],tblReg[Bib],tblReg[Field],""))</f>
      </c>
      <c r="C78">
        <f>IF([@Bib]="","",XLOOKUP([@Bib],tblReg[Bib],tblReg[FirstName],""))</f>
      </c>
      <c r="D78">
        <f>IF([@Bib]="","",XLOOKUP([@Bib],tblReg[Bib],tblReg[LastName],""))</f>
      </c>
      <c r="E78">
        <f>IF([@Bib]="","",XLOOKUP([@Bib],tblReg[Bib],tblReg[Team],""))</f>
      </c>
      <c r="F78" s="3" t="s">
        <v>22</v>
      </c>
      <c r="G78">
        <f>IF([@StageTime]="","",HOUR([@StageTime])*3600 + MINUTE([@StageTime])*60 + SECOND([@StageTime]))</f>
      </c>
      <c r="H78">
        <f>IF([@StageSeconds]="","",RANK([@StageSeconds],tblStage3[StageSeconds],1))</f>
      </c>
      <c r="I78">
        <f>IF([@Position]="",0,XLOOKUP([@Position],Config!tblBonus[Place],Config!tblBonus[Stage3BonusSec],0))</f>
      </c>
      <c r="J78">
        <f>IF([@StageSeconds]="","",[@StageSeconds]-[@BonusSeconds])</f>
      </c>
      <c r="K78" s="3">
        <f>IF([@NetSeconds]="","",[@NetSeconds]/86400)</f>
      </c>
    </row>
    <row r="79" spans="1:11" x14ac:dyDescent="0.25">
      <c r="A79" t="s">
        <v>22</v>
      </c>
      <c r="B79">
        <f>IF([@Bib]="","",XLOOKUP([@Bib],tblReg[Bib],tblReg[Field],""))</f>
      </c>
      <c r="C79">
        <f>IF([@Bib]="","",XLOOKUP([@Bib],tblReg[Bib],tblReg[FirstName],""))</f>
      </c>
      <c r="D79">
        <f>IF([@Bib]="","",XLOOKUP([@Bib],tblReg[Bib],tblReg[LastName],""))</f>
      </c>
      <c r="E79">
        <f>IF([@Bib]="","",XLOOKUP([@Bib],tblReg[Bib],tblReg[Team],""))</f>
      </c>
      <c r="F79" s="3" t="s">
        <v>22</v>
      </c>
      <c r="G79">
        <f>IF([@StageTime]="","",HOUR([@StageTime])*3600 + MINUTE([@StageTime])*60 + SECOND([@StageTime]))</f>
      </c>
      <c r="H79">
        <f>IF([@StageSeconds]="","",RANK([@StageSeconds],tblStage3[StageSeconds],1))</f>
      </c>
      <c r="I79">
        <f>IF([@Position]="",0,XLOOKUP([@Position],Config!tblBonus[Place],Config!tblBonus[Stage3BonusSec],0))</f>
      </c>
      <c r="J79">
        <f>IF([@StageSeconds]="","",[@StageSeconds]-[@BonusSeconds])</f>
      </c>
      <c r="K79" s="3">
        <f>IF([@NetSeconds]="","",[@NetSeconds]/86400)</f>
      </c>
    </row>
    <row r="80" spans="1:11" x14ac:dyDescent="0.25">
      <c r="A80" t="s">
        <v>22</v>
      </c>
      <c r="B80">
        <f>IF([@Bib]="","",XLOOKUP([@Bib],tblReg[Bib],tblReg[Field],""))</f>
      </c>
      <c r="C80">
        <f>IF([@Bib]="","",XLOOKUP([@Bib],tblReg[Bib],tblReg[FirstName],""))</f>
      </c>
      <c r="D80">
        <f>IF([@Bib]="","",XLOOKUP([@Bib],tblReg[Bib],tblReg[LastName],""))</f>
      </c>
      <c r="E80">
        <f>IF([@Bib]="","",XLOOKUP([@Bib],tblReg[Bib],tblReg[Team],""))</f>
      </c>
      <c r="F80" s="3" t="s">
        <v>22</v>
      </c>
      <c r="G80">
        <f>IF([@StageTime]="","",HOUR([@StageTime])*3600 + MINUTE([@StageTime])*60 + SECOND([@StageTime]))</f>
      </c>
      <c r="H80">
        <f>IF([@StageSeconds]="","",RANK([@StageSeconds],tblStage3[StageSeconds],1))</f>
      </c>
      <c r="I80">
        <f>IF([@Position]="",0,XLOOKUP([@Position],Config!tblBonus[Place],Config!tblBonus[Stage3BonusSec],0))</f>
      </c>
      <c r="J80">
        <f>IF([@StageSeconds]="","",[@StageSeconds]-[@BonusSeconds])</f>
      </c>
      <c r="K80" s="3">
        <f>IF([@NetSeconds]="","",[@NetSeconds]/86400)</f>
      </c>
    </row>
    <row r="81" spans="1:11" x14ac:dyDescent="0.25">
      <c r="A81" t="s">
        <v>22</v>
      </c>
      <c r="B81">
        <f>IF([@Bib]="","",XLOOKUP([@Bib],tblReg[Bib],tblReg[Field],""))</f>
      </c>
      <c r="C81">
        <f>IF([@Bib]="","",XLOOKUP([@Bib],tblReg[Bib],tblReg[FirstName],""))</f>
      </c>
      <c r="D81">
        <f>IF([@Bib]="","",XLOOKUP([@Bib],tblReg[Bib],tblReg[LastName],""))</f>
      </c>
      <c r="E81">
        <f>IF([@Bib]="","",XLOOKUP([@Bib],tblReg[Bib],tblReg[Team],""))</f>
      </c>
      <c r="F81" s="3" t="s">
        <v>22</v>
      </c>
      <c r="G81">
        <f>IF([@StageTime]="","",HOUR([@StageTime])*3600 + MINUTE([@StageTime])*60 + SECOND([@StageTime]))</f>
      </c>
      <c r="H81">
        <f>IF([@StageSeconds]="","",RANK([@StageSeconds],tblStage3[StageSeconds],1))</f>
      </c>
      <c r="I81">
        <f>IF([@Position]="",0,XLOOKUP([@Position],Config!tblBonus[Place],Config!tblBonus[Stage3BonusSec],0))</f>
      </c>
      <c r="J81">
        <f>IF([@StageSeconds]="","",[@StageSeconds]-[@BonusSeconds])</f>
      </c>
      <c r="K81" s="3">
        <f>IF([@NetSeconds]="","",[@NetSeconds]/86400)</f>
      </c>
    </row>
    <row r="82" spans="1:11" x14ac:dyDescent="0.25">
      <c r="A82" t="s">
        <v>22</v>
      </c>
      <c r="B82">
        <f>IF([@Bib]="","",XLOOKUP([@Bib],tblReg[Bib],tblReg[Field],""))</f>
      </c>
      <c r="C82">
        <f>IF([@Bib]="","",XLOOKUP([@Bib],tblReg[Bib],tblReg[FirstName],""))</f>
      </c>
      <c r="D82">
        <f>IF([@Bib]="","",XLOOKUP([@Bib],tblReg[Bib],tblReg[LastName],""))</f>
      </c>
      <c r="E82">
        <f>IF([@Bib]="","",XLOOKUP([@Bib],tblReg[Bib],tblReg[Team],""))</f>
      </c>
      <c r="F82" s="3" t="s">
        <v>22</v>
      </c>
      <c r="G82">
        <f>IF([@StageTime]="","",HOUR([@StageTime])*3600 + MINUTE([@StageTime])*60 + SECOND([@StageTime]))</f>
      </c>
      <c r="H82">
        <f>IF([@StageSeconds]="","",RANK([@StageSeconds],tblStage3[StageSeconds],1))</f>
      </c>
      <c r="I82">
        <f>IF([@Position]="",0,XLOOKUP([@Position],Config!tblBonus[Place],Config!tblBonus[Stage3BonusSec],0))</f>
      </c>
      <c r="J82">
        <f>IF([@StageSeconds]="","",[@StageSeconds]-[@BonusSeconds])</f>
      </c>
      <c r="K82" s="3">
        <f>IF([@NetSeconds]="","",[@NetSeconds]/86400)</f>
      </c>
    </row>
    <row r="83" spans="1:11" x14ac:dyDescent="0.25">
      <c r="A83" t="s">
        <v>22</v>
      </c>
      <c r="B83">
        <f>IF([@Bib]="","",XLOOKUP([@Bib],tblReg[Bib],tblReg[Field],""))</f>
      </c>
      <c r="C83">
        <f>IF([@Bib]="","",XLOOKUP([@Bib],tblReg[Bib],tblReg[FirstName],""))</f>
      </c>
      <c r="D83">
        <f>IF([@Bib]="","",XLOOKUP([@Bib],tblReg[Bib],tblReg[LastName],""))</f>
      </c>
      <c r="E83">
        <f>IF([@Bib]="","",XLOOKUP([@Bib],tblReg[Bib],tblReg[Team],""))</f>
      </c>
      <c r="F83" s="3" t="s">
        <v>22</v>
      </c>
      <c r="G83">
        <f>IF([@StageTime]="","",HOUR([@StageTime])*3600 + MINUTE([@StageTime])*60 + SECOND([@StageTime]))</f>
      </c>
      <c r="H83">
        <f>IF([@StageSeconds]="","",RANK([@StageSeconds],tblStage3[StageSeconds],1))</f>
      </c>
      <c r="I83">
        <f>IF([@Position]="",0,XLOOKUP([@Position],Config!tblBonus[Place],Config!tblBonus[Stage3BonusSec],0))</f>
      </c>
      <c r="J83">
        <f>IF([@StageSeconds]="","",[@StageSeconds]-[@BonusSeconds])</f>
      </c>
      <c r="K83" s="3">
        <f>IF([@NetSeconds]="","",[@NetSeconds]/86400)</f>
      </c>
    </row>
    <row r="84" spans="1:11" x14ac:dyDescent="0.25">
      <c r="A84" t="s">
        <v>22</v>
      </c>
      <c r="B84">
        <f>IF([@Bib]="","",XLOOKUP([@Bib],tblReg[Bib],tblReg[Field],""))</f>
      </c>
      <c r="C84">
        <f>IF([@Bib]="","",XLOOKUP([@Bib],tblReg[Bib],tblReg[FirstName],""))</f>
      </c>
      <c r="D84">
        <f>IF([@Bib]="","",XLOOKUP([@Bib],tblReg[Bib],tblReg[LastName],""))</f>
      </c>
      <c r="E84">
        <f>IF([@Bib]="","",XLOOKUP([@Bib],tblReg[Bib],tblReg[Team],""))</f>
      </c>
      <c r="F84" s="3" t="s">
        <v>22</v>
      </c>
      <c r="G84">
        <f>IF([@StageTime]="","",HOUR([@StageTime])*3600 + MINUTE([@StageTime])*60 + SECOND([@StageTime]))</f>
      </c>
      <c r="H84">
        <f>IF([@StageSeconds]="","",RANK([@StageSeconds],tblStage3[StageSeconds],1))</f>
      </c>
      <c r="I84">
        <f>IF([@Position]="",0,XLOOKUP([@Position],Config!tblBonus[Place],Config!tblBonus[Stage3BonusSec],0))</f>
      </c>
      <c r="J84">
        <f>IF([@StageSeconds]="","",[@StageSeconds]-[@BonusSeconds])</f>
      </c>
      <c r="K84" s="3">
        <f>IF([@NetSeconds]="","",[@NetSeconds]/86400)</f>
      </c>
    </row>
    <row r="85" spans="1:11" x14ac:dyDescent="0.25">
      <c r="A85" t="s">
        <v>22</v>
      </c>
      <c r="B85">
        <f>IF([@Bib]="","",XLOOKUP([@Bib],tblReg[Bib],tblReg[Field],""))</f>
      </c>
      <c r="C85">
        <f>IF([@Bib]="","",XLOOKUP([@Bib],tblReg[Bib],tblReg[FirstName],""))</f>
      </c>
      <c r="D85">
        <f>IF([@Bib]="","",XLOOKUP([@Bib],tblReg[Bib],tblReg[LastName],""))</f>
      </c>
      <c r="E85">
        <f>IF([@Bib]="","",XLOOKUP([@Bib],tblReg[Bib],tblReg[Team],""))</f>
      </c>
      <c r="F85" s="3" t="s">
        <v>22</v>
      </c>
      <c r="G85">
        <f>IF([@StageTime]="","",HOUR([@StageTime])*3600 + MINUTE([@StageTime])*60 + SECOND([@StageTime]))</f>
      </c>
      <c r="H85">
        <f>IF([@StageSeconds]="","",RANK([@StageSeconds],tblStage3[StageSeconds],1))</f>
      </c>
      <c r="I85">
        <f>IF([@Position]="",0,XLOOKUP([@Position],Config!tblBonus[Place],Config!tblBonus[Stage3BonusSec],0))</f>
      </c>
      <c r="J85">
        <f>IF([@StageSeconds]="","",[@StageSeconds]-[@BonusSeconds])</f>
      </c>
      <c r="K85" s="3">
        <f>IF([@NetSeconds]="","",[@NetSeconds]/86400)</f>
      </c>
    </row>
    <row r="86" spans="1:11" x14ac:dyDescent="0.25">
      <c r="A86" t="s">
        <v>22</v>
      </c>
      <c r="B86">
        <f>IF([@Bib]="","",XLOOKUP([@Bib],tblReg[Bib],tblReg[Field],""))</f>
      </c>
      <c r="C86">
        <f>IF([@Bib]="","",XLOOKUP([@Bib],tblReg[Bib],tblReg[FirstName],""))</f>
      </c>
      <c r="D86">
        <f>IF([@Bib]="","",XLOOKUP([@Bib],tblReg[Bib],tblReg[LastName],""))</f>
      </c>
      <c r="E86">
        <f>IF([@Bib]="","",XLOOKUP([@Bib],tblReg[Bib],tblReg[Team],""))</f>
      </c>
      <c r="F86" s="3" t="s">
        <v>22</v>
      </c>
      <c r="G86">
        <f>IF([@StageTime]="","",HOUR([@StageTime])*3600 + MINUTE([@StageTime])*60 + SECOND([@StageTime]))</f>
      </c>
      <c r="H86">
        <f>IF([@StageSeconds]="","",RANK([@StageSeconds],tblStage3[StageSeconds],1))</f>
      </c>
      <c r="I86">
        <f>IF([@Position]="",0,XLOOKUP([@Position],Config!tblBonus[Place],Config!tblBonus[Stage3BonusSec],0))</f>
      </c>
      <c r="J86">
        <f>IF([@StageSeconds]="","",[@StageSeconds]-[@BonusSeconds])</f>
      </c>
      <c r="K86" s="3">
        <f>IF([@NetSeconds]="","",[@NetSeconds]/86400)</f>
      </c>
    </row>
    <row r="87" spans="1:11" x14ac:dyDescent="0.25">
      <c r="A87" t="s">
        <v>22</v>
      </c>
      <c r="B87">
        <f>IF([@Bib]="","",XLOOKUP([@Bib],tblReg[Bib],tblReg[Field],""))</f>
      </c>
      <c r="C87">
        <f>IF([@Bib]="","",XLOOKUP([@Bib],tblReg[Bib],tblReg[FirstName],""))</f>
      </c>
      <c r="D87">
        <f>IF([@Bib]="","",XLOOKUP([@Bib],tblReg[Bib],tblReg[LastName],""))</f>
      </c>
      <c r="E87">
        <f>IF([@Bib]="","",XLOOKUP([@Bib],tblReg[Bib],tblReg[Team],""))</f>
      </c>
      <c r="F87" s="3" t="s">
        <v>22</v>
      </c>
      <c r="G87">
        <f>IF([@StageTime]="","",HOUR([@StageTime])*3600 + MINUTE([@StageTime])*60 + SECOND([@StageTime]))</f>
      </c>
      <c r="H87">
        <f>IF([@StageSeconds]="","",RANK([@StageSeconds],tblStage3[StageSeconds],1))</f>
      </c>
      <c r="I87">
        <f>IF([@Position]="",0,XLOOKUP([@Position],Config!tblBonus[Place],Config!tblBonus[Stage3BonusSec],0))</f>
      </c>
      <c r="J87">
        <f>IF([@StageSeconds]="","",[@StageSeconds]-[@BonusSeconds])</f>
      </c>
      <c r="K87" s="3">
        <f>IF([@NetSeconds]="","",[@NetSeconds]/86400)</f>
      </c>
    </row>
    <row r="88" spans="1:11" x14ac:dyDescent="0.25">
      <c r="A88" t="s">
        <v>22</v>
      </c>
      <c r="B88">
        <f>IF([@Bib]="","",XLOOKUP([@Bib],tblReg[Bib],tblReg[Field],""))</f>
      </c>
      <c r="C88">
        <f>IF([@Bib]="","",XLOOKUP([@Bib],tblReg[Bib],tblReg[FirstName],""))</f>
      </c>
      <c r="D88">
        <f>IF([@Bib]="","",XLOOKUP([@Bib],tblReg[Bib],tblReg[LastName],""))</f>
      </c>
      <c r="E88">
        <f>IF([@Bib]="","",XLOOKUP([@Bib],tblReg[Bib],tblReg[Team],""))</f>
      </c>
      <c r="F88" s="3" t="s">
        <v>22</v>
      </c>
      <c r="G88">
        <f>IF([@StageTime]="","",HOUR([@StageTime])*3600 + MINUTE([@StageTime])*60 + SECOND([@StageTime]))</f>
      </c>
      <c r="H88">
        <f>IF([@StageSeconds]="","",RANK([@StageSeconds],tblStage3[StageSeconds],1))</f>
      </c>
      <c r="I88">
        <f>IF([@Position]="",0,XLOOKUP([@Position],Config!tblBonus[Place],Config!tblBonus[Stage3BonusSec],0))</f>
      </c>
      <c r="J88">
        <f>IF([@StageSeconds]="","",[@StageSeconds]-[@BonusSeconds])</f>
      </c>
      <c r="K88" s="3">
        <f>IF([@NetSeconds]="","",[@NetSeconds]/86400)</f>
      </c>
    </row>
    <row r="89" spans="1:11" x14ac:dyDescent="0.25">
      <c r="A89" t="s">
        <v>22</v>
      </c>
      <c r="B89">
        <f>IF([@Bib]="","",XLOOKUP([@Bib],tblReg[Bib],tblReg[Field],""))</f>
      </c>
      <c r="C89">
        <f>IF([@Bib]="","",XLOOKUP([@Bib],tblReg[Bib],tblReg[FirstName],""))</f>
      </c>
      <c r="D89">
        <f>IF([@Bib]="","",XLOOKUP([@Bib],tblReg[Bib],tblReg[LastName],""))</f>
      </c>
      <c r="E89">
        <f>IF([@Bib]="","",XLOOKUP([@Bib],tblReg[Bib],tblReg[Team],""))</f>
      </c>
      <c r="F89" s="3" t="s">
        <v>22</v>
      </c>
      <c r="G89">
        <f>IF([@StageTime]="","",HOUR([@StageTime])*3600 + MINUTE([@StageTime])*60 + SECOND([@StageTime]))</f>
      </c>
      <c r="H89">
        <f>IF([@StageSeconds]="","",RANK([@StageSeconds],tblStage3[StageSeconds],1))</f>
      </c>
      <c r="I89">
        <f>IF([@Position]="",0,XLOOKUP([@Position],Config!tblBonus[Place],Config!tblBonus[Stage3BonusSec],0))</f>
      </c>
      <c r="J89">
        <f>IF([@StageSeconds]="","",[@StageSeconds]-[@BonusSeconds])</f>
      </c>
      <c r="K89" s="3">
        <f>IF([@NetSeconds]="","",[@NetSeconds]/86400)</f>
      </c>
    </row>
    <row r="90" spans="1:11" x14ac:dyDescent="0.25">
      <c r="A90" t="s">
        <v>22</v>
      </c>
      <c r="B90">
        <f>IF([@Bib]="","",XLOOKUP([@Bib],tblReg[Bib],tblReg[Field],""))</f>
      </c>
      <c r="C90">
        <f>IF([@Bib]="","",XLOOKUP([@Bib],tblReg[Bib],tblReg[FirstName],""))</f>
      </c>
      <c r="D90">
        <f>IF([@Bib]="","",XLOOKUP([@Bib],tblReg[Bib],tblReg[LastName],""))</f>
      </c>
      <c r="E90">
        <f>IF([@Bib]="","",XLOOKUP([@Bib],tblReg[Bib],tblReg[Team],""))</f>
      </c>
      <c r="F90" s="3" t="s">
        <v>22</v>
      </c>
      <c r="G90">
        <f>IF([@StageTime]="","",HOUR([@StageTime])*3600 + MINUTE([@StageTime])*60 + SECOND([@StageTime]))</f>
      </c>
      <c r="H90">
        <f>IF([@StageSeconds]="","",RANK([@StageSeconds],tblStage3[StageSeconds],1))</f>
      </c>
      <c r="I90">
        <f>IF([@Position]="",0,XLOOKUP([@Position],Config!tblBonus[Place],Config!tblBonus[Stage3BonusSec],0))</f>
      </c>
      <c r="J90">
        <f>IF([@StageSeconds]="","",[@StageSeconds]-[@BonusSeconds])</f>
      </c>
      <c r="K90" s="3">
        <f>IF([@NetSeconds]="","",[@NetSeconds]/86400)</f>
      </c>
    </row>
    <row r="91" spans="1:11" x14ac:dyDescent="0.25">
      <c r="A91" t="s">
        <v>22</v>
      </c>
      <c r="B91">
        <f>IF([@Bib]="","",XLOOKUP([@Bib],tblReg[Bib],tblReg[Field],""))</f>
      </c>
      <c r="C91">
        <f>IF([@Bib]="","",XLOOKUP([@Bib],tblReg[Bib],tblReg[FirstName],""))</f>
      </c>
      <c r="D91">
        <f>IF([@Bib]="","",XLOOKUP([@Bib],tblReg[Bib],tblReg[LastName],""))</f>
      </c>
      <c r="E91">
        <f>IF([@Bib]="","",XLOOKUP([@Bib],tblReg[Bib],tblReg[Team],""))</f>
      </c>
      <c r="F91" s="3" t="s">
        <v>22</v>
      </c>
      <c r="G91">
        <f>IF([@StageTime]="","",HOUR([@StageTime])*3600 + MINUTE([@StageTime])*60 + SECOND([@StageTime]))</f>
      </c>
      <c r="H91">
        <f>IF([@StageSeconds]="","",RANK([@StageSeconds],tblStage3[StageSeconds],1))</f>
      </c>
      <c r="I91">
        <f>IF([@Position]="",0,XLOOKUP([@Position],Config!tblBonus[Place],Config!tblBonus[Stage3BonusSec],0))</f>
      </c>
      <c r="J91">
        <f>IF([@StageSeconds]="","",[@StageSeconds]-[@BonusSeconds])</f>
      </c>
      <c r="K91" s="3">
        <f>IF([@NetSeconds]="","",[@NetSeconds]/86400)</f>
      </c>
    </row>
    <row r="92" spans="1:11" x14ac:dyDescent="0.25">
      <c r="A92" t="s">
        <v>22</v>
      </c>
      <c r="B92">
        <f>IF([@Bib]="","",XLOOKUP([@Bib],tblReg[Bib],tblReg[Field],""))</f>
      </c>
      <c r="C92">
        <f>IF([@Bib]="","",XLOOKUP([@Bib],tblReg[Bib],tblReg[FirstName],""))</f>
      </c>
      <c r="D92">
        <f>IF([@Bib]="","",XLOOKUP([@Bib],tblReg[Bib],tblReg[LastName],""))</f>
      </c>
      <c r="E92">
        <f>IF([@Bib]="","",XLOOKUP([@Bib],tblReg[Bib],tblReg[Team],""))</f>
      </c>
      <c r="F92" s="3" t="s">
        <v>22</v>
      </c>
      <c r="G92">
        <f>IF([@StageTime]="","",HOUR([@StageTime])*3600 + MINUTE([@StageTime])*60 + SECOND([@StageTime]))</f>
      </c>
      <c r="H92">
        <f>IF([@StageSeconds]="","",RANK([@StageSeconds],tblStage3[StageSeconds],1))</f>
      </c>
      <c r="I92">
        <f>IF([@Position]="",0,XLOOKUP([@Position],Config!tblBonus[Place],Config!tblBonus[Stage3BonusSec],0))</f>
      </c>
      <c r="J92">
        <f>IF([@StageSeconds]="","",[@StageSeconds]-[@BonusSeconds])</f>
      </c>
      <c r="K92" s="3">
        <f>IF([@NetSeconds]="","",[@NetSeconds]/86400)</f>
      </c>
    </row>
    <row r="93" spans="1:11" x14ac:dyDescent="0.25">
      <c r="A93" t="s">
        <v>22</v>
      </c>
      <c r="B93">
        <f>IF([@Bib]="","",XLOOKUP([@Bib],tblReg[Bib],tblReg[Field],""))</f>
      </c>
      <c r="C93">
        <f>IF([@Bib]="","",XLOOKUP([@Bib],tblReg[Bib],tblReg[FirstName],""))</f>
      </c>
      <c r="D93">
        <f>IF([@Bib]="","",XLOOKUP([@Bib],tblReg[Bib],tblReg[LastName],""))</f>
      </c>
      <c r="E93">
        <f>IF([@Bib]="","",XLOOKUP([@Bib],tblReg[Bib],tblReg[Team],""))</f>
      </c>
      <c r="F93" s="3" t="s">
        <v>22</v>
      </c>
      <c r="G93">
        <f>IF([@StageTime]="","",HOUR([@StageTime])*3600 + MINUTE([@StageTime])*60 + SECOND([@StageTime]))</f>
      </c>
      <c r="H93">
        <f>IF([@StageSeconds]="","",RANK([@StageSeconds],tblStage3[StageSeconds],1))</f>
      </c>
      <c r="I93">
        <f>IF([@Position]="",0,XLOOKUP([@Position],Config!tblBonus[Place],Config!tblBonus[Stage3BonusSec],0))</f>
      </c>
      <c r="J93">
        <f>IF([@StageSeconds]="","",[@StageSeconds]-[@BonusSeconds])</f>
      </c>
      <c r="K93" s="3">
        <f>IF([@NetSeconds]="","",[@NetSeconds]/86400)</f>
      </c>
    </row>
    <row r="94" spans="1:11" x14ac:dyDescent="0.25">
      <c r="A94" t="s">
        <v>22</v>
      </c>
      <c r="B94">
        <f>IF([@Bib]="","",XLOOKUP([@Bib],tblReg[Bib],tblReg[Field],""))</f>
      </c>
      <c r="C94">
        <f>IF([@Bib]="","",XLOOKUP([@Bib],tblReg[Bib],tblReg[FirstName],""))</f>
      </c>
      <c r="D94">
        <f>IF([@Bib]="","",XLOOKUP([@Bib],tblReg[Bib],tblReg[LastName],""))</f>
      </c>
      <c r="E94">
        <f>IF([@Bib]="","",XLOOKUP([@Bib],tblReg[Bib],tblReg[Team],""))</f>
      </c>
      <c r="F94" s="3" t="s">
        <v>22</v>
      </c>
      <c r="G94">
        <f>IF([@StageTime]="","",HOUR([@StageTime])*3600 + MINUTE([@StageTime])*60 + SECOND([@StageTime]))</f>
      </c>
      <c r="H94">
        <f>IF([@StageSeconds]="","",RANK([@StageSeconds],tblStage3[StageSeconds],1))</f>
      </c>
      <c r="I94">
        <f>IF([@Position]="",0,XLOOKUP([@Position],Config!tblBonus[Place],Config!tblBonus[Stage3BonusSec],0))</f>
      </c>
      <c r="J94">
        <f>IF([@StageSeconds]="","",[@StageSeconds]-[@BonusSeconds])</f>
      </c>
      <c r="K94" s="3">
        <f>IF([@NetSeconds]="","",[@NetSeconds]/86400)</f>
      </c>
    </row>
    <row r="95" spans="1:11" x14ac:dyDescent="0.25">
      <c r="A95" t="s">
        <v>22</v>
      </c>
      <c r="B95">
        <f>IF([@Bib]="","",XLOOKUP([@Bib],tblReg[Bib],tblReg[Field],""))</f>
      </c>
      <c r="C95">
        <f>IF([@Bib]="","",XLOOKUP([@Bib],tblReg[Bib],tblReg[FirstName],""))</f>
      </c>
      <c r="D95">
        <f>IF([@Bib]="","",XLOOKUP([@Bib],tblReg[Bib],tblReg[LastName],""))</f>
      </c>
      <c r="E95">
        <f>IF([@Bib]="","",XLOOKUP([@Bib],tblReg[Bib],tblReg[Team],""))</f>
      </c>
      <c r="F95" s="3" t="s">
        <v>22</v>
      </c>
      <c r="G95">
        <f>IF([@StageTime]="","",HOUR([@StageTime])*3600 + MINUTE([@StageTime])*60 + SECOND([@StageTime]))</f>
      </c>
      <c r="H95">
        <f>IF([@StageSeconds]="","",RANK([@StageSeconds],tblStage3[StageSeconds],1))</f>
      </c>
      <c r="I95">
        <f>IF([@Position]="",0,XLOOKUP([@Position],Config!tblBonus[Place],Config!tblBonus[Stage3BonusSec],0))</f>
      </c>
      <c r="J95">
        <f>IF([@StageSeconds]="","",[@StageSeconds]-[@BonusSeconds])</f>
      </c>
      <c r="K95" s="3">
        <f>IF([@NetSeconds]="","",[@NetSeconds]/86400)</f>
      </c>
    </row>
    <row r="96" spans="1:11" x14ac:dyDescent="0.25">
      <c r="A96" t="s">
        <v>22</v>
      </c>
      <c r="B96">
        <f>IF([@Bib]="","",XLOOKUP([@Bib],tblReg[Bib],tblReg[Field],""))</f>
      </c>
      <c r="C96">
        <f>IF([@Bib]="","",XLOOKUP([@Bib],tblReg[Bib],tblReg[FirstName],""))</f>
      </c>
      <c r="D96">
        <f>IF([@Bib]="","",XLOOKUP([@Bib],tblReg[Bib],tblReg[LastName],""))</f>
      </c>
      <c r="E96">
        <f>IF([@Bib]="","",XLOOKUP([@Bib],tblReg[Bib],tblReg[Team],""))</f>
      </c>
      <c r="F96" s="3" t="s">
        <v>22</v>
      </c>
      <c r="G96">
        <f>IF([@StageTime]="","",HOUR([@StageTime])*3600 + MINUTE([@StageTime])*60 + SECOND([@StageTime]))</f>
      </c>
      <c r="H96">
        <f>IF([@StageSeconds]="","",RANK([@StageSeconds],tblStage3[StageSeconds],1))</f>
      </c>
      <c r="I96">
        <f>IF([@Position]="",0,XLOOKUP([@Position],Config!tblBonus[Place],Config!tblBonus[Stage3BonusSec],0))</f>
      </c>
      <c r="J96">
        <f>IF([@StageSeconds]="","",[@StageSeconds]-[@BonusSeconds])</f>
      </c>
      <c r="K96" s="3">
        <f>IF([@NetSeconds]="","",[@NetSeconds]/86400)</f>
      </c>
    </row>
    <row r="97" spans="1:11" x14ac:dyDescent="0.25">
      <c r="A97" t="s">
        <v>22</v>
      </c>
      <c r="B97">
        <f>IF([@Bib]="","",XLOOKUP([@Bib],tblReg[Bib],tblReg[Field],""))</f>
      </c>
      <c r="C97">
        <f>IF([@Bib]="","",XLOOKUP([@Bib],tblReg[Bib],tblReg[FirstName],""))</f>
      </c>
      <c r="D97">
        <f>IF([@Bib]="","",XLOOKUP([@Bib],tblReg[Bib],tblReg[LastName],""))</f>
      </c>
      <c r="E97">
        <f>IF([@Bib]="","",XLOOKUP([@Bib],tblReg[Bib],tblReg[Team],""))</f>
      </c>
      <c r="F97" s="3" t="s">
        <v>22</v>
      </c>
      <c r="G97">
        <f>IF([@StageTime]="","",HOUR([@StageTime])*3600 + MINUTE([@StageTime])*60 + SECOND([@StageTime]))</f>
      </c>
      <c r="H97">
        <f>IF([@StageSeconds]="","",RANK([@StageSeconds],tblStage3[StageSeconds],1))</f>
      </c>
      <c r="I97">
        <f>IF([@Position]="",0,XLOOKUP([@Position],Config!tblBonus[Place],Config!tblBonus[Stage3BonusSec],0))</f>
      </c>
      <c r="J97">
        <f>IF([@StageSeconds]="","",[@StageSeconds]-[@BonusSeconds])</f>
      </c>
      <c r="K97" s="3">
        <f>IF([@NetSeconds]="","",[@NetSeconds]/86400)</f>
      </c>
    </row>
    <row r="98" spans="1:11" x14ac:dyDescent="0.25">
      <c r="A98" t="s">
        <v>22</v>
      </c>
      <c r="B98">
        <f>IF([@Bib]="","",XLOOKUP([@Bib],tblReg[Bib],tblReg[Field],""))</f>
      </c>
      <c r="C98">
        <f>IF([@Bib]="","",XLOOKUP([@Bib],tblReg[Bib],tblReg[FirstName],""))</f>
      </c>
      <c r="D98">
        <f>IF([@Bib]="","",XLOOKUP([@Bib],tblReg[Bib],tblReg[LastName],""))</f>
      </c>
      <c r="E98">
        <f>IF([@Bib]="","",XLOOKUP([@Bib],tblReg[Bib],tblReg[Team],""))</f>
      </c>
      <c r="F98" s="3" t="s">
        <v>22</v>
      </c>
      <c r="G98">
        <f>IF([@StageTime]="","",HOUR([@StageTime])*3600 + MINUTE([@StageTime])*60 + SECOND([@StageTime]))</f>
      </c>
      <c r="H98">
        <f>IF([@StageSeconds]="","",RANK([@StageSeconds],tblStage3[StageSeconds],1))</f>
      </c>
      <c r="I98">
        <f>IF([@Position]="",0,XLOOKUP([@Position],Config!tblBonus[Place],Config!tblBonus[Stage3BonusSec],0))</f>
      </c>
      <c r="J98">
        <f>IF([@StageSeconds]="","",[@StageSeconds]-[@BonusSeconds])</f>
      </c>
      <c r="K98" s="3">
        <f>IF([@NetSeconds]="","",[@NetSeconds]/86400)</f>
      </c>
    </row>
    <row r="99" spans="1:11" x14ac:dyDescent="0.25">
      <c r="A99" t="s">
        <v>22</v>
      </c>
      <c r="B99">
        <f>IF([@Bib]="","",XLOOKUP([@Bib],tblReg[Bib],tblReg[Field],""))</f>
      </c>
      <c r="C99">
        <f>IF([@Bib]="","",XLOOKUP([@Bib],tblReg[Bib],tblReg[FirstName],""))</f>
      </c>
      <c r="D99">
        <f>IF([@Bib]="","",XLOOKUP([@Bib],tblReg[Bib],tblReg[LastName],""))</f>
      </c>
      <c r="E99">
        <f>IF([@Bib]="","",XLOOKUP([@Bib],tblReg[Bib],tblReg[Team],""))</f>
      </c>
      <c r="F99" s="3" t="s">
        <v>22</v>
      </c>
      <c r="G99">
        <f>IF([@StageTime]="","",HOUR([@StageTime])*3600 + MINUTE([@StageTime])*60 + SECOND([@StageTime]))</f>
      </c>
      <c r="H99">
        <f>IF([@StageSeconds]="","",RANK([@StageSeconds],tblStage3[StageSeconds],1))</f>
      </c>
      <c r="I99">
        <f>IF([@Position]="",0,XLOOKUP([@Position],Config!tblBonus[Place],Config!tblBonus[Stage3BonusSec],0))</f>
      </c>
      <c r="J99">
        <f>IF([@StageSeconds]="","",[@StageSeconds]-[@BonusSeconds])</f>
      </c>
      <c r="K99" s="3">
        <f>IF([@NetSeconds]="","",[@NetSeconds]/86400)</f>
      </c>
    </row>
    <row r="100" spans="1:11" x14ac:dyDescent="0.25">
      <c r="A100" t="s">
        <v>22</v>
      </c>
      <c r="B100">
        <f>IF([@Bib]="","",XLOOKUP([@Bib],tblReg[Bib],tblReg[Field],""))</f>
      </c>
      <c r="C100">
        <f>IF([@Bib]="","",XLOOKUP([@Bib],tblReg[Bib],tblReg[FirstName],""))</f>
      </c>
      <c r="D100">
        <f>IF([@Bib]="","",XLOOKUP([@Bib],tblReg[Bib],tblReg[LastName],""))</f>
      </c>
      <c r="E100">
        <f>IF([@Bib]="","",XLOOKUP([@Bib],tblReg[Bib],tblReg[Team],""))</f>
      </c>
      <c r="F100" s="3" t="s">
        <v>22</v>
      </c>
      <c r="G100">
        <f>IF([@StageTime]="","",HOUR([@StageTime])*3600 + MINUTE([@StageTime])*60 + SECOND([@StageTime]))</f>
      </c>
      <c r="H100">
        <f>IF([@StageSeconds]="","",RANK([@StageSeconds],tblStage3[StageSeconds],1))</f>
      </c>
      <c r="I100">
        <f>IF([@Position]="",0,XLOOKUP([@Position],Config!tblBonus[Place],Config!tblBonus[Stage3BonusSec],0))</f>
      </c>
      <c r="J100">
        <f>IF([@StageSeconds]="","",[@StageSeconds]-[@BonusSeconds])</f>
      </c>
      <c r="K100" s="3">
        <f>IF([@NetSeconds]="","",[@NetSeconds]/86400)</f>
      </c>
    </row>
    <row r="101" spans="1:11" x14ac:dyDescent="0.25">
      <c r="A101" t="s">
        <v>22</v>
      </c>
      <c r="B101">
        <f>IF([@Bib]="","",XLOOKUP([@Bib],tblReg[Bib],tblReg[Field],""))</f>
      </c>
      <c r="C101">
        <f>IF([@Bib]="","",XLOOKUP([@Bib],tblReg[Bib],tblReg[FirstName],""))</f>
      </c>
      <c r="D101">
        <f>IF([@Bib]="","",XLOOKUP([@Bib],tblReg[Bib],tblReg[LastName],""))</f>
      </c>
      <c r="E101">
        <f>IF([@Bib]="","",XLOOKUP([@Bib],tblReg[Bib],tblReg[Team],""))</f>
      </c>
      <c r="F101" s="3" t="s">
        <v>22</v>
      </c>
      <c r="G101">
        <f>IF([@StageTime]="","",HOUR([@StageTime])*3600 + MINUTE([@StageTime])*60 + SECOND([@StageTime]))</f>
      </c>
      <c r="H101">
        <f>IF([@StageSeconds]="","",RANK([@StageSeconds],tblStage3[StageSeconds],1))</f>
      </c>
      <c r="I101">
        <f>IF([@Position]="",0,XLOOKUP([@Position],Config!tblBonus[Place],Config!tblBonus[Stage3BonusSec],0))</f>
      </c>
      <c r="J101">
        <f>IF([@StageSeconds]="","",[@StageSeconds]-[@BonusSeconds])</f>
      </c>
      <c r="K101" s="3">
        <f>IF([@NetSeconds]="","",[@NetSeconds]/86400)</f>
      </c>
    </row>
    <row r="102" spans="1:11" x14ac:dyDescent="0.25">
      <c r="A102" t="s">
        <v>22</v>
      </c>
      <c r="B102">
        <f>IF([@Bib]="","",XLOOKUP([@Bib],tblReg[Bib],tblReg[Field],""))</f>
      </c>
      <c r="C102">
        <f>IF([@Bib]="","",XLOOKUP([@Bib],tblReg[Bib],tblReg[FirstName],""))</f>
      </c>
      <c r="D102">
        <f>IF([@Bib]="","",XLOOKUP([@Bib],tblReg[Bib],tblReg[LastName],""))</f>
      </c>
      <c r="E102">
        <f>IF([@Bib]="","",XLOOKUP([@Bib],tblReg[Bib],tblReg[Team],""))</f>
      </c>
      <c r="F102" s="3" t="s">
        <v>22</v>
      </c>
      <c r="G102">
        <f>IF([@StageTime]="","",HOUR([@StageTime])*3600 + MINUTE([@StageTime])*60 + SECOND([@StageTime]))</f>
      </c>
      <c r="H102">
        <f>IF([@StageSeconds]="","",RANK([@StageSeconds],tblStage3[StageSeconds],1))</f>
      </c>
      <c r="I102">
        <f>IF([@Position]="",0,XLOOKUP([@Position],Config!tblBonus[Place],Config!tblBonus[Stage3BonusSec],0))</f>
      </c>
      <c r="J102">
        <f>IF([@StageSeconds]="","",[@StageSeconds]-[@BonusSeconds])</f>
      </c>
      <c r="K102" s="3">
        <f>IF([@NetSeconds]="","",[@NetSeconds]/86400)</f>
      </c>
    </row>
    <row r="103" spans="1:11" x14ac:dyDescent="0.25">
      <c r="A103" t="s">
        <v>22</v>
      </c>
      <c r="B103">
        <f>IF([@Bib]="","",XLOOKUP([@Bib],tblReg[Bib],tblReg[Field],""))</f>
      </c>
      <c r="C103">
        <f>IF([@Bib]="","",XLOOKUP([@Bib],tblReg[Bib],tblReg[FirstName],""))</f>
      </c>
      <c r="D103">
        <f>IF([@Bib]="","",XLOOKUP([@Bib],tblReg[Bib],tblReg[LastName],""))</f>
      </c>
      <c r="E103">
        <f>IF([@Bib]="","",XLOOKUP([@Bib],tblReg[Bib],tblReg[Team],""))</f>
      </c>
      <c r="F103" s="3" t="s">
        <v>22</v>
      </c>
      <c r="G103">
        <f>IF([@StageTime]="","",HOUR([@StageTime])*3600 + MINUTE([@StageTime])*60 + SECOND([@StageTime]))</f>
      </c>
      <c r="H103">
        <f>IF([@StageSeconds]="","",RANK([@StageSeconds],tblStage3[StageSeconds],1))</f>
      </c>
      <c r="I103">
        <f>IF([@Position]="",0,XLOOKUP([@Position],Config!tblBonus[Place],Config!tblBonus[Stage3BonusSec],0))</f>
      </c>
      <c r="J103">
        <f>IF([@StageSeconds]="","",[@StageSeconds]-[@BonusSeconds])</f>
      </c>
      <c r="K103" s="3">
        <f>IF([@NetSeconds]="","",[@NetSeconds]/86400)</f>
      </c>
    </row>
    <row r="104" spans="1:11" x14ac:dyDescent="0.25">
      <c r="A104" t="s">
        <v>22</v>
      </c>
      <c r="B104">
        <f>IF([@Bib]="","",XLOOKUP([@Bib],tblReg[Bib],tblReg[Field],""))</f>
      </c>
      <c r="C104">
        <f>IF([@Bib]="","",XLOOKUP([@Bib],tblReg[Bib],tblReg[FirstName],""))</f>
      </c>
      <c r="D104">
        <f>IF([@Bib]="","",XLOOKUP([@Bib],tblReg[Bib],tblReg[LastName],""))</f>
      </c>
      <c r="E104">
        <f>IF([@Bib]="","",XLOOKUP([@Bib],tblReg[Bib],tblReg[Team],""))</f>
      </c>
      <c r="F104" s="3" t="s">
        <v>22</v>
      </c>
      <c r="G104">
        <f>IF([@StageTime]="","",HOUR([@StageTime])*3600 + MINUTE([@StageTime])*60 + SECOND([@StageTime]))</f>
      </c>
      <c r="H104">
        <f>IF([@StageSeconds]="","",RANK([@StageSeconds],tblStage3[StageSeconds],1))</f>
      </c>
      <c r="I104">
        <f>IF([@Position]="",0,XLOOKUP([@Position],Config!tblBonus[Place],Config!tblBonus[Stage3BonusSec],0))</f>
      </c>
      <c r="J104">
        <f>IF([@StageSeconds]="","",[@StageSeconds]-[@BonusSeconds])</f>
      </c>
      <c r="K104" s="3">
        <f>IF([@NetSeconds]="","",[@NetSeconds]/86400)</f>
      </c>
    </row>
    <row r="105" spans="1:11" x14ac:dyDescent="0.25">
      <c r="A105" t="s">
        <v>22</v>
      </c>
      <c r="B105">
        <f>IF([@Bib]="","",XLOOKUP([@Bib],tblReg[Bib],tblReg[Field],""))</f>
      </c>
      <c r="C105">
        <f>IF([@Bib]="","",XLOOKUP([@Bib],tblReg[Bib],tblReg[FirstName],""))</f>
      </c>
      <c r="D105">
        <f>IF([@Bib]="","",XLOOKUP([@Bib],tblReg[Bib],tblReg[LastName],""))</f>
      </c>
      <c r="E105">
        <f>IF([@Bib]="","",XLOOKUP([@Bib],tblReg[Bib],tblReg[Team],""))</f>
      </c>
      <c r="F105" s="3" t="s">
        <v>22</v>
      </c>
      <c r="G105">
        <f>IF([@StageTime]="","",HOUR([@StageTime])*3600 + MINUTE([@StageTime])*60 + SECOND([@StageTime]))</f>
      </c>
      <c r="H105">
        <f>IF([@StageSeconds]="","",RANK([@StageSeconds],tblStage3[StageSeconds],1))</f>
      </c>
      <c r="I105">
        <f>IF([@Position]="",0,XLOOKUP([@Position],Config!tblBonus[Place],Config!tblBonus[Stage3BonusSec],0))</f>
      </c>
      <c r="J105">
        <f>IF([@StageSeconds]="","",[@StageSeconds]-[@BonusSeconds])</f>
      </c>
      <c r="K105" s="3">
        <f>IF([@NetSeconds]="","",[@NetSeconds]/86400)</f>
      </c>
    </row>
    <row r="106" spans="1:11" x14ac:dyDescent="0.25">
      <c r="A106" t="s">
        <v>22</v>
      </c>
      <c r="B106">
        <f>IF([@Bib]="","",XLOOKUP([@Bib],tblReg[Bib],tblReg[Field],""))</f>
      </c>
      <c r="C106">
        <f>IF([@Bib]="","",XLOOKUP([@Bib],tblReg[Bib],tblReg[FirstName],""))</f>
      </c>
      <c r="D106">
        <f>IF([@Bib]="","",XLOOKUP([@Bib],tblReg[Bib],tblReg[LastName],""))</f>
      </c>
      <c r="E106">
        <f>IF([@Bib]="","",XLOOKUP([@Bib],tblReg[Bib],tblReg[Team],""))</f>
      </c>
      <c r="F106" s="3" t="s">
        <v>22</v>
      </c>
      <c r="G106">
        <f>IF([@StageTime]="","",HOUR([@StageTime])*3600 + MINUTE([@StageTime])*60 + SECOND([@StageTime]))</f>
      </c>
      <c r="H106">
        <f>IF([@StageSeconds]="","",RANK([@StageSeconds],tblStage3[StageSeconds],1))</f>
      </c>
      <c r="I106">
        <f>IF([@Position]="",0,XLOOKUP([@Position],Config!tblBonus[Place],Config!tblBonus[Stage3BonusSec],0))</f>
      </c>
      <c r="J106">
        <f>IF([@StageSeconds]="","",[@StageSeconds]-[@BonusSeconds])</f>
      </c>
      <c r="K106" s="3">
        <f>IF([@NetSeconds]="","",[@NetSeconds]/86400)</f>
      </c>
    </row>
    <row r="107" spans="1:11" x14ac:dyDescent="0.25">
      <c r="A107" t="s">
        <v>22</v>
      </c>
      <c r="B107">
        <f>IF([@Bib]="","",XLOOKUP([@Bib],tblReg[Bib],tblReg[Field],""))</f>
      </c>
      <c r="C107">
        <f>IF([@Bib]="","",XLOOKUP([@Bib],tblReg[Bib],tblReg[FirstName],""))</f>
      </c>
      <c r="D107">
        <f>IF([@Bib]="","",XLOOKUP([@Bib],tblReg[Bib],tblReg[LastName],""))</f>
      </c>
      <c r="E107">
        <f>IF([@Bib]="","",XLOOKUP([@Bib],tblReg[Bib],tblReg[Team],""))</f>
      </c>
      <c r="F107" s="3" t="s">
        <v>22</v>
      </c>
      <c r="G107">
        <f>IF([@StageTime]="","",HOUR([@StageTime])*3600 + MINUTE([@StageTime])*60 + SECOND([@StageTime]))</f>
      </c>
      <c r="H107">
        <f>IF([@StageSeconds]="","",RANK([@StageSeconds],tblStage3[StageSeconds],1))</f>
      </c>
      <c r="I107">
        <f>IF([@Position]="",0,XLOOKUP([@Position],Config!tblBonus[Place],Config!tblBonus[Stage3BonusSec],0))</f>
      </c>
      <c r="J107">
        <f>IF([@StageSeconds]="","",[@StageSeconds]-[@BonusSeconds])</f>
      </c>
      <c r="K107" s="3">
        <f>IF([@NetSeconds]="","",[@NetSeconds]/86400)</f>
      </c>
    </row>
    <row r="108" spans="1:11" x14ac:dyDescent="0.25">
      <c r="A108" t="s">
        <v>22</v>
      </c>
      <c r="B108">
        <f>IF([@Bib]="","",XLOOKUP([@Bib],tblReg[Bib],tblReg[Field],""))</f>
      </c>
      <c r="C108">
        <f>IF([@Bib]="","",XLOOKUP([@Bib],tblReg[Bib],tblReg[FirstName],""))</f>
      </c>
      <c r="D108">
        <f>IF([@Bib]="","",XLOOKUP([@Bib],tblReg[Bib],tblReg[LastName],""))</f>
      </c>
      <c r="E108">
        <f>IF([@Bib]="","",XLOOKUP([@Bib],tblReg[Bib],tblReg[Team],""))</f>
      </c>
      <c r="F108" s="3" t="s">
        <v>22</v>
      </c>
      <c r="G108">
        <f>IF([@StageTime]="","",HOUR([@StageTime])*3600 + MINUTE([@StageTime])*60 + SECOND([@StageTime]))</f>
      </c>
      <c r="H108">
        <f>IF([@StageSeconds]="","",RANK([@StageSeconds],tblStage3[StageSeconds],1))</f>
      </c>
      <c r="I108">
        <f>IF([@Position]="",0,XLOOKUP([@Position],Config!tblBonus[Place],Config!tblBonus[Stage3BonusSec],0))</f>
      </c>
      <c r="J108">
        <f>IF([@StageSeconds]="","",[@StageSeconds]-[@BonusSeconds])</f>
      </c>
      <c r="K108" s="3">
        <f>IF([@NetSeconds]="","",[@NetSeconds]/86400)</f>
      </c>
    </row>
    <row r="109" spans="1:11" x14ac:dyDescent="0.25">
      <c r="A109" t="s">
        <v>22</v>
      </c>
      <c r="B109">
        <f>IF([@Bib]="","",XLOOKUP([@Bib],tblReg[Bib],tblReg[Field],""))</f>
      </c>
      <c r="C109">
        <f>IF([@Bib]="","",XLOOKUP([@Bib],tblReg[Bib],tblReg[FirstName],""))</f>
      </c>
      <c r="D109">
        <f>IF([@Bib]="","",XLOOKUP([@Bib],tblReg[Bib],tblReg[LastName],""))</f>
      </c>
      <c r="E109">
        <f>IF([@Bib]="","",XLOOKUP([@Bib],tblReg[Bib],tblReg[Team],""))</f>
      </c>
      <c r="F109" s="3" t="s">
        <v>22</v>
      </c>
      <c r="G109">
        <f>IF([@StageTime]="","",HOUR([@StageTime])*3600 + MINUTE([@StageTime])*60 + SECOND([@StageTime]))</f>
      </c>
      <c r="H109">
        <f>IF([@StageSeconds]="","",RANK([@StageSeconds],tblStage3[StageSeconds],1))</f>
      </c>
      <c r="I109">
        <f>IF([@Position]="",0,XLOOKUP([@Position],Config!tblBonus[Place],Config!tblBonus[Stage3BonusSec],0))</f>
      </c>
      <c r="J109">
        <f>IF([@StageSeconds]="","",[@StageSeconds]-[@BonusSeconds])</f>
      </c>
      <c r="K109" s="3">
        <f>IF([@NetSeconds]="","",[@NetSeconds]/86400)</f>
      </c>
    </row>
    <row r="110" spans="1:11" x14ac:dyDescent="0.25">
      <c r="A110" t="s">
        <v>22</v>
      </c>
      <c r="B110">
        <f>IF([@Bib]="","",XLOOKUP([@Bib],tblReg[Bib],tblReg[Field],""))</f>
      </c>
      <c r="C110">
        <f>IF([@Bib]="","",XLOOKUP([@Bib],tblReg[Bib],tblReg[FirstName],""))</f>
      </c>
      <c r="D110">
        <f>IF([@Bib]="","",XLOOKUP([@Bib],tblReg[Bib],tblReg[LastName],""))</f>
      </c>
      <c r="E110">
        <f>IF([@Bib]="","",XLOOKUP([@Bib],tblReg[Bib],tblReg[Team],""))</f>
      </c>
      <c r="F110" s="3" t="s">
        <v>22</v>
      </c>
      <c r="G110">
        <f>IF([@StageTime]="","",HOUR([@StageTime])*3600 + MINUTE([@StageTime])*60 + SECOND([@StageTime]))</f>
      </c>
      <c r="H110">
        <f>IF([@StageSeconds]="","",RANK([@StageSeconds],tblStage3[StageSeconds],1))</f>
      </c>
      <c r="I110">
        <f>IF([@Position]="",0,XLOOKUP([@Position],Config!tblBonus[Place],Config!tblBonus[Stage3BonusSec],0))</f>
      </c>
      <c r="J110">
        <f>IF([@StageSeconds]="","",[@StageSeconds]-[@BonusSeconds])</f>
      </c>
      <c r="K110" s="3">
        <f>IF([@NetSeconds]="","",[@NetSeconds]/86400)</f>
      </c>
    </row>
    <row r="111" spans="1:11" x14ac:dyDescent="0.25">
      <c r="A111" t="s">
        <v>22</v>
      </c>
      <c r="B111">
        <f>IF([@Bib]="","",XLOOKUP([@Bib],tblReg[Bib],tblReg[Field],""))</f>
      </c>
      <c r="C111">
        <f>IF([@Bib]="","",XLOOKUP([@Bib],tblReg[Bib],tblReg[FirstName],""))</f>
      </c>
      <c r="D111">
        <f>IF([@Bib]="","",XLOOKUP([@Bib],tblReg[Bib],tblReg[LastName],""))</f>
      </c>
      <c r="E111">
        <f>IF([@Bib]="","",XLOOKUP([@Bib],tblReg[Bib],tblReg[Team],""))</f>
      </c>
      <c r="F111" s="3" t="s">
        <v>22</v>
      </c>
      <c r="G111">
        <f>IF([@StageTime]="","",HOUR([@StageTime])*3600 + MINUTE([@StageTime])*60 + SECOND([@StageTime]))</f>
      </c>
      <c r="H111">
        <f>IF([@StageSeconds]="","",RANK([@StageSeconds],tblStage3[StageSeconds],1))</f>
      </c>
      <c r="I111">
        <f>IF([@Position]="",0,XLOOKUP([@Position],Config!tblBonus[Place],Config!tblBonus[Stage3BonusSec],0))</f>
      </c>
      <c r="J111">
        <f>IF([@StageSeconds]="","",[@StageSeconds]-[@BonusSeconds])</f>
      </c>
      <c r="K111" s="3">
        <f>IF([@NetSeconds]="","",[@NetSeconds]/86400)</f>
      </c>
    </row>
    <row r="112" spans="1:11" x14ac:dyDescent="0.25">
      <c r="A112" t="s">
        <v>22</v>
      </c>
      <c r="B112">
        <f>IF([@Bib]="","",XLOOKUP([@Bib],tblReg[Bib],tblReg[Field],""))</f>
      </c>
      <c r="C112">
        <f>IF([@Bib]="","",XLOOKUP([@Bib],tblReg[Bib],tblReg[FirstName],""))</f>
      </c>
      <c r="D112">
        <f>IF([@Bib]="","",XLOOKUP([@Bib],tblReg[Bib],tblReg[LastName],""))</f>
      </c>
      <c r="E112">
        <f>IF([@Bib]="","",XLOOKUP([@Bib],tblReg[Bib],tblReg[Team],""))</f>
      </c>
      <c r="F112" s="3" t="s">
        <v>22</v>
      </c>
      <c r="G112">
        <f>IF([@StageTime]="","",HOUR([@StageTime])*3600 + MINUTE([@StageTime])*60 + SECOND([@StageTime]))</f>
      </c>
      <c r="H112">
        <f>IF([@StageSeconds]="","",RANK([@StageSeconds],tblStage3[StageSeconds],1))</f>
      </c>
      <c r="I112">
        <f>IF([@Position]="",0,XLOOKUP([@Position],Config!tblBonus[Place],Config!tblBonus[Stage3BonusSec],0))</f>
      </c>
      <c r="J112">
        <f>IF([@StageSeconds]="","",[@StageSeconds]-[@BonusSeconds])</f>
      </c>
      <c r="K112" s="3">
        <f>IF([@NetSeconds]="","",[@NetSeconds]/86400)</f>
      </c>
    </row>
    <row r="113" spans="1:11" x14ac:dyDescent="0.25">
      <c r="A113" t="s">
        <v>22</v>
      </c>
      <c r="B113">
        <f>IF([@Bib]="","",XLOOKUP([@Bib],tblReg[Bib],tblReg[Field],""))</f>
      </c>
      <c r="C113">
        <f>IF([@Bib]="","",XLOOKUP([@Bib],tblReg[Bib],tblReg[FirstName],""))</f>
      </c>
      <c r="D113">
        <f>IF([@Bib]="","",XLOOKUP([@Bib],tblReg[Bib],tblReg[LastName],""))</f>
      </c>
      <c r="E113">
        <f>IF([@Bib]="","",XLOOKUP([@Bib],tblReg[Bib],tblReg[Team],""))</f>
      </c>
      <c r="F113" s="3" t="s">
        <v>22</v>
      </c>
      <c r="G113">
        <f>IF([@StageTime]="","",HOUR([@StageTime])*3600 + MINUTE([@StageTime])*60 + SECOND([@StageTime]))</f>
      </c>
      <c r="H113">
        <f>IF([@StageSeconds]="","",RANK([@StageSeconds],tblStage3[StageSeconds],1))</f>
      </c>
      <c r="I113">
        <f>IF([@Position]="",0,XLOOKUP([@Position],Config!tblBonus[Place],Config!tblBonus[Stage3BonusSec],0))</f>
      </c>
      <c r="J113">
        <f>IF([@StageSeconds]="","",[@StageSeconds]-[@BonusSeconds])</f>
      </c>
      <c r="K113" s="3">
        <f>IF([@NetSeconds]="","",[@NetSeconds]/86400)</f>
      </c>
    </row>
    <row r="114" spans="1:11" x14ac:dyDescent="0.25">
      <c r="A114" t="s">
        <v>22</v>
      </c>
      <c r="B114">
        <f>IF([@Bib]="","",XLOOKUP([@Bib],tblReg[Bib],tblReg[Field],""))</f>
      </c>
      <c r="C114">
        <f>IF([@Bib]="","",XLOOKUP([@Bib],tblReg[Bib],tblReg[FirstName],""))</f>
      </c>
      <c r="D114">
        <f>IF([@Bib]="","",XLOOKUP([@Bib],tblReg[Bib],tblReg[LastName],""))</f>
      </c>
      <c r="E114">
        <f>IF([@Bib]="","",XLOOKUP([@Bib],tblReg[Bib],tblReg[Team],""))</f>
      </c>
      <c r="F114" s="3" t="s">
        <v>22</v>
      </c>
      <c r="G114">
        <f>IF([@StageTime]="","",HOUR([@StageTime])*3600 + MINUTE([@StageTime])*60 + SECOND([@StageTime]))</f>
      </c>
      <c r="H114">
        <f>IF([@StageSeconds]="","",RANK([@StageSeconds],tblStage3[StageSeconds],1))</f>
      </c>
      <c r="I114">
        <f>IF([@Position]="",0,XLOOKUP([@Position],Config!tblBonus[Place],Config!tblBonus[Stage3BonusSec],0))</f>
      </c>
      <c r="J114">
        <f>IF([@StageSeconds]="","",[@StageSeconds]-[@BonusSeconds])</f>
      </c>
      <c r="K114" s="3">
        <f>IF([@NetSeconds]="","",[@NetSeconds]/86400)</f>
      </c>
    </row>
    <row r="115" spans="1:11" x14ac:dyDescent="0.25">
      <c r="A115" t="s">
        <v>22</v>
      </c>
      <c r="B115">
        <f>IF([@Bib]="","",XLOOKUP([@Bib],tblReg[Bib],tblReg[Field],""))</f>
      </c>
      <c r="C115">
        <f>IF([@Bib]="","",XLOOKUP([@Bib],tblReg[Bib],tblReg[FirstName],""))</f>
      </c>
      <c r="D115">
        <f>IF([@Bib]="","",XLOOKUP([@Bib],tblReg[Bib],tblReg[LastName],""))</f>
      </c>
      <c r="E115">
        <f>IF([@Bib]="","",XLOOKUP([@Bib],tblReg[Bib],tblReg[Team],""))</f>
      </c>
      <c r="F115" s="3" t="s">
        <v>22</v>
      </c>
      <c r="G115">
        <f>IF([@StageTime]="","",HOUR([@StageTime])*3600 + MINUTE([@StageTime])*60 + SECOND([@StageTime]))</f>
      </c>
      <c r="H115">
        <f>IF([@StageSeconds]="","",RANK([@StageSeconds],tblStage3[StageSeconds],1))</f>
      </c>
      <c r="I115">
        <f>IF([@Position]="",0,XLOOKUP([@Position],Config!tblBonus[Place],Config!tblBonus[Stage3BonusSec],0))</f>
      </c>
      <c r="J115">
        <f>IF([@StageSeconds]="","",[@StageSeconds]-[@BonusSeconds])</f>
      </c>
      <c r="K115" s="3">
        <f>IF([@NetSeconds]="","",[@NetSeconds]/86400)</f>
      </c>
    </row>
    <row r="116" spans="1:11" x14ac:dyDescent="0.25">
      <c r="A116" t="s">
        <v>22</v>
      </c>
      <c r="B116">
        <f>IF([@Bib]="","",XLOOKUP([@Bib],tblReg[Bib],tblReg[Field],""))</f>
      </c>
      <c r="C116">
        <f>IF([@Bib]="","",XLOOKUP([@Bib],tblReg[Bib],tblReg[FirstName],""))</f>
      </c>
      <c r="D116">
        <f>IF([@Bib]="","",XLOOKUP([@Bib],tblReg[Bib],tblReg[LastName],""))</f>
      </c>
      <c r="E116">
        <f>IF([@Bib]="","",XLOOKUP([@Bib],tblReg[Bib],tblReg[Team],""))</f>
      </c>
      <c r="F116" s="3" t="s">
        <v>22</v>
      </c>
      <c r="G116">
        <f>IF([@StageTime]="","",HOUR([@StageTime])*3600 + MINUTE([@StageTime])*60 + SECOND([@StageTime]))</f>
      </c>
      <c r="H116">
        <f>IF([@StageSeconds]="","",RANK([@StageSeconds],tblStage3[StageSeconds],1))</f>
      </c>
      <c r="I116">
        <f>IF([@Position]="",0,XLOOKUP([@Position],Config!tblBonus[Place],Config!tblBonus[Stage3BonusSec],0))</f>
      </c>
      <c r="J116">
        <f>IF([@StageSeconds]="","",[@StageSeconds]-[@BonusSeconds])</f>
      </c>
      <c r="K116" s="3">
        <f>IF([@NetSeconds]="","",[@NetSeconds]/86400)</f>
      </c>
    </row>
    <row r="117" spans="1:11" x14ac:dyDescent="0.25">
      <c r="A117" t="s">
        <v>22</v>
      </c>
      <c r="B117">
        <f>IF([@Bib]="","",XLOOKUP([@Bib],tblReg[Bib],tblReg[Field],""))</f>
      </c>
      <c r="C117">
        <f>IF([@Bib]="","",XLOOKUP([@Bib],tblReg[Bib],tblReg[FirstName],""))</f>
      </c>
      <c r="D117">
        <f>IF([@Bib]="","",XLOOKUP([@Bib],tblReg[Bib],tblReg[LastName],""))</f>
      </c>
      <c r="E117">
        <f>IF([@Bib]="","",XLOOKUP([@Bib],tblReg[Bib],tblReg[Team],""))</f>
      </c>
      <c r="F117" s="3" t="s">
        <v>22</v>
      </c>
      <c r="G117">
        <f>IF([@StageTime]="","",HOUR([@StageTime])*3600 + MINUTE([@StageTime])*60 + SECOND([@StageTime]))</f>
      </c>
      <c r="H117">
        <f>IF([@StageSeconds]="","",RANK([@StageSeconds],tblStage3[StageSeconds],1))</f>
      </c>
      <c r="I117">
        <f>IF([@Position]="",0,XLOOKUP([@Position],Config!tblBonus[Place],Config!tblBonus[Stage3BonusSec],0))</f>
      </c>
      <c r="J117">
        <f>IF([@StageSeconds]="","",[@StageSeconds]-[@BonusSeconds])</f>
      </c>
      <c r="K117" s="3">
        <f>IF([@NetSeconds]="","",[@NetSeconds]/86400)</f>
      </c>
    </row>
    <row r="118" spans="1:11" x14ac:dyDescent="0.25">
      <c r="A118" t="s">
        <v>22</v>
      </c>
      <c r="B118">
        <f>IF([@Bib]="","",XLOOKUP([@Bib],tblReg[Bib],tblReg[Field],""))</f>
      </c>
      <c r="C118">
        <f>IF([@Bib]="","",XLOOKUP([@Bib],tblReg[Bib],tblReg[FirstName],""))</f>
      </c>
      <c r="D118">
        <f>IF([@Bib]="","",XLOOKUP([@Bib],tblReg[Bib],tblReg[LastName],""))</f>
      </c>
      <c r="E118">
        <f>IF([@Bib]="","",XLOOKUP([@Bib],tblReg[Bib],tblReg[Team],""))</f>
      </c>
      <c r="F118" s="3" t="s">
        <v>22</v>
      </c>
      <c r="G118">
        <f>IF([@StageTime]="","",HOUR([@StageTime])*3600 + MINUTE([@StageTime])*60 + SECOND([@StageTime]))</f>
      </c>
      <c r="H118">
        <f>IF([@StageSeconds]="","",RANK([@StageSeconds],tblStage3[StageSeconds],1))</f>
      </c>
      <c r="I118">
        <f>IF([@Position]="",0,XLOOKUP([@Position],Config!tblBonus[Place],Config!tblBonus[Stage3BonusSec],0))</f>
      </c>
      <c r="J118">
        <f>IF([@StageSeconds]="","",[@StageSeconds]-[@BonusSeconds])</f>
      </c>
      <c r="K118" s="3">
        <f>IF([@NetSeconds]="","",[@NetSeconds]/86400)</f>
      </c>
    </row>
    <row r="119" spans="1:11" x14ac:dyDescent="0.25">
      <c r="A119" t="s">
        <v>22</v>
      </c>
      <c r="B119">
        <f>IF([@Bib]="","",XLOOKUP([@Bib],tblReg[Bib],tblReg[Field],""))</f>
      </c>
      <c r="C119">
        <f>IF([@Bib]="","",XLOOKUP([@Bib],tblReg[Bib],tblReg[FirstName],""))</f>
      </c>
      <c r="D119">
        <f>IF([@Bib]="","",XLOOKUP([@Bib],tblReg[Bib],tblReg[LastName],""))</f>
      </c>
      <c r="E119">
        <f>IF([@Bib]="","",XLOOKUP([@Bib],tblReg[Bib],tblReg[Team],""))</f>
      </c>
      <c r="F119" s="3" t="s">
        <v>22</v>
      </c>
      <c r="G119">
        <f>IF([@StageTime]="","",HOUR([@StageTime])*3600 + MINUTE([@StageTime])*60 + SECOND([@StageTime]))</f>
      </c>
      <c r="H119">
        <f>IF([@StageSeconds]="","",RANK([@StageSeconds],tblStage3[StageSeconds],1))</f>
      </c>
      <c r="I119">
        <f>IF([@Position]="",0,XLOOKUP([@Position],Config!tblBonus[Place],Config!tblBonus[Stage3BonusSec],0))</f>
      </c>
      <c r="J119">
        <f>IF([@StageSeconds]="","",[@StageSeconds]-[@BonusSeconds])</f>
      </c>
      <c r="K119" s="3">
        <f>IF([@NetSeconds]="","",[@NetSeconds]/86400)</f>
      </c>
    </row>
    <row r="120" spans="1:11" x14ac:dyDescent="0.25">
      <c r="A120" t="s">
        <v>22</v>
      </c>
      <c r="B120">
        <f>IF([@Bib]="","",XLOOKUP([@Bib],tblReg[Bib],tblReg[Field],""))</f>
      </c>
      <c r="C120">
        <f>IF([@Bib]="","",XLOOKUP([@Bib],tblReg[Bib],tblReg[FirstName],""))</f>
      </c>
      <c r="D120">
        <f>IF([@Bib]="","",XLOOKUP([@Bib],tblReg[Bib],tblReg[LastName],""))</f>
      </c>
      <c r="E120">
        <f>IF([@Bib]="","",XLOOKUP([@Bib],tblReg[Bib],tblReg[Team],""))</f>
      </c>
      <c r="F120" s="3" t="s">
        <v>22</v>
      </c>
      <c r="G120">
        <f>IF([@StageTime]="","",HOUR([@StageTime])*3600 + MINUTE([@StageTime])*60 + SECOND([@StageTime]))</f>
      </c>
      <c r="H120">
        <f>IF([@StageSeconds]="","",RANK([@StageSeconds],tblStage3[StageSeconds],1))</f>
      </c>
      <c r="I120">
        <f>IF([@Position]="",0,XLOOKUP([@Position],Config!tblBonus[Place],Config!tblBonus[Stage3BonusSec],0))</f>
      </c>
      <c r="J120">
        <f>IF([@StageSeconds]="","",[@StageSeconds]-[@BonusSeconds])</f>
      </c>
      <c r="K120" s="3">
        <f>IF([@NetSeconds]="","",[@NetSeconds]/86400)</f>
      </c>
    </row>
    <row r="121" spans="1:11" x14ac:dyDescent="0.25">
      <c r="A121" t="s">
        <v>22</v>
      </c>
      <c r="B121">
        <f>IF([@Bib]="","",XLOOKUP([@Bib],tblReg[Bib],tblReg[Field],""))</f>
      </c>
      <c r="C121">
        <f>IF([@Bib]="","",XLOOKUP([@Bib],tblReg[Bib],tblReg[FirstName],""))</f>
      </c>
      <c r="D121">
        <f>IF([@Bib]="","",XLOOKUP([@Bib],tblReg[Bib],tblReg[LastName],""))</f>
      </c>
      <c r="E121">
        <f>IF([@Bib]="","",XLOOKUP([@Bib],tblReg[Bib],tblReg[Team],""))</f>
      </c>
      <c r="F121" s="3" t="s">
        <v>22</v>
      </c>
      <c r="G121">
        <f>IF([@StageTime]="","",HOUR([@StageTime])*3600 + MINUTE([@StageTime])*60 + SECOND([@StageTime]))</f>
      </c>
      <c r="H121">
        <f>IF([@StageSeconds]="","",RANK([@StageSeconds],tblStage3[StageSeconds],1))</f>
      </c>
      <c r="I121">
        <f>IF([@Position]="",0,XLOOKUP([@Position],Config!tblBonus[Place],Config!tblBonus[Stage3BonusSec],0))</f>
      </c>
      <c r="J121">
        <f>IF([@StageSeconds]="","",[@StageSeconds]-[@BonusSeconds])</f>
      </c>
      <c r="K121" s="3">
        <f>IF([@NetSeconds]="","",[@NetSeconds]/86400)</f>
      </c>
    </row>
    <row r="122" spans="1:11" x14ac:dyDescent="0.25">
      <c r="A122" t="s">
        <v>22</v>
      </c>
      <c r="B122">
        <f>IF([@Bib]="","",XLOOKUP([@Bib],tblReg[Bib],tblReg[Field],""))</f>
      </c>
      <c r="C122">
        <f>IF([@Bib]="","",XLOOKUP([@Bib],tblReg[Bib],tblReg[FirstName],""))</f>
      </c>
      <c r="D122">
        <f>IF([@Bib]="","",XLOOKUP([@Bib],tblReg[Bib],tblReg[LastName],""))</f>
      </c>
      <c r="E122">
        <f>IF([@Bib]="","",XLOOKUP([@Bib],tblReg[Bib],tblReg[Team],""))</f>
      </c>
      <c r="F122" s="3" t="s">
        <v>22</v>
      </c>
      <c r="G122">
        <f>IF([@StageTime]="","",HOUR([@StageTime])*3600 + MINUTE([@StageTime])*60 + SECOND([@StageTime]))</f>
      </c>
      <c r="H122">
        <f>IF([@StageSeconds]="","",RANK([@StageSeconds],tblStage3[StageSeconds],1))</f>
      </c>
      <c r="I122">
        <f>IF([@Position]="",0,XLOOKUP([@Position],Config!tblBonus[Place],Config!tblBonus[Stage3BonusSec],0))</f>
      </c>
      <c r="J122">
        <f>IF([@StageSeconds]="","",[@StageSeconds]-[@BonusSeconds])</f>
      </c>
      <c r="K122" s="3">
        <f>IF([@NetSeconds]="","",[@NetSeconds]/86400)</f>
      </c>
    </row>
    <row r="123" spans="1:11" x14ac:dyDescent="0.25">
      <c r="A123" t="s">
        <v>22</v>
      </c>
      <c r="B123">
        <f>IF([@Bib]="","",XLOOKUP([@Bib],tblReg[Bib],tblReg[Field],""))</f>
      </c>
      <c r="C123">
        <f>IF([@Bib]="","",XLOOKUP([@Bib],tblReg[Bib],tblReg[FirstName],""))</f>
      </c>
      <c r="D123">
        <f>IF([@Bib]="","",XLOOKUP([@Bib],tblReg[Bib],tblReg[LastName],""))</f>
      </c>
      <c r="E123">
        <f>IF([@Bib]="","",XLOOKUP([@Bib],tblReg[Bib],tblReg[Team],""))</f>
      </c>
      <c r="F123" s="3" t="s">
        <v>22</v>
      </c>
      <c r="G123">
        <f>IF([@StageTime]="","",HOUR([@StageTime])*3600 + MINUTE([@StageTime])*60 + SECOND([@StageTime]))</f>
      </c>
      <c r="H123">
        <f>IF([@StageSeconds]="","",RANK([@StageSeconds],tblStage3[StageSeconds],1))</f>
      </c>
      <c r="I123">
        <f>IF([@Position]="",0,XLOOKUP([@Position],Config!tblBonus[Place],Config!tblBonus[Stage3BonusSec],0))</f>
      </c>
      <c r="J123">
        <f>IF([@StageSeconds]="","",[@StageSeconds]-[@BonusSeconds])</f>
      </c>
      <c r="K123" s="3">
        <f>IF([@NetSeconds]="","",[@NetSeconds]/86400)</f>
      </c>
    </row>
    <row r="124" spans="1:11" x14ac:dyDescent="0.25">
      <c r="A124" t="s">
        <v>22</v>
      </c>
      <c r="B124">
        <f>IF([@Bib]="","",XLOOKUP([@Bib],tblReg[Bib],tblReg[Field],""))</f>
      </c>
      <c r="C124">
        <f>IF([@Bib]="","",XLOOKUP([@Bib],tblReg[Bib],tblReg[FirstName],""))</f>
      </c>
      <c r="D124">
        <f>IF([@Bib]="","",XLOOKUP([@Bib],tblReg[Bib],tblReg[LastName],""))</f>
      </c>
      <c r="E124">
        <f>IF([@Bib]="","",XLOOKUP([@Bib],tblReg[Bib],tblReg[Team],""))</f>
      </c>
      <c r="F124" s="3" t="s">
        <v>22</v>
      </c>
      <c r="G124">
        <f>IF([@StageTime]="","",HOUR([@StageTime])*3600 + MINUTE([@StageTime])*60 + SECOND([@StageTime]))</f>
      </c>
      <c r="H124">
        <f>IF([@StageSeconds]="","",RANK([@StageSeconds],tblStage3[StageSeconds],1))</f>
      </c>
      <c r="I124">
        <f>IF([@Position]="",0,XLOOKUP([@Position],Config!tblBonus[Place],Config!tblBonus[Stage3BonusSec],0))</f>
      </c>
      <c r="J124">
        <f>IF([@StageSeconds]="","",[@StageSeconds]-[@BonusSeconds])</f>
      </c>
      <c r="K124" s="3">
        <f>IF([@NetSeconds]="","",[@NetSeconds]/86400)</f>
      </c>
    </row>
    <row r="125" spans="1:11" x14ac:dyDescent="0.25">
      <c r="A125" t="s">
        <v>22</v>
      </c>
      <c r="B125">
        <f>IF([@Bib]="","",XLOOKUP([@Bib],tblReg[Bib],tblReg[Field],""))</f>
      </c>
      <c r="C125">
        <f>IF([@Bib]="","",XLOOKUP([@Bib],tblReg[Bib],tblReg[FirstName],""))</f>
      </c>
      <c r="D125">
        <f>IF([@Bib]="","",XLOOKUP([@Bib],tblReg[Bib],tblReg[LastName],""))</f>
      </c>
      <c r="E125">
        <f>IF([@Bib]="","",XLOOKUP([@Bib],tblReg[Bib],tblReg[Team],""))</f>
      </c>
      <c r="F125" s="3" t="s">
        <v>22</v>
      </c>
      <c r="G125">
        <f>IF([@StageTime]="","",HOUR([@StageTime])*3600 + MINUTE([@StageTime])*60 + SECOND([@StageTime]))</f>
      </c>
      <c r="H125">
        <f>IF([@StageSeconds]="","",RANK([@StageSeconds],tblStage3[StageSeconds],1))</f>
      </c>
      <c r="I125">
        <f>IF([@Position]="",0,XLOOKUP([@Position],Config!tblBonus[Place],Config!tblBonus[Stage3BonusSec],0))</f>
      </c>
      <c r="J125">
        <f>IF([@StageSeconds]="","",[@StageSeconds]-[@BonusSeconds])</f>
      </c>
      <c r="K125" s="3">
        <f>IF([@NetSeconds]="","",[@NetSeconds]/86400)</f>
      </c>
    </row>
    <row r="126" spans="1:11" x14ac:dyDescent="0.25">
      <c r="A126" t="s">
        <v>22</v>
      </c>
      <c r="B126">
        <f>IF([@Bib]="","",XLOOKUP([@Bib],tblReg[Bib],tblReg[Field],""))</f>
      </c>
      <c r="C126">
        <f>IF([@Bib]="","",XLOOKUP([@Bib],tblReg[Bib],tblReg[FirstName],""))</f>
      </c>
      <c r="D126">
        <f>IF([@Bib]="","",XLOOKUP([@Bib],tblReg[Bib],tblReg[LastName],""))</f>
      </c>
      <c r="E126">
        <f>IF([@Bib]="","",XLOOKUP([@Bib],tblReg[Bib],tblReg[Team],""))</f>
      </c>
      <c r="F126" s="3" t="s">
        <v>22</v>
      </c>
      <c r="G126">
        <f>IF([@StageTime]="","",HOUR([@StageTime])*3600 + MINUTE([@StageTime])*60 + SECOND([@StageTime]))</f>
      </c>
      <c r="H126">
        <f>IF([@StageSeconds]="","",RANK([@StageSeconds],tblStage3[StageSeconds],1))</f>
      </c>
      <c r="I126">
        <f>IF([@Position]="",0,XLOOKUP([@Position],Config!tblBonus[Place],Config!tblBonus[Stage3BonusSec],0))</f>
      </c>
      <c r="J126">
        <f>IF([@StageSeconds]="","",[@StageSeconds]-[@BonusSeconds])</f>
      </c>
      <c r="K126" s="3">
        <f>IF([@NetSeconds]="","",[@NetSeconds]/86400)</f>
      </c>
    </row>
    <row r="127" spans="1:11" x14ac:dyDescent="0.25">
      <c r="A127" t="s">
        <v>22</v>
      </c>
      <c r="B127">
        <f>IF([@Bib]="","",XLOOKUP([@Bib],tblReg[Bib],tblReg[Field],""))</f>
      </c>
      <c r="C127">
        <f>IF([@Bib]="","",XLOOKUP([@Bib],tblReg[Bib],tblReg[FirstName],""))</f>
      </c>
      <c r="D127">
        <f>IF([@Bib]="","",XLOOKUP([@Bib],tblReg[Bib],tblReg[LastName],""))</f>
      </c>
      <c r="E127">
        <f>IF([@Bib]="","",XLOOKUP([@Bib],tblReg[Bib],tblReg[Team],""))</f>
      </c>
      <c r="F127" s="3" t="s">
        <v>22</v>
      </c>
      <c r="G127">
        <f>IF([@StageTime]="","",HOUR([@StageTime])*3600 + MINUTE([@StageTime])*60 + SECOND([@StageTime]))</f>
      </c>
      <c r="H127">
        <f>IF([@StageSeconds]="","",RANK([@StageSeconds],tblStage3[StageSeconds],1))</f>
      </c>
      <c r="I127">
        <f>IF([@Position]="",0,XLOOKUP([@Position],Config!tblBonus[Place],Config!tblBonus[Stage3BonusSec],0))</f>
      </c>
      <c r="J127">
        <f>IF([@StageSeconds]="","",[@StageSeconds]-[@BonusSeconds])</f>
      </c>
      <c r="K127" s="3">
        <f>IF([@NetSeconds]="","",[@NetSeconds]/86400)</f>
      </c>
    </row>
    <row r="128" spans="1:11" x14ac:dyDescent="0.25">
      <c r="A128" t="s">
        <v>22</v>
      </c>
      <c r="B128">
        <f>IF([@Bib]="","",XLOOKUP([@Bib],tblReg[Bib],tblReg[Field],""))</f>
      </c>
      <c r="C128">
        <f>IF([@Bib]="","",XLOOKUP([@Bib],tblReg[Bib],tblReg[FirstName],""))</f>
      </c>
      <c r="D128">
        <f>IF([@Bib]="","",XLOOKUP([@Bib],tblReg[Bib],tblReg[LastName],""))</f>
      </c>
      <c r="E128">
        <f>IF([@Bib]="","",XLOOKUP([@Bib],tblReg[Bib],tblReg[Team],""))</f>
      </c>
      <c r="F128" s="3" t="s">
        <v>22</v>
      </c>
      <c r="G128">
        <f>IF([@StageTime]="","",HOUR([@StageTime])*3600 + MINUTE([@StageTime])*60 + SECOND([@StageTime]))</f>
      </c>
      <c r="H128">
        <f>IF([@StageSeconds]="","",RANK([@StageSeconds],tblStage3[StageSeconds],1))</f>
      </c>
      <c r="I128">
        <f>IF([@Position]="",0,XLOOKUP([@Position],Config!tblBonus[Place],Config!tblBonus[Stage3BonusSec],0))</f>
      </c>
      <c r="J128">
        <f>IF([@StageSeconds]="","",[@StageSeconds]-[@BonusSeconds])</f>
      </c>
      <c r="K128" s="3">
        <f>IF([@NetSeconds]="","",[@NetSeconds]/86400)</f>
      </c>
    </row>
    <row r="129" spans="1:11" x14ac:dyDescent="0.25">
      <c r="A129" t="s">
        <v>22</v>
      </c>
      <c r="B129">
        <f>IF([@Bib]="","",XLOOKUP([@Bib],tblReg[Bib],tblReg[Field],""))</f>
      </c>
      <c r="C129">
        <f>IF([@Bib]="","",XLOOKUP([@Bib],tblReg[Bib],tblReg[FirstName],""))</f>
      </c>
      <c r="D129">
        <f>IF([@Bib]="","",XLOOKUP([@Bib],tblReg[Bib],tblReg[LastName],""))</f>
      </c>
      <c r="E129">
        <f>IF([@Bib]="","",XLOOKUP([@Bib],tblReg[Bib],tblReg[Team],""))</f>
      </c>
      <c r="F129" s="3" t="s">
        <v>22</v>
      </c>
      <c r="G129">
        <f>IF([@StageTime]="","",HOUR([@StageTime])*3600 + MINUTE([@StageTime])*60 + SECOND([@StageTime]))</f>
      </c>
      <c r="H129">
        <f>IF([@StageSeconds]="","",RANK([@StageSeconds],tblStage3[StageSeconds],1))</f>
      </c>
      <c r="I129">
        <f>IF([@Position]="",0,XLOOKUP([@Position],Config!tblBonus[Place],Config!tblBonus[Stage3BonusSec],0))</f>
      </c>
      <c r="J129">
        <f>IF([@StageSeconds]="","",[@StageSeconds]-[@BonusSeconds])</f>
      </c>
      <c r="K129" s="3">
        <f>IF([@NetSeconds]="","",[@NetSeconds]/86400)</f>
      </c>
    </row>
    <row r="130" spans="1:11" x14ac:dyDescent="0.25">
      <c r="A130" t="s">
        <v>22</v>
      </c>
      <c r="B130">
        <f>IF([@Bib]="","",XLOOKUP([@Bib],tblReg[Bib],tblReg[Field],""))</f>
      </c>
      <c r="C130">
        <f>IF([@Bib]="","",XLOOKUP([@Bib],tblReg[Bib],tblReg[FirstName],""))</f>
      </c>
      <c r="D130">
        <f>IF([@Bib]="","",XLOOKUP([@Bib],tblReg[Bib],tblReg[LastName],""))</f>
      </c>
      <c r="E130">
        <f>IF([@Bib]="","",XLOOKUP([@Bib],tblReg[Bib],tblReg[Team],""))</f>
      </c>
      <c r="F130" s="3" t="s">
        <v>22</v>
      </c>
      <c r="G130">
        <f>IF([@StageTime]="","",HOUR([@StageTime])*3600 + MINUTE([@StageTime])*60 + SECOND([@StageTime]))</f>
      </c>
      <c r="H130">
        <f>IF([@StageSeconds]="","",RANK([@StageSeconds],tblStage3[StageSeconds],1))</f>
      </c>
      <c r="I130">
        <f>IF([@Position]="",0,XLOOKUP([@Position],Config!tblBonus[Place],Config!tblBonus[Stage3BonusSec],0))</f>
      </c>
      <c r="J130">
        <f>IF([@StageSeconds]="","",[@StageSeconds]-[@BonusSeconds])</f>
      </c>
      <c r="K130" s="3">
        <f>IF([@NetSeconds]="","",[@NetSeconds]/86400)</f>
      </c>
    </row>
    <row r="131" spans="1:11" x14ac:dyDescent="0.25">
      <c r="A131" t="s">
        <v>22</v>
      </c>
      <c r="B131">
        <f>IF([@Bib]="","",XLOOKUP([@Bib],tblReg[Bib],tblReg[Field],""))</f>
      </c>
      <c r="C131">
        <f>IF([@Bib]="","",XLOOKUP([@Bib],tblReg[Bib],tblReg[FirstName],""))</f>
      </c>
      <c r="D131">
        <f>IF([@Bib]="","",XLOOKUP([@Bib],tblReg[Bib],tblReg[LastName],""))</f>
      </c>
      <c r="E131">
        <f>IF([@Bib]="","",XLOOKUP([@Bib],tblReg[Bib],tblReg[Team],""))</f>
      </c>
      <c r="F131" s="3" t="s">
        <v>22</v>
      </c>
      <c r="G131">
        <f>IF([@StageTime]="","",HOUR([@StageTime])*3600 + MINUTE([@StageTime])*60 + SECOND([@StageTime]))</f>
      </c>
      <c r="H131">
        <f>IF([@StageSeconds]="","",RANK([@StageSeconds],tblStage3[StageSeconds],1))</f>
      </c>
      <c r="I131">
        <f>IF([@Position]="",0,XLOOKUP([@Position],Config!tblBonus[Place],Config!tblBonus[Stage3BonusSec],0))</f>
      </c>
      <c r="J131">
        <f>IF([@StageSeconds]="","",[@StageSeconds]-[@BonusSeconds])</f>
      </c>
      <c r="K131" s="3">
        <f>IF([@NetSeconds]="","",[@NetSeconds]/86400)</f>
      </c>
    </row>
    <row r="132" spans="1:11" x14ac:dyDescent="0.25">
      <c r="A132" t="s">
        <v>22</v>
      </c>
      <c r="B132">
        <f>IF([@Bib]="","",XLOOKUP([@Bib],tblReg[Bib],tblReg[Field],""))</f>
      </c>
      <c r="C132">
        <f>IF([@Bib]="","",XLOOKUP([@Bib],tblReg[Bib],tblReg[FirstName],""))</f>
      </c>
      <c r="D132">
        <f>IF([@Bib]="","",XLOOKUP([@Bib],tblReg[Bib],tblReg[LastName],""))</f>
      </c>
      <c r="E132">
        <f>IF([@Bib]="","",XLOOKUP([@Bib],tblReg[Bib],tblReg[Team],""))</f>
      </c>
      <c r="F132" s="3" t="s">
        <v>22</v>
      </c>
      <c r="G132">
        <f>IF([@StageTime]="","",HOUR([@StageTime])*3600 + MINUTE([@StageTime])*60 + SECOND([@StageTime]))</f>
      </c>
      <c r="H132">
        <f>IF([@StageSeconds]="","",RANK([@StageSeconds],tblStage3[StageSeconds],1))</f>
      </c>
      <c r="I132">
        <f>IF([@Position]="",0,XLOOKUP([@Position],Config!tblBonus[Place],Config!tblBonus[Stage3BonusSec],0))</f>
      </c>
      <c r="J132">
        <f>IF([@StageSeconds]="","",[@StageSeconds]-[@BonusSeconds])</f>
      </c>
      <c r="K132" s="3">
        <f>IF([@NetSeconds]="","",[@NetSeconds]/86400)</f>
      </c>
    </row>
    <row r="133" spans="1:11" x14ac:dyDescent="0.25">
      <c r="A133" t="s">
        <v>22</v>
      </c>
      <c r="B133">
        <f>IF([@Bib]="","",XLOOKUP([@Bib],tblReg[Bib],tblReg[Field],""))</f>
      </c>
      <c r="C133">
        <f>IF([@Bib]="","",XLOOKUP([@Bib],tblReg[Bib],tblReg[FirstName],""))</f>
      </c>
      <c r="D133">
        <f>IF([@Bib]="","",XLOOKUP([@Bib],tblReg[Bib],tblReg[LastName],""))</f>
      </c>
      <c r="E133">
        <f>IF([@Bib]="","",XLOOKUP([@Bib],tblReg[Bib],tblReg[Team],""))</f>
      </c>
      <c r="F133" s="3" t="s">
        <v>22</v>
      </c>
      <c r="G133">
        <f>IF([@StageTime]="","",HOUR([@StageTime])*3600 + MINUTE([@StageTime])*60 + SECOND([@StageTime]))</f>
      </c>
      <c r="H133">
        <f>IF([@StageSeconds]="","",RANK([@StageSeconds],tblStage3[StageSeconds],1))</f>
      </c>
      <c r="I133">
        <f>IF([@Position]="",0,XLOOKUP([@Position],Config!tblBonus[Place],Config!tblBonus[Stage3BonusSec],0))</f>
      </c>
      <c r="J133">
        <f>IF([@StageSeconds]="","",[@StageSeconds]-[@BonusSeconds])</f>
      </c>
      <c r="K133" s="3">
        <f>IF([@NetSeconds]="","",[@NetSeconds]/86400)</f>
      </c>
    </row>
    <row r="134" spans="1:11" x14ac:dyDescent="0.25">
      <c r="A134" t="s">
        <v>22</v>
      </c>
      <c r="B134">
        <f>IF([@Bib]="","",XLOOKUP([@Bib],tblReg[Bib],tblReg[Field],""))</f>
      </c>
      <c r="C134">
        <f>IF([@Bib]="","",XLOOKUP([@Bib],tblReg[Bib],tblReg[FirstName],""))</f>
      </c>
      <c r="D134">
        <f>IF([@Bib]="","",XLOOKUP([@Bib],tblReg[Bib],tblReg[LastName],""))</f>
      </c>
      <c r="E134">
        <f>IF([@Bib]="","",XLOOKUP([@Bib],tblReg[Bib],tblReg[Team],""))</f>
      </c>
      <c r="F134" s="3" t="s">
        <v>22</v>
      </c>
      <c r="G134">
        <f>IF([@StageTime]="","",HOUR([@StageTime])*3600 + MINUTE([@StageTime])*60 + SECOND([@StageTime]))</f>
      </c>
      <c r="H134">
        <f>IF([@StageSeconds]="","",RANK([@StageSeconds],tblStage3[StageSeconds],1))</f>
      </c>
      <c r="I134">
        <f>IF([@Position]="",0,XLOOKUP([@Position],Config!tblBonus[Place],Config!tblBonus[Stage3BonusSec],0))</f>
      </c>
      <c r="J134">
        <f>IF([@StageSeconds]="","",[@StageSeconds]-[@BonusSeconds])</f>
      </c>
      <c r="K134" s="3">
        <f>IF([@NetSeconds]="","",[@NetSeconds]/86400)</f>
      </c>
    </row>
    <row r="135" spans="1:11" x14ac:dyDescent="0.25">
      <c r="A135" t="s">
        <v>22</v>
      </c>
      <c r="B135">
        <f>IF([@Bib]="","",XLOOKUP([@Bib],tblReg[Bib],tblReg[Field],""))</f>
      </c>
      <c r="C135">
        <f>IF([@Bib]="","",XLOOKUP([@Bib],tblReg[Bib],tblReg[FirstName],""))</f>
      </c>
      <c r="D135">
        <f>IF([@Bib]="","",XLOOKUP([@Bib],tblReg[Bib],tblReg[LastName],""))</f>
      </c>
      <c r="E135">
        <f>IF([@Bib]="","",XLOOKUP([@Bib],tblReg[Bib],tblReg[Team],""))</f>
      </c>
      <c r="F135" s="3" t="s">
        <v>22</v>
      </c>
      <c r="G135">
        <f>IF([@StageTime]="","",HOUR([@StageTime])*3600 + MINUTE([@StageTime])*60 + SECOND([@StageTime]))</f>
      </c>
      <c r="H135">
        <f>IF([@StageSeconds]="","",RANK([@StageSeconds],tblStage3[StageSeconds],1))</f>
      </c>
      <c r="I135">
        <f>IF([@Position]="",0,XLOOKUP([@Position],Config!tblBonus[Place],Config!tblBonus[Stage3BonusSec],0))</f>
      </c>
      <c r="J135">
        <f>IF([@StageSeconds]="","",[@StageSeconds]-[@BonusSeconds])</f>
      </c>
      <c r="K135" s="3">
        <f>IF([@NetSeconds]="","",[@NetSeconds]/86400)</f>
      </c>
    </row>
    <row r="136" spans="1:11" x14ac:dyDescent="0.25">
      <c r="A136" t="s">
        <v>22</v>
      </c>
      <c r="B136">
        <f>IF([@Bib]="","",XLOOKUP([@Bib],tblReg[Bib],tblReg[Field],""))</f>
      </c>
      <c r="C136">
        <f>IF([@Bib]="","",XLOOKUP([@Bib],tblReg[Bib],tblReg[FirstName],""))</f>
      </c>
      <c r="D136">
        <f>IF([@Bib]="","",XLOOKUP([@Bib],tblReg[Bib],tblReg[LastName],""))</f>
      </c>
      <c r="E136">
        <f>IF([@Bib]="","",XLOOKUP([@Bib],tblReg[Bib],tblReg[Team],""))</f>
      </c>
      <c r="F136" s="3" t="s">
        <v>22</v>
      </c>
      <c r="G136">
        <f>IF([@StageTime]="","",HOUR([@StageTime])*3600 + MINUTE([@StageTime])*60 + SECOND([@StageTime]))</f>
      </c>
      <c r="H136">
        <f>IF([@StageSeconds]="","",RANK([@StageSeconds],tblStage3[StageSeconds],1))</f>
      </c>
      <c r="I136">
        <f>IF([@Position]="",0,XLOOKUP([@Position],Config!tblBonus[Place],Config!tblBonus[Stage3BonusSec],0))</f>
      </c>
      <c r="J136">
        <f>IF([@StageSeconds]="","",[@StageSeconds]-[@BonusSeconds])</f>
      </c>
      <c r="K136" s="3">
        <f>IF([@NetSeconds]="","",[@NetSeconds]/86400)</f>
      </c>
    </row>
    <row r="137" spans="1:11" x14ac:dyDescent="0.25">
      <c r="A137" t="s">
        <v>22</v>
      </c>
      <c r="B137">
        <f>IF([@Bib]="","",XLOOKUP([@Bib],tblReg[Bib],tblReg[Field],""))</f>
      </c>
      <c r="C137">
        <f>IF([@Bib]="","",XLOOKUP([@Bib],tblReg[Bib],tblReg[FirstName],""))</f>
      </c>
      <c r="D137">
        <f>IF([@Bib]="","",XLOOKUP([@Bib],tblReg[Bib],tblReg[LastName],""))</f>
      </c>
      <c r="E137">
        <f>IF([@Bib]="","",XLOOKUP([@Bib],tblReg[Bib],tblReg[Team],""))</f>
      </c>
      <c r="F137" s="3" t="s">
        <v>22</v>
      </c>
      <c r="G137">
        <f>IF([@StageTime]="","",HOUR([@StageTime])*3600 + MINUTE([@StageTime])*60 + SECOND([@StageTime]))</f>
      </c>
      <c r="H137">
        <f>IF([@StageSeconds]="","",RANK([@StageSeconds],tblStage3[StageSeconds],1))</f>
      </c>
      <c r="I137">
        <f>IF([@Position]="",0,XLOOKUP([@Position],Config!tblBonus[Place],Config!tblBonus[Stage3BonusSec],0))</f>
      </c>
      <c r="J137">
        <f>IF([@StageSeconds]="","",[@StageSeconds]-[@BonusSeconds])</f>
      </c>
      <c r="K137" s="3">
        <f>IF([@NetSeconds]="","",[@NetSeconds]/86400)</f>
      </c>
    </row>
    <row r="138" spans="1:11" x14ac:dyDescent="0.25">
      <c r="A138" t="s">
        <v>22</v>
      </c>
      <c r="B138">
        <f>IF([@Bib]="","",XLOOKUP([@Bib],tblReg[Bib],tblReg[Field],""))</f>
      </c>
      <c r="C138">
        <f>IF([@Bib]="","",XLOOKUP([@Bib],tblReg[Bib],tblReg[FirstName],""))</f>
      </c>
      <c r="D138">
        <f>IF([@Bib]="","",XLOOKUP([@Bib],tblReg[Bib],tblReg[LastName],""))</f>
      </c>
      <c r="E138">
        <f>IF([@Bib]="","",XLOOKUP([@Bib],tblReg[Bib],tblReg[Team],""))</f>
      </c>
      <c r="F138" s="3" t="s">
        <v>22</v>
      </c>
      <c r="G138">
        <f>IF([@StageTime]="","",HOUR([@StageTime])*3600 + MINUTE([@StageTime])*60 + SECOND([@StageTime]))</f>
      </c>
      <c r="H138">
        <f>IF([@StageSeconds]="","",RANK([@StageSeconds],tblStage3[StageSeconds],1))</f>
      </c>
      <c r="I138">
        <f>IF([@Position]="",0,XLOOKUP([@Position],Config!tblBonus[Place],Config!tblBonus[Stage3BonusSec],0))</f>
      </c>
      <c r="J138">
        <f>IF([@StageSeconds]="","",[@StageSeconds]-[@BonusSeconds])</f>
      </c>
      <c r="K138" s="3">
        <f>IF([@NetSeconds]="","",[@NetSeconds]/86400)</f>
      </c>
    </row>
    <row r="139" spans="1:11" x14ac:dyDescent="0.25">
      <c r="A139" t="s">
        <v>22</v>
      </c>
      <c r="B139">
        <f>IF([@Bib]="","",XLOOKUP([@Bib],tblReg[Bib],tblReg[Field],""))</f>
      </c>
      <c r="C139">
        <f>IF([@Bib]="","",XLOOKUP([@Bib],tblReg[Bib],tblReg[FirstName],""))</f>
      </c>
      <c r="D139">
        <f>IF([@Bib]="","",XLOOKUP([@Bib],tblReg[Bib],tblReg[LastName],""))</f>
      </c>
      <c r="E139">
        <f>IF([@Bib]="","",XLOOKUP([@Bib],tblReg[Bib],tblReg[Team],""))</f>
      </c>
      <c r="F139" s="3" t="s">
        <v>22</v>
      </c>
      <c r="G139">
        <f>IF([@StageTime]="","",HOUR([@StageTime])*3600 + MINUTE([@StageTime])*60 + SECOND([@StageTime]))</f>
      </c>
      <c r="H139">
        <f>IF([@StageSeconds]="","",RANK([@StageSeconds],tblStage3[StageSeconds],1))</f>
      </c>
      <c r="I139">
        <f>IF([@Position]="",0,XLOOKUP([@Position],Config!tblBonus[Place],Config!tblBonus[Stage3BonusSec],0))</f>
      </c>
      <c r="J139">
        <f>IF([@StageSeconds]="","",[@StageSeconds]-[@BonusSeconds])</f>
      </c>
      <c r="K139" s="3">
        <f>IF([@NetSeconds]="","",[@NetSeconds]/86400)</f>
      </c>
    </row>
    <row r="140" spans="1:11" x14ac:dyDescent="0.25">
      <c r="A140" t="s">
        <v>22</v>
      </c>
      <c r="B140">
        <f>IF([@Bib]="","",XLOOKUP([@Bib],tblReg[Bib],tblReg[Field],""))</f>
      </c>
      <c r="C140">
        <f>IF([@Bib]="","",XLOOKUP([@Bib],tblReg[Bib],tblReg[FirstName],""))</f>
      </c>
      <c r="D140">
        <f>IF([@Bib]="","",XLOOKUP([@Bib],tblReg[Bib],tblReg[LastName],""))</f>
      </c>
      <c r="E140">
        <f>IF([@Bib]="","",XLOOKUP([@Bib],tblReg[Bib],tblReg[Team],""))</f>
      </c>
      <c r="F140" s="3" t="s">
        <v>22</v>
      </c>
      <c r="G140">
        <f>IF([@StageTime]="","",HOUR([@StageTime])*3600 + MINUTE([@StageTime])*60 + SECOND([@StageTime]))</f>
      </c>
      <c r="H140">
        <f>IF([@StageSeconds]="","",RANK([@StageSeconds],tblStage3[StageSeconds],1))</f>
      </c>
      <c r="I140">
        <f>IF([@Position]="",0,XLOOKUP([@Position],Config!tblBonus[Place],Config!tblBonus[Stage3BonusSec],0))</f>
      </c>
      <c r="J140">
        <f>IF([@StageSeconds]="","",[@StageSeconds]-[@BonusSeconds])</f>
      </c>
      <c r="K140" s="3">
        <f>IF([@NetSeconds]="","",[@NetSeconds]/86400)</f>
      </c>
    </row>
    <row r="141" spans="1:11" x14ac:dyDescent="0.25">
      <c r="A141" t="s">
        <v>22</v>
      </c>
      <c r="B141">
        <f>IF([@Bib]="","",XLOOKUP([@Bib],tblReg[Bib],tblReg[Field],""))</f>
      </c>
      <c r="C141">
        <f>IF([@Bib]="","",XLOOKUP([@Bib],tblReg[Bib],tblReg[FirstName],""))</f>
      </c>
      <c r="D141">
        <f>IF([@Bib]="","",XLOOKUP([@Bib],tblReg[Bib],tblReg[LastName],""))</f>
      </c>
      <c r="E141">
        <f>IF([@Bib]="","",XLOOKUP([@Bib],tblReg[Bib],tblReg[Team],""))</f>
      </c>
      <c r="F141" s="3" t="s">
        <v>22</v>
      </c>
      <c r="G141">
        <f>IF([@StageTime]="","",HOUR([@StageTime])*3600 + MINUTE([@StageTime])*60 + SECOND([@StageTime]))</f>
      </c>
      <c r="H141">
        <f>IF([@StageSeconds]="","",RANK([@StageSeconds],tblStage3[StageSeconds],1))</f>
      </c>
      <c r="I141">
        <f>IF([@Position]="",0,XLOOKUP([@Position],Config!tblBonus[Place],Config!tblBonus[Stage3BonusSec],0))</f>
      </c>
      <c r="J141">
        <f>IF([@StageSeconds]="","",[@StageSeconds]-[@BonusSeconds])</f>
      </c>
      <c r="K141" s="3">
        <f>IF([@NetSeconds]="","",[@NetSeconds]/86400)</f>
      </c>
    </row>
    <row r="142" spans="1:11" x14ac:dyDescent="0.25">
      <c r="A142" t="s">
        <v>22</v>
      </c>
      <c r="B142">
        <f>IF([@Bib]="","",XLOOKUP([@Bib],tblReg[Bib],tblReg[Field],""))</f>
      </c>
      <c r="C142">
        <f>IF([@Bib]="","",XLOOKUP([@Bib],tblReg[Bib],tblReg[FirstName],""))</f>
      </c>
      <c r="D142">
        <f>IF([@Bib]="","",XLOOKUP([@Bib],tblReg[Bib],tblReg[LastName],""))</f>
      </c>
      <c r="E142">
        <f>IF([@Bib]="","",XLOOKUP([@Bib],tblReg[Bib],tblReg[Team],""))</f>
      </c>
      <c r="F142" s="3" t="s">
        <v>22</v>
      </c>
      <c r="G142">
        <f>IF([@StageTime]="","",HOUR([@StageTime])*3600 + MINUTE([@StageTime])*60 + SECOND([@StageTime]))</f>
      </c>
      <c r="H142">
        <f>IF([@StageSeconds]="","",RANK([@StageSeconds],tblStage3[StageSeconds],1))</f>
      </c>
      <c r="I142">
        <f>IF([@Position]="",0,XLOOKUP([@Position],Config!tblBonus[Place],Config!tblBonus[Stage3BonusSec],0))</f>
      </c>
      <c r="J142">
        <f>IF([@StageSeconds]="","",[@StageSeconds]-[@BonusSeconds])</f>
      </c>
      <c r="K142" s="3">
        <f>IF([@NetSeconds]="","",[@NetSeconds]/86400)</f>
      </c>
    </row>
    <row r="143" spans="1:11" x14ac:dyDescent="0.25">
      <c r="A143" t="s">
        <v>22</v>
      </c>
      <c r="B143">
        <f>IF([@Bib]="","",XLOOKUP([@Bib],tblReg[Bib],tblReg[Field],""))</f>
      </c>
      <c r="C143">
        <f>IF([@Bib]="","",XLOOKUP([@Bib],tblReg[Bib],tblReg[FirstName],""))</f>
      </c>
      <c r="D143">
        <f>IF([@Bib]="","",XLOOKUP([@Bib],tblReg[Bib],tblReg[LastName],""))</f>
      </c>
      <c r="E143">
        <f>IF([@Bib]="","",XLOOKUP([@Bib],tblReg[Bib],tblReg[Team],""))</f>
      </c>
      <c r="F143" s="3" t="s">
        <v>22</v>
      </c>
      <c r="G143">
        <f>IF([@StageTime]="","",HOUR([@StageTime])*3600 + MINUTE([@StageTime])*60 + SECOND([@StageTime]))</f>
      </c>
      <c r="H143">
        <f>IF([@StageSeconds]="","",RANK([@StageSeconds],tblStage3[StageSeconds],1))</f>
      </c>
      <c r="I143">
        <f>IF([@Position]="",0,XLOOKUP([@Position],Config!tblBonus[Place],Config!tblBonus[Stage3BonusSec],0))</f>
      </c>
      <c r="J143">
        <f>IF([@StageSeconds]="","",[@StageSeconds]-[@BonusSeconds])</f>
      </c>
      <c r="K143" s="3">
        <f>IF([@NetSeconds]="","",[@NetSeconds]/86400)</f>
      </c>
    </row>
    <row r="144" spans="1:11" x14ac:dyDescent="0.25">
      <c r="A144" t="s">
        <v>22</v>
      </c>
      <c r="B144">
        <f>IF([@Bib]="","",XLOOKUP([@Bib],tblReg[Bib],tblReg[Field],""))</f>
      </c>
      <c r="C144">
        <f>IF([@Bib]="","",XLOOKUP([@Bib],tblReg[Bib],tblReg[FirstName],""))</f>
      </c>
      <c r="D144">
        <f>IF([@Bib]="","",XLOOKUP([@Bib],tblReg[Bib],tblReg[LastName],""))</f>
      </c>
      <c r="E144">
        <f>IF([@Bib]="","",XLOOKUP([@Bib],tblReg[Bib],tblReg[Team],""))</f>
      </c>
      <c r="F144" s="3" t="s">
        <v>22</v>
      </c>
      <c r="G144">
        <f>IF([@StageTime]="","",HOUR([@StageTime])*3600 + MINUTE([@StageTime])*60 + SECOND([@StageTime]))</f>
      </c>
      <c r="H144">
        <f>IF([@StageSeconds]="","",RANK([@StageSeconds],tblStage3[StageSeconds],1))</f>
      </c>
      <c r="I144">
        <f>IF([@Position]="",0,XLOOKUP([@Position],Config!tblBonus[Place],Config!tblBonus[Stage3BonusSec],0))</f>
      </c>
      <c r="J144">
        <f>IF([@StageSeconds]="","",[@StageSeconds]-[@BonusSeconds])</f>
      </c>
      <c r="K144" s="3">
        <f>IF([@NetSeconds]="","",[@NetSeconds]/86400)</f>
      </c>
    </row>
    <row r="145" spans="1:11" x14ac:dyDescent="0.25">
      <c r="A145" t="s">
        <v>22</v>
      </c>
      <c r="B145">
        <f>IF([@Bib]="","",XLOOKUP([@Bib],tblReg[Bib],tblReg[Field],""))</f>
      </c>
      <c r="C145">
        <f>IF([@Bib]="","",XLOOKUP([@Bib],tblReg[Bib],tblReg[FirstName],""))</f>
      </c>
      <c r="D145">
        <f>IF([@Bib]="","",XLOOKUP([@Bib],tblReg[Bib],tblReg[LastName],""))</f>
      </c>
      <c r="E145">
        <f>IF([@Bib]="","",XLOOKUP([@Bib],tblReg[Bib],tblReg[Team],""))</f>
      </c>
      <c r="F145" s="3" t="s">
        <v>22</v>
      </c>
      <c r="G145">
        <f>IF([@StageTime]="","",HOUR([@StageTime])*3600 + MINUTE([@StageTime])*60 + SECOND([@StageTime]))</f>
      </c>
      <c r="H145">
        <f>IF([@StageSeconds]="","",RANK([@StageSeconds],tblStage3[StageSeconds],1))</f>
      </c>
      <c r="I145">
        <f>IF([@Position]="",0,XLOOKUP([@Position],Config!tblBonus[Place],Config!tblBonus[Stage3BonusSec],0))</f>
      </c>
      <c r="J145">
        <f>IF([@StageSeconds]="","",[@StageSeconds]-[@BonusSeconds])</f>
      </c>
      <c r="K145" s="3">
        <f>IF([@NetSeconds]="","",[@NetSeconds]/86400)</f>
      </c>
    </row>
    <row r="146" spans="1:11" x14ac:dyDescent="0.25">
      <c r="A146" t="s">
        <v>22</v>
      </c>
      <c r="B146">
        <f>IF([@Bib]="","",XLOOKUP([@Bib],tblReg[Bib],tblReg[Field],""))</f>
      </c>
      <c r="C146">
        <f>IF([@Bib]="","",XLOOKUP([@Bib],tblReg[Bib],tblReg[FirstName],""))</f>
      </c>
      <c r="D146">
        <f>IF([@Bib]="","",XLOOKUP([@Bib],tblReg[Bib],tblReg[LastName],""))</f>
      </c>
      <c r="E146">
        <f>IF([@Bib]="","",XLOOKUP([@Bib],tblReg[Bib],tblReg[Team],""))</f>
      </c>
      <c r="F146" s="3" t="s">
        <v>22</v>
      </c>
      <c r="G146">
        <f>IF([@StageTime]="","",HOUR([@StageTime])*3600 + MINUTE([@StageTime])*60 + SECOND([@StageTime]))</f>
      </c>
      <c r="H146">
        <f>IF([@StageSeconds]="","",RANK([@StageSeconds],tblStage3[StageSeconds],1))</f>
      </c>
      <c r="I146">
        <f>IF([@Position]="",0,XLOOKUP([@Position],Config!tblBonus[Place],Config!tblBonus[Stage3BonusSec],0))</f>
      </c>
      <c r="J146">
        <f>IF([@StageSeconds]="","",[@StageSeconds]-[@BonusSeconds])</f>
      </c>
      <c r="K146" s="3">
        <f>IF([@NetSeconds]="","",[@NetSeconds]/86400)</f>
      </c>
    </row>
    <row r="147" spans="1:11" x14ac:dyDescent="0.25">
      <c r="A147" t="s">
        <v>22</v>
      </c>
      <c r="B147">
        <f>IF([@Bib]="","",XLOOKUP([@Bib],tblReg[Bib],tblReg[Field],""))</f>
      </c>
      <c r="C147">
        <f>IF([@Bib]="","",XLOOKUP([@Bib],tblReg[Bib],tblReg[FirstName],""))</f>
      </c>
      <c r="D147">
        <f>IF([@Bib]="","",XLOOKUP([@Bib],tblReg[Bib],tblReg[LastName],""))</f>
      </c>
      <c r="E147">
        <f>IF([@Bib]="","",XLOOKUP([@Bib],tblReg[Bib],tblReg[Team],""))</f>
      </c>
      <c r="F147" s="3" t="s">
        <v>22</v>
      </c>
      <c r="G147">
        <f>IF([@StageTime]="","",HOUR([@StageTime])*3600 + MINUTE([@StageTime])*60 + SECOND([@StageTime]))</f>
      </c>
      <c r="H147">
        <f>IF([@StageSeconds]="","",RANK([@StageSeconds],tblStage3[StageSeconds],1))</f>
      </c>
      <c r="I147">
        <f>IF([@Position]="",0,XLOOKUP([@Position],Config!tblBonus[Place],Config!tblBonus[Stage3BonusSec],0))</f>
      </c>
      <c r="J147">
        <f>IF([@StageSeconds]="","",[@StageSeconds]-[@BonusSeconds])</f>
      </c>
      <c r="K147" s="3">
        <f>IF([@NetSeconds]="","",[@NetSeconds]/86400)</f>
      </c>
    </row>
    <row r="148" spans="1:11" x14ac:dyDescent="0.25">
      <c r="A148" t="s">
        <v>22</v>
      </c>
      <c r="B148">
        <f>IF([@Bib]="","",XLOOKUP([@Bib],tblReg[Bib],tblReg[Field],""))</f>
      </c>
      <c r="C148">
        <f>IF([@Bib]="","",XLOOKUP([@Bib],tblReg[Bib],tblReg[FirstName],""))</f>
      </c>
      <c r="D148">
        <f>IF([@Bib]="","",XLOOKUP([@Bib],tblReg[Bib],tblReg[LastName],""))</f>
      </c>
      <c r="E148">
        <f>IF([@Bib]="","",XLOOKUP([@Bib],tblReg[Bib],tblReg[Team],""))</f>
      </c>
      <c r="F148" s="3" t="s">
        <v>22</v>
      </c>
      <c r="G148">
        <f>IF([@StageTime]="","",HOUR([@StageTime])*3600 + MINUTE([@StageTime])*60 + SECOND([@StageTime]))</f>
      </c>
      <c r="H148">
        <f>IF([@StageSeconds]="","",RANK([@StageSeconds],tblStage3[StageSeconds],1))</f>
      </c>
      <c r="I148">
        <f>IF([@Position]="",0,XLOOKUP([@Position],Config!tblBonus[Place],Config!tblBonus[Stage3BonusSec],0))</f>
      </c>
      <c r="J148">
        <f>IF([@StageSeconds]="","",[@StageSeconds]-[@BonusSeconds])</f>
      </c>
      <c r="K148" s="3">
        <f>IF([@NetSeconds]="","",[@NetSeconds]/86400)</f>
      </c>
    </row>
    <row r="149" spans="1:11" x14ac:dyDescent="0.25">
      <c r="A149" t="s">
        <v>22</v>
      </c>
      <c r="B149">
        <f>IF([@Bib]="","",XLOOKUP([@Bib],tblReg[Bib],tblReg[Field],""))</f>
      </c>
      <c r="C149">
        <f>IF([@Bib]="","",XLOOKUP([@Bib],tblReg[Bib],tblReg[FirstName],""))</f>
      </c>
      <c r="D149">
        <f>IF([@Bib]="","",XLOOKUP([@Bib],tblReg[Bib],tblReg[LastName],""))</f>
      </c>
      <c r="E149">
        <f>IF([@Bib]="","",XLOOKUP([@Bib],tblReg[Bib],tblReg[Team],""))</f>
      </c>
      <c r="F149" s="3" t="s">
        <v>22</v>
      </c>
      <c r="G149">
        <f>IF([@StageTime]="","",HOUR([@StageTime])*3600 + MINUTE([@StageTime])*60 + SECOND([@StageTime]))</f>
      </c>
      <c r="H149">
        <f>IF([@StageSeconds]="","",RANK([@StageSeconds],tblStage3[StageSeconds],1))</f>
      </c>
      <c r="I149">
        <f>IF([@Position]="",0,XLOOKUP([@Position],Config!tblBonus[Place],Config!tblBonus[Stage3BonusSec],0))</f>
      </c>
      <c r="J149">
        <f>IF([@StageSeconds]="","",[@StageSeconds]-[@BonusSeconds])</f>
      </c>
      <c r="K149" s="3">
        <f>IF([@NetSeconds]="","",[@NetSeconds]/86400)</f>
      </c>
    </row>
    <row r="150" spans="1:11" x14ac:dyDescent="0.25">
      <c r="A150" t="s">
        <v>22</v>
      </c>
      <c r="B150">
        <f>IF([@Bib]="","",XLOOKUP([@Bib],tblReg[Bib],tblReg[Field],""))</f>
      </c>
      <c r="C150">
        <f>IF([@Bib]="","",XLOOKUP([@Bib],tblReg[Bib],tblReg[FirstName],""))</f>
      </c>
      <c r="D150">
        <f>IF([@Bib]="","",XLOOKUP([@Bib],tblReg[Bib],tblReg[LastName],""))</f>
      </c>
      <c r="E150">
        <f>IF([@Bib]="","",XLOOKUP([@Bib],tblReg[Bib],tblReg[Team],""))</f>
      </c>
      <c r="F150" s="3" t="s">
        <v>22</v>
      </c>
      <c r="G150">
        <f>IF([@StageTime]="","",HOUR([@StageTime])*3600 + MINUTE([@StageTime])*60 + SECOND([@StageTime]))</f>
      </c>
      <c r="H150">
        <f>IF([@StageSeconds]="","",RANK([@StageSeconds],tblStage3[StageSeconds],1))</f>
      </c>
      <c r="I150">
        <f>IF([@Position]="",0,XLOOKUP([@Position],Config!tblBonus[Place],Config!tblBonus[Stage3BonusSec],0))</f>
      </c>
      <c r="J150">
        <f>IF([@StageSeconds]="","",[@StageSeconds]-[@BonusSeconds])</f>
      </c>
      <c r="K150" s="3">
        <f>IF([@NetSeconds]="","",[@NetSeconds]/86400)</f>
      </c>
    </row>
    <row r="151" spans="1:11" x14ac:dyDescent="0.25">
      <c r="A151" t="s">
        <v>22</v>
      </c>
      <c r="B151">
        <f>IF([@Bib]="","",XLOOKUP([@Bib],tblReg[Bib],tblReg[Field],""))</f>
      </c>
      <c r="C151">
        <f>IF([@Bib]="","",XLOOKUP([@Bib],tblReg[Bib],tblReg[FirstName],""))</f>
      </c>
      <c r="D151">
        <f>IF([@Bib]="","",XLOOKUP([@Bib],tblReg[Bib],tblReg[LastName],""))</f>
      </c>
      <c r="E151">
        <f>IF([@Bib]="","",XLOOKUP([@Bib],tblReg[Bib],tblReg[Team],""))</f>
      </c>
      <c r="F151" s="3" t="s">
        <v>22</v>
      </c>
      <c r="G151">
        <f>IF([@StageTime]="","",HOUR([@StageTime])*3600 + MINUTE([@StageTime])*60 + SECOND([@StageTime]))</f>
      </c>
      <c r="H151">
        <f>IF([@StageSeconds]="","",RANK([@StageSeconds],tblStage3[StageSeconds],1))</f>
      </c>
      <c r="I151">
        <f>IF([@Position]="",0,XLOOKUP([@Position],Config!tblBonus[Place],Config!tblBonus[Stage3BonusSec],0))</f>
      </c>
      <c r="J151">
        <f>IF([@StageSeconds]="","",[@StageSeconds]-[@BonusSeconds])</f>
      </c>
      <c r="K151" s="3">
        <f>IF([@NetSeconds]="","",[@NetSeconds]/86400)</f>
      </c>
    </row>
    <row r="152" spans="1:11" x14ac:dyDescent="0.25">
      <c r="A152" t="s">
        <v>22</v>
      </c>
      <c r="B152">
        <f>IF([@Bib]="","",XLOOKUP([@Bib],tblReg[Bib],tblReg[Field],""))</f>
      </c>
      <c r="C152">
        <f>IF([@Bib]="","",XLOOKUP([@Bib],tblReg[Bib],tblReg[FirstName],""))</f>
      </c>
      <c r="D152">
        <f>IF([@Bib]="","",XLOOKUP([@Bib],tblReg[Bib],tblReg[LastName],""))</f>
      </c>
      <c r="E152">
        <f>IF([@Bib]="","",XLOOKUP([@Bib],tblReg[Bib],tblReg[Team],""))</f>
      </c>
      <c r="F152" s="3" t="s">
        <v>22</v>
      </c>
      <c r="G152">
        <f>IF([@StageTime]="","",HOUR([@StageTime])*3600 + MINUTE([@StageTime])*60 + SECOND([@StageTime]))</f>
      </c>
      <c r="H152">
        <f>IF([@StageSeconds]="","",RANK([@StageSeconds],tblStage3[StageSeconds],1))</f>
      </c>
      <c r="I152">
        <f>IF([@Position]="",0,XLOOKUP([@Position],Config!tblBonus[Place],Config!tblBonus[Stage3BonusSec],0))</f>
      </c>
      <c r="J152">
        <f>IF([@StageSeconds]="","",[@StageSeconds]-[@BonusSeconds])</f>
      </c>
      <c r="K152" s="3">
        <f>IF([@NetSeconds]="","",[@NetSeconds]/86400)</f>
      </c>
    </row>
    <row r="153" spans="1:11" x14ac:dyDescent="0.25">
      <c r="A153" t="s">
        <v>22</v>
      </c>
      <c r="B153">
        <f>IF([@Bib]="","",XLOOKUP([@Bib],tblReg[Bib],tblReg[Field],""))</f>
      </c>
      <c r="C153">
        <f>IF([@Bib]="","",XLOOKUP([@Bib],tblReg[Bib],tblReg[FirstName],""))</f>
      </c>
      <c r="D153">
        <f>IF([@Bib]="","",XLOOKUP([@Bib],tblReg[Bib],tblReg[LastName],""))</f>
      </c>
      <c r="E153">
        <f>IF([@Bib]="","",XLOOKUP([@Bib],tblReg[Bib],tblReg[Team],""))</f>
      </c>
      <c r="F153" s="3" t="s">
        <v>22</v>
      </c>
      <c r="G153">
        <f>IF([@StageTime]="","",HOUR([@StageTime])*3600 + MINUTE([@StageTime])*60 + SECOND([@StageTime]))</f>
      </c>
      <c r="H153">
        <f>IF([@StageSeconds]="","",RANK([@StageSeconds],tblStage3[StageSeconds],1))</f>
      </c>
      <c r="I153">
        <f>IF([@Position]="",0,XLOOKUP([@Position],Config!tblBonus[Place],Config!tblBonus[Stage3BonusSec],0))</f>
      </c>
      <c r="J153">
        <f>IF([@StageSeconds]="","",[@StageSeconds]-[@BonusSeconds])</f>
      </c>
      <c r="K153" s="3">
        <f>IF([@NetSeconds]="","",[@NetSeconds]/86400)</f>
      </c>
    </row>
    <row r="154" spans="1:11" x14ac:dyDescent="0.25">
      <c r="A154" t="s">
        <v>22</v>
      </c>
      <c r="B154">
        <f>IF([@Bib]="","",XLOOKUP([@Bib],tblReg[Bib],tblReg[Field],""))</f>
      </c>
      <c r="C154">
        <f>IF([@Bib]="","",XLOOKUP([@Bib],tblReg[Bib],tblReg[FirstName],""))</f>
      </c>
      <c r="D154">
        <f>IF([@Bib]="","",XLOOKUP([@Bib],tblReg[Bib],tblReg[LastName],""))</f>
      </c>
      <c r="E154">
        <f>IF([@Bib]="","",XLOOKUP([@Bib],tblReg[Bib],tblReg[Team],""))</f>
      </c>
      <c r="F154" s="3" t="s">
        <v>22</v>
      </c>
      <c r="G154">
        <f>IF([@StageTime]="","",HOUR([@StageTime])*3600 + MINUTE([@StageTime])*60 + SECOND([@StageTime]))</f>
      </c>
      <c r="H154">
        <f>IF([@StageSeconds]="","",RANK([@StageSeconds],tblStage3[StageSeconds],1))</f>
      </c>
      <c r="I154">
        <f>IF([@Position]="",0,XLOOKUP([@Position],Config!tblBonus[Place],Config!tblBonus[Stage3BonusSec],0))</f>
      </c>
      <c r="J154">
        <f>IF([@StageSeconds]="","",[@StageSeconds]-[@BonusSeconds])</f>
      </c>
      <c r="K154" s="3">
        <f>IF([@NetSeconds]="","",[@NetSeconds]/86400)</f>
      </c>
    </row>
    <row r="155" spans="1:11" x14ac:dyDescent="0.25">
      <c r="A155" t="s">
        <v>22</v>
      </c>
      <c r="B155">
        <f>IF([@Bib]="","",XLOOKUP([@Bib],tblReg[Bib],tblReg[Field],""))</f>
      </c>
      <c r="C155">
        <f>IF([@Bib]="","",XLOOKUP([@Bib],tblReg[Bib],tblReg[FirstName],""))</f>
      </c>
      <c r="D155">
        <f>IF([@Bib]="","",XLOOKUP([@Bib],tblReg[Bib],tblReg[LastName],""))</f>
      </c>
      <c r="E155">
        <f>IF([@Bib]="","",XLOOKUP([@Bib],tblReg[Bib],tblReg[Team],""))</f>
      </c>
      <c r="F155" s="3" t="s">
        <v>22</v>
      </c>
      <c r="G155">
        <f>IF([@StageTime]="","",HOUR([@StageTime])*3600 + MINUTE([@StageTime])*60 + SECOND([@StageTime]))</f>
      </c>
      <c r="H155">
        <f>IF([@StageSeconds]="","",RANK([@StageSeconds],tblStage3[StageSeconds],1))</f>
      </c>
      <c r="I155">
        <f>IF([@Position]="",0,XLOOKUP([@Position],Config!tblBonus[Place],Config!tblBonus[Stage3BonusSec],0))</f>
      </c>
      <c r="J155">
        <f>IF([@StageSeconds]="","",[@StageSeconds]-[@BonusSeconds])</f>
      </c>
      <c r="K155" s="3">
        <f>IF([@NetSeconds]="","",[@NetSeconds]/86400)</f>
      </c>
    </row>
    <row r="156" spans="1:11" x14ac:dyDescent="0.25">
      <c r="A156" t="s">
        <v>22</v>
      </c>
      <c r="B156">
        <f>IF([@Bib]="","",XLOOKUP([@Bib],tblReg[Bib],tblReg[Field],""))</f>
      </c>
      <c r="C156">
        <f>IF([@Bib]="","",XLOOKUP([@Bib],tblReg[Bib],tblReg[FirstName],""))</f>
      </c>
      <c r="D156">
        <f>IF([@Bib]="","",XLOOKUP([@Bib],tblReg[Bib],tblReg[LastName],""))</f>
      </c>
      <c r="E156">
        <f>IF([@Bib]="","",XLOOKUP([@Bib],tblReg[Bib],tblReg[Team],""))</f>
      </c>
      <c r="F156" s="3" t="s">
        <v>22</v>
      </c>
      <c r="G156">
        <f>IF([@StageTime]="","",HOUR([@StageTime])*3600 + MINUTE([@StageTime])*60 + SECOND([@StageTime]))</f>
      </c>
      <c r="H156">
        <f>IF([@StageSeconds]="","",RANK([@StageSeconds],tblStage3[StageSeconds],1))</f>
      </c>
      <c r="I156">
        <f>IF([@Position]="",0,XLOOKUP([@Position],Config!tblBonus[Place],Config!tblBonus[Stage3BonusSec],0))</f>
      </c>
      <c r="J156">
        <f>IF([@StageSeconds]="","",[@StageSeconds]-[@BonusSeconds])</f>
      </c>
      <c r="K156" s="3">
        <f>IF([@NetSeconds]="","",[@NetSeconds]/86400)</f>
      </c>
    </row>
    <row r="157" spans="1:11" x14ac:dyDescent="0.25">
      <c r="A157" t="s">
        <v>22</v>
      </c>
      <c r="B157">
        <f>IF([@Bib]="","",XLOOKUP([@Bib],tblReg[Bib],tblReg[Field],""))</f>
      </c>
      <c r="C157">
        <f>IF([@Bib]="","",XLOOKUP([@Bib],tblReg[Bib],tblReg[FirstName],""))</f>
      </c>
      <c r="D157">
        <f>IF([@Bib]="","",XLOOKUP([@Bib],tblReg[Bib],tblReg[LastName],""))</f>
      </c>
      <c r="E157">
        <f>IF([@Bib]="","",XLOOKUP([@Bib],tblReg[Bib],tblReg[Team],""))</f>
      </c>
      <c r="F157" s="3" t="s">
        <v>22</v>
      </c>
      <c r="G157">
        <f>IF([@StageTime]="","",HOUR([@StageTime])*3600 + MINUTE([@StageTime])*60 + SECOND([@StageTime]))</f>
      </c>
      <c r="H157">
        <f>IF([@StageSeconds]="","",RANK([@StageSeconds],tblStage3[StageSeconds],1))</f>
      </c>
      <c r="I157">
        <f>IF([@Position]="",0,XLOOKUP([@Position],Config!tblBonus[Place],Config!tblBonus[Stage3BonusSec],0))</f>
      </c>
      <c r="J157">
        <f>IF([@StageSeconds]="","",[@StageSeconds]-[@BonusSeconds])</f>
      </c>
      <c r="K157" s="3">
        <f>IF([@NetSeconds]="","",[@NetSeconds]/86400)</f>
      </c>
    </row>
    <row r="158" spans="1:11" x14ac:dyDescent="0.25">
      <c r="A158" t="s">
        <v>22</v>
      </c>
      <c r="B158">
        <f>IF([@Bib]="","",XLOOKUP([@Bib],tblReg[Bib],tblReg[Field],""))</f>
      </c>
      <c r="C158">
        <f>IF([@Bib]="","",XLOOKUP([@Bib],tblReg[Bib],tblReg[FirstName],""))</f>
      </c>
      <c r="D158">
        <f>IF([@Bib]="","",XLOOKUP([@Bib],tblReg[Bib],tblReg[LastName],""))</f>
      </c>
      <c r="E158">
        <f>IF([@Bib]="","",XLOOKUP([@Bib],tblReg[Bib],tblReg[Team],""))</f>
      </c>
      <c r="F158" s="3" t="s">
        <v>22</v>
      </c>
      <c r="G158">
        <f>IF([@StageTime]="","",HOUR([@StageTime])*3600 + MINUTE([@StageTime])*60 + SECOND([@StageTime]))</f>
      </c>
      <c r="H158">
        <f>IF([@StageSeconds]="","",RANK([@StageSeconds],tblStage3[StageSeconds],1))</f>
      </c>
      <c r="I158">
        <f>IF([@Position]="",0,XLOOKUP([@Position],Config!tblBonus[Place],Config!tblBonus[Stage3BonusSec],0))</f>
      </c>
      <c r="J158">
        <f>IF([@StageSeconds]="","",[@StageSeconds]-[@BonusSeconds])</f>
      </c>
      <c r="K158" s="3">
        <f>IF([@NetSeconds]="","",[@NetSeconds]/86400)</f>
      </c>
    </row>
    <row r="159" spans="1:11" x14ac:dyDescent="0.25">
      <c r="A159" t="s">
        <v>22</v>
      </c>
      <c r="B159">
        <f>IF([@Bib]="","",XLOOKUP([@Bib],tblReg[Bib],tblReg[Field],""))</f>
      </c>
      <c r="C159">
        <f>IF([@Bib]="","",XLOOKUP([@Bib],tblReg[Bib],tblReg[FirstName],""))</f>
      </c>
      <c r="D159">
        <f>IF([@Bib]="","",XLOOKUP([@Bib],tblReg[Bib],tblReg[LastName],""))</f>
      </c>
      <c r="E159">
        <f>IF([@Bib]="","",XLOOKUP([@Bib],tblReg[Bib],tblReg[Team],""))</f>
      </c>
      <c r="F159" s="3" t="s">
        <v>22</v>
      </c>
      <c r="G159">
        <f>IF([@StageTime]="","",HOUR([@StageTime])*3600 + MINUTE([@StageTime])*60 + SECOND([@StageTime]))</f>
      </c>
      <c r="H159">
        <f>IF([@StageSeconds]="","",RANK([@StageSeconds],tblStage3[StageSeconds],1))</f>
      </c>
      <c r="I159">
        <f>IF([@Position]="",0,XLOOKUP([@Position],Config!tblBonus[Place],Config!tblBonus[Stage3BonusSec],0))</f>
      </c>
      <c r="J159">
        <f>IF([@StageSeconds]="","",[@StageSeconds]-[@BonusSeconds])</f>
      </c>
      <c r="K159" s="3">
        <f>IF([@NetSeconds]="","",[@NetSeconds]/86400)</f>
      </c>
    </row>
    <row r="160" spans="1:11" x14ac:dyDescent="0.25">
      <c r="A160" t="s">
        <v>22</v>
      </c>
      <c r="B160">
        <f>IF([@Bib]="","",XLOOKUP([@Bib],tblReg[Bib],tblReg[Field],""))</f>
      </c>
      <c r="C160">
        <f>IF([@Bib]="","",XLOOKUP([@Bib],tblReg[Bib],tblReg[FirstName],""))</f>
      </c>
      <c r="D160">
        <f>IF([@Bib]="","",XLOOKUP([@Bib],tblReg[Bib],tblReg[LastName],""))</f>
      </c>
      <c r="E160">
        <f>IF([@Bib]="","",XLOOKUP([@Bib],tblReg[Bib],tblReg[Team],""))</f>
      </c>
      <c r="F160" s="3" t="s">
        <v>22</v>
      </c>
      <c r="G160">
        <f>IF([@StageTime]="","",HOUR([@StageTime])*3600 + MINUTE([@StageTime])*60 + SECOND([@StageTime]))</f>
      </c>
      <c r="H160">
        <f>IF([@StageSeconds]="","",RANK([@StageSeconds],tblStage3[StageSeconds],1))</f>
      </c>
      <c r="I160">
        <f>IF([@Position]="",0,XLOOKUP([@Position],Config!tblBonus[Place],Config!tblBonus[Stage3BonusSec],0))</f>
      </c>
      <c r="J160">
        <f>IF([@StageSeconds]="","",[@StageSeconds]-[@BonusSeconds])</f>
      </c>
      <c r="K160" s="3">
        <f>IF([@NetSeconds]="","",[@NetSeconds]/86400)</f>
      </c>
    </row>
    <row r="161" spans="1:11" x14ac:dyDescent="0.25">
      <c r="A161" t="s">
        <v>22</v>
      </c>
      <c r="B161">
        <f>IF([@Bib]="","",XLOOKUP([@Bib],tblReg[Bib],tblReg[Field],""))</f>
      </c>
      <c r="C161">
        <f>IF([@Bib]="","",XLOOKUP([@Bib],tblReg[Bib],tblReg[FirstName],""))</f>
      </c>
      <c r="D161">
        <f>IF([@Bib]="","",XLOOKUP([@Bib],tblReg[Bib],tblReg[LastName],""))</f>
      </c>
      <c r="E161">
        <f>IF([@Bib]="","",XLOOKUP([@Bib],tblReg[Bib],tblReg[Team],""))</f>
      </c>
      <c r="F161" s="3" t="s">
        <v>22</v>
      </c>
      <c r="G161">
        <f>IF([@StageTime]="","",HOUR([@StageTime])*3600 + MINUTE([@StageTime])*60 + SECOND([@StageTime]))</f>
      </c>
      <c r="H161">
        <f>IF([@StageSeconds]="","",RANK([@StageSeconds],tblStage3[StageSeconds],1))</f>
      </c>
      <c r="I161">
        <f>IF([@Position]="",0,XLOOKUP([@Position],Config!tblBonus[Place],Config!tblBonus[Stage3BonusSec],0))</f>
      </c>
      <c r="J161">
        <f>IF([@StageSeconds]="","",[@StageSeconds]-[@BonusSeconds])</f>
      </c>
      <c r="K161" s="3">
        <f>IF([@NetSeconds]="","",[@NetSeconds]/86400)</f>
      </c>
    </row>
    <row r="162" spans="1:11" x14ac:dyDescent="0.25">
      <c r="A162" t="s">
        <v>22</v>
      </c>
      <c r="B162">
        <f>IF([@Bib]="","",XLOOKUP([@Bib],tblReg[Bib],tblReg[Field],""))</f>
      </c>
      <c r="C162">
        <f>IF([@Bib]="","",XLOOKUP([@Bib],tblReg[Bib],tblReg[FirstName],""))</f>
      </c>
      <c r="D162">
        <f>IF([@Bib]="","",XLOOKUP([@Bib],tblReg[Bib],tblReg[LastName],""))</f>
      </c>
      <c r="E162">
        <f>IF([@Bib]="","",XLOOKUP([@Bib],tblReg[Bib],tblReg[Team],""))</f>
      </c>
      <c r="F162" s="3" t="s">
        <v>22</v>
      </c>
      <c r="G162">
        <f>IF([@StageTime]="","",HOUR([@StageTime])*3600 + MINUTE([@StageTime])*60 + SECOND([@StageTime]))</f>
      </c>
      <c r="H162">
        <f>IF([@StageSeconds]="","",RANK([@StageSeconds],tblStage3[StageSeconds],1))</f>
      </c>
      <c r="I162">
        <f>IF([@Position]="",0,XLOOKUP([@Position],Config!tblBonus[Place],Config!tblBonus[Stage3BonusSec],0))</f>
      </c>
      <c r="J162">
        <f>IF([@StageSeconds]="","",[@StageSeconds]-[@BonusSeconds])</f>
      </c>
      <c r="K162" s="3">
        <f>IF([@NetSeconds]="","",[@NetSeconds]/86400)</f>
      </c>
    </row>
    <row r="163" spans="1:11" x14ac:dyDescent="0.25">
      <c r="A163" t="s">
        <v>22</v>
      </c>
      <c r="B163">
        <f>IF([@Bib]="","",XLOOKUP([@Bib],tblReg[Bib],tblReg[Field],""))</f>
      </c>
      <c r="C163">
        <f>IF([@Bib]="","",XLOOKUP([@Bib],tblReg[Bib],tblReg[FirstName],""))</f>
      </c>
      <c r="D163">
        <f>IF([@Bib]="","",XLOOKUP([@Bib],tblReg[Bib],tblReg[LastName],""))</f>
      </c>
      <c r="E163">
        <f>IF([@Bib]="","",XLOOKUP([@Bib],tblReg[Bib],tblReg[Team],""))</f>
      </c>
      <c r="F163" s="3" t="s">
        <v>22</v>
      </c>
      <c r="G163">
        <f>IF([@StageTime]="","",HOUR([@StageTime])*3600 + MINUTE([@StageTime])*60 + SECOND([@StageTime]))</f>
      </c>
      <c r="H163">
        <f>IF([@StageSeconds]="","",RANK([@StageSeconds],tblStage3[StageSeconds],1))</f>
      </c>
      <c r="I163">
        <f>IF([@Position]="",0,XLOOKUP([@Position],Config!tblBonus[Place],Config!tblBonus[Stage3BonusSec],0))</f>
      </c>
      <c r="J163">
        <f>IF([@StageSeconds]="","",[@StageSeconds]-[@BonusSeconds])</f>
      </c>
      <c r="K163" s="3">
        <f>IF([@NetSeconds]="","",[@NetSeconds]/86400)</f>
      </c>
    </row>
    <row r="164" spans="1:11" x14ac:dyDescent="0.25">
      <c r="A164" t="s">
        <v>22</v>
      </c>
      <c r="B164">
        <f>IF([@Bib]="","",XLOOKUP([@Bib],tblReg[Bib],tblReg[Field],""))</f>
      </c>
      <c r="C164">
        <f>IF([@Bib]="","",XLOOKUP([@Bib],tblReg[Bib],tblReg[FirstName],""))</f>
      </c>
      <c r="D164">
        <f>IF([@Bib]="","",XLOOKUP([@Bib],tblReg[Bib],tblReg[LastName],""))</f>
      </c>
      <c r="E164">
        <f>IF([@Bib]="","",XLOOKUP([@Bib],tblReg[Bib],tblReg[Team],""))</f>
      </c>
      <c r="F164" s="3" t="s">
        <v>22</v>
      </c>
      <c r="G164">
        <f>IF([@StageTime]="","",HOUR([@StageTime])*3600 + MINUTE([@StageTime])*60 + SECOND([@StageTime]))</f>
      </c>
      <c r="H164">
        <f>IF([@StageSeconds]="","",RANK([@StageSeconds],tblStage3[StageSeconds],1))</f>
      </c>
      <c r="I164">
        <f>IF([@Position]="",0,XLOOKUP([@Position],Config!tblBonus[Place],Config!tblBonus[Stage3BonusSec],0))</f>
      </c>
      <c r="J164">
        <f>IF([@StageSeconds]="","",[@StageSeconds]-[@BonusSeconds])</f>
      </c>
      <c r="K164" s="3">
        <f>IF([@NetSeconds]="","",[@NetSeconds]/86400)</f>
      </c>
    </row>
    <row r="165" spans="1:11" x14ac:dyDescent="0.25">
      <c r="A165" t="s">
        <v>22</v>
      </c>
      <c r="B165">
        <f>IF([@Bib]="","",XLOOKUP([@Bib],tblReg[Bib],tblReg[Field],""))</f>
      </c>
      <c r="C165">
        <f>IF([@Bib]="","",XLOOKUP([@Bib],tblReg[Bib],tblReg[FirstName],""))</f>
      </c>
      <c r="D165">
        <f>IF([@Bib]="","",XLOOKUP([@Bib],tblReg[Bib],tblReg[LastName],""))</f>
      </c>
      <c r="E165">
        <f>IF([@Bib]="","",XLOOKUP([@Bib],tblReg[Bib],tblReg[Team],""))</f>
      </c>
      <c r="F165" s="3" t="s">
        <v>22</v>
      </c>
      <c r="G165">
        <f>IF([@StageTime]="","",HOUR([@StageTime])*3600 + MINUTE([@StageTime])*60 + SECOND([@StageTime]))</f>
      </c>
      <c r="H165">
        <f>IF([@StageSeconds]="","",RANK([@StageSeconds],tblStage3[StageSeconds],1))</f>
      </c>
      <c r="I165">
        <f>IF([@Position]="",0,XLOOKUP([@Position],Config!tblBonus[Place],Config!tblBonus[Stage3BonusSec],0))</f>
      </c>
      <c r="J165">
        <f>IF([@StageSeconds]="","",[@StageSeconds]-[@BonusSeconds])</f>
      </c>
      <c r="K165" s="3">
        <f>IF([@NetSeconds]="","",[@NetSeconds]/86400)</f>
      </c>
    </row>
    <row r="166" spans="1:11" x14ac:dyDescent="0.25">
      <c r="A166" t="s">
        <v>22</v>
      </c>
      <c r="B166">
        <f>IF([@Bib]="","",XLOOKUP([@Bib],tblReg[Bib],tblReg[Field],""))</f>
      </c>
      <c r="C166">
        <f>IF([@Bib]="","",XLOOKUP([@Bib],tblReg[Bib],tblReg[FirstName],""))</f>
      </c>
      <c r="D166">
        <f>IF([@Bib]="","",XLOOKUP([@Bib],tblReg[Bib],tblReg[LastName],""))</f>
      </c>
      <c r="E166">
        <f>IF([@Bib]="","",XLOOKUP([@Bib],tblReg[Bib],tblReg[Team],""))</f>
      </c>
      <c r="F166" s="3" t="s">
        <v>22</v>
      </c>
      <c r="G166">
        <f>IF([@StageTime]="","",HOUR([@StageTime])*3600 + MINUTE([@StageTime])*60 + SECOND([@StageTime]))</f>
      </c>
      <c r="H166">
        <f>IF([@StageSeconds]="","",RANK([@StageSeconds],tblStage3[StageSeconds],1))</f>
      </c>
      <c r="I166">
        <f>IF([@Position]="",0,XLOOKUP([@Position],Config!tblBonus[Place],Config!tblBonus[Stage3BonusSec],0))</f>
      </c>
      <c r="J166">
        <f>IF([@StageSeconds]="","",[@StageSeconds]-[@BonusSeconds])</f>
      </c>
      <c r="K166" s="3">
        <f>IF([@NetSeconds]="","",[@NetSeconds]/86400)</f>
      </c>
    </row>
    <row r="167" spans="1:11" x14ac:dyDescent="0.25">
      <c r="A167" t="s">
        <v>22</v>
      </c>
      <c r="B167">
        <f>IF([@Bib]="","",XLOOKUP([@Bib],tblReg[Bib],tblReg[Field],""))</f>
      </c>
      <c r="C167">
        <f>IF([@Bib]="","",XLOOKUP([@Bib],tblReg[Bib],tblReg[FirstName],""))</f>
      </c>
      <c r="D167">
        <f>IF([@Bib]="","",XLOOKUP([@Bib],tblReg[Bib],tblReg[LastName],""))</f>
      </c>
      <c r="E167">
        <f>IF([@Bib]="","",XLOOKUP([@Bib],tblReg[Bib],tblReg[Team],""))</f>
      </c>
      <c r="F167" s="3" t="s">
        <v>22</v>
      </c>
      <c r="G167">
        <f>IF([@StageTime]="","",HOUR([@StageTime])*3600 + MINUTE([@StageTime])*60 + SECOND([@StageTime]))</f>
      </c>
      <c r="H167">
        <f>IF([@StageSeconds]="","",RANK([@StageSeconds],tblStage3[StageSeconds],1))</f>
      </c>
      <c r="I167">
        <f>IF([@Position]="",0,XLOOKUP([@Position],Config!tblBonus[Place],Config!tblBonus[Stage3BonusSec],0))</f>
      </c>
      <c r="J167">
        <f>IF([@StageSeconds]="","",[@StageSeconds]-[@BonusSeconds])</f>
      </c>
      <c r="K167" s="3">
        <f>IF([@NetSeconds]="","",[@NetSeconds]/86400)</f>
      </c>
    </row>
    <row r="168" spans="1:11" x14ac:dyDescent="0.25">
      <c r="A168" t="s">
        <v>22</v>
      </c>
      <c r="B168">
        <f>IF([@Bib]="","",XLOOKUP([@Bib],tblReg[Bib],tblReg[Field],""))</f>
      </c>
      <c r="C168">
        <f>IF([@Bib]="","",XLOOKUP([@Bib],tblReg[Bib],tblReg[FirstName],""))</f>
      </c>
      <c r="D168">
        <f>IF([@Bib]="","",XLOOKUP([@Bib],tblReg[Bib],tblReg[LastName],""))</f>
      </c>
      <c r="E168">
        <f>IF([@Bib]="","",XLOOKUP([@Bib],tblReg[Bib],tblReg[Team],""))</f>
      </c>
      <c r="F168" s="3" t="s">
        <v>22</v>
      </c>
      <c r="G168">
        <f>IF([@StageTime]="","",HOUR([@StageTime])*3600 + MINUTE([@StageTime])*60 + SECOND([@StageTime]))</f>
      </c>
      <c r="H168">
        <f>IF([@StageSeconds]="","",RANK([@StageSeconds],tblStage3[StageSeconds],1))</f>
      </c>
      <c r="I168">
        <f>IF([@Position]="",0,XLOOKUP([@Position],Config!tblBonus[Place],Config!tblBonus[Stage3BonusSec],0))</f>
      </c>
      <c r="J168">
        <f>IF([@StageSeconds]="","",[@StageSeconds]-[@BonusSeconds])</f>
      </c>
      <c r="K168" s="3">
        <f>IF([@NetSeconds]="","",[@NetSeconds]/86400)</f>
      </c>
    </row>
    <row r="169" spans="1:11" x14ac:dyDescent="0.25">
      <c r="A169" t="s">
        <v>22</v>
      </c>
      <c r="B169">
        <f>IF([@Bib]="","",XLOOKUP([@Bib],tblReg[Bib],tblReg[Field],""))</f>
      </c>
      <c r="C169">
        <f>IF([@Bib]="","",XLOOKUP([@Bib],tblReg[Bib],tblReg[FirstName],""))</f>
      </c>
      <c r="D169">
        <f>IF([@Bib]="","",XLOOKUP([@Bib],tblReg[Bib],tblReg[LastName],""))</f>
      </c>
      <c r="E169">
        <f>IF([@Bib]="","",XLOOKUP([@Bib],tblReg[Bib],tblReg[Team],""))</f>
      </c>
      <c r="F169" s="3" t="s">
        <v>22</v>
      </c>
      <c r="G169">
        <f>IF([@StageTime]="","",HOUR([@StageTime])*3600 + MINUTE([@StageTime])*60 + SECOND([@StageTime]))</f>
      </c>
      <c r="H169">
        <f>IF([@StageSeconds]="","",RANK([@StageSeconds],tblStage3[StageSeconds],1))</f>
      </c>
      <c r="I169">
        <f>IF([@Position]="",0,XLOOKUP([@Position],Config!tblBonus[Place],Config!tblBonus[Stage3BonusSec],0))</f>
      </c>
      <c r="J169">
        <f>IF([@StageSeconds]="","",[@StageSeconds]-[@BonusSeconds])</f>
      </c>
      <c r="K169" s="3">
        <f>IF([@NetSeconds]="","",[@NetSeconds]/86400)</f>
      </c>
    </row>
    <row r="170" spans="1:11" x14ac:dyDescent="0.25">
      <c r="A170" t="s">
        <v>22</v>
      </c>
      <c r="B170">
        <f>IF([@Bib]="","",XLOOKUP([@Bib],tblReg[Bib],tblReg[Field],""))</f>
      </c>
      <c r="C170">
        <f>IF([@Bib]="","",XLOOKUP([@Bib],tblReg[Bib],tblReg[FirstName],""))</f>
      </c>
      <c r="D170">
        <f>IF([@Bib]="","",XLOOKUP([@Bib],tblReg[Bib],tblReg[LastName],""))</f>
      </c>
      <c r="E170">
        <f>IF([@Bib]="","",XLOOKUP([@Bib],tblReg[Bib],tblReg[Team],""))</f>
      </c>
      <c r="F170" s="3" t="s">
        <v>22</v>
      </c>
      <c r="G170">
        <f>IF([@StageTime]="","",HOUR([@StageTime])*3600 + MINUTE([@StageTime])*60 + SECOND([@StageTime]))</f>
      </c>
      <c r="H170">
        <f>IF([@StageSeconds]="","",RANK([@StageSeconds],tblStage3[StageSeconds],1))</f>
      </c>
      <c r="I170">
        <f>IF([@Position]="",0,XLOOKUP([@Position],Config!tblBonus[Place],Config!tblBonus[Stage3BonusSec],0))</f>
      </c>
      <c r="J170">
        <f>IF([@StageSeconds]="","",[@StageSeconds]-[@BonusSeconds])</f>
      </c>
      <c r="K170" s="3">
        <f>IF([@NetSeconds]="","",[@NetSeconds]/86400)</f>
      </c>
    </row>
    <row r="171" spans="1:11" x14ac:dyDescent="0.25">
      <c r="A171" t="s">
        <v>22</v>
      </c>
      <c r="B171">
        <f>IF([@Bib]="","",XLOOKUP([@Bib],tblReg[Bib],tblReg[Field],""))</f>
      </c>
      <c r="C171">
        <f>IF([@Bib]="","",XLOOKUP([@Bib],tblReg[Bib],tblReg[FirstName],""))</f>
      </c>
      <c r="D171">
        <f>IF([@Bib]="","",XLOOKUP([@Bib],tblReg[Bib],tblReg[LastName],""))</f>
      </c>
      <c r="E171">
        <f>IF([@Bib]="","",XLOOKUP([@Bib],tblReg[Bib],tblReg[Team],""))</f>
      </c>
      <c r="F171" s="3" t="s">
        <v>22</v>
      </c>
      <c r="G171">
        <f>IF([@StageTime]="","",HOUR([@StageTime])*3600 + MINUTE([@StageTime])*60 + SECOND([@StageTime]))</f>
      </c>
      <c r="H171">
        <f>IF([@StageSeconds]="","",RANK([@StageSeconds],tblStage3[StageSeconds],1))</f>
      </c>
      <c r="I171">
        <f>IF([@Position]="",0,XLOOKUP([@Position],Config!tblBonus[Place],Config!tblBonus[Stage3BonusSec],0))</f>
      </c>
      <c r="J171">
        <f>IF([@StageSeconds]="","",[@StageSeconds]-[@BonusSeconds])</f>
      </c>
      <c r="K171" s="3">
        <f>IF([@NetSeconds]="","",[@NetSeconds]/86400)</f>
      </c>
    </row>
    <row r="172" spans="1:11" x14ac:dyDescent="0.25">
      <c r="A172" t="s">
        <v>22</v>
      </c>
      <c r="B172">
        <f>IF([@Bib]="","",XLOOKUP([@Bib],tblReg[Bib],tblReg[Field],""))</f>
      </c>
      <c r="C172">
        <f>IF([@Bib]="","",XLOOKUP([@Bib],tblReg[Bib],tblReg[FirstName],""))</f>
      </c>
      <c r="D172">
        <f>IF([@Bib]="","",XLOOKUP([@Bib],tblReg[Bib],tblReg[LastName],""))</f>
      </c>
      <c r="E172">
        <f>IF([@Bib]="","",XLOOKUP([@Bib],tblReg[Bib],tblReg[Team],""))</f>
      </c>
      <c r="F172" s="3" t="s">
        <v>22</v>
      </c>
      <c r="G172">
        <f>IF([@StageTime]="","",HOUR([@StageTime])*3600 + MINUTE([@StageTime])*60 + SECOND([@StageTime]))</f>
      </c>
      <c r="H172">
        <f>IF([@StageSeconds]="","",RANK([@StageSeconds],tblStage3[StageSeconds],1))</f>
      </c>
      <c r="I172">
        <f>IF([@Position]="",0,XLOOKUP([@Position],Config!tblBonus[Place],Config!tblBonus[Stage3BonusSec],0))</f>
      </c>
      <c r="J172">
        <f>IF([@StageSeconds]="","",[@StageSeconds]-[@BonusSeconds])</f>
      </c>
      <c r="K172" s="3">
        <f>IF([@NetSeconds]="","",[@NetSeconds]/86400)</f>
      </c>
    </row>
    <row r="173" spans="1:11" x14ac:dyDescent="0.25">
      <c r="A173" t="s">
        <v>22</v>
      </c>
      <c r="B173">
        <f>IF([@Bib]="","",XLOOKUP([@Bib],tblReg[Bib],tblReg[Field],""))</f>
      </c>
      <c r="C173">
        <f>IF([@Bib]="","",XLOOKUP([@Bib],tblReg[Bib],tblReg[FirstName],""))</f>
      </c>
      <c r="D173">
        <f>IF([@Bib]="","",XLOOKUP([@Bib],tblReg[Bib],tblReg[LastName],""))</f>
      </c>
      <c r="E173">
        <f>IF([@Bib]="","",XLOOKUP([@Bib],tblReg[Bib],tblReg[Team],""))</f>
      </c>
      <c r="F173" s="3" t="s">
        <v>22</v>
      </c>
      <c r="G173">
        <f>IF([@StageTime]="","",HOUR([@StageTime])*3600 + MINUTE([@StageTime])*60 + SECOND([@StageTime]))</f>
      </c>
      <c r="H173">
        <f>IF([@StageSeconds]="","",RANK([@StageSeconds],tblStage3[StageSeconds],1))</f>
      </c>
      <c r="I173">
        <f>IF([@Position]="",0,XLOOKUP([@Position],Config!tblBonus[Place],Config!tblBonus[Stage3BonusSec],0))</f>
      </c>
      <c r="J173">
        <f>IF([@StageSeconds]="","",[@StageSeconds]-[@BonusSeconds])</f>
      </c>
      <c r="K173" s="3">
        <f>IF([@NetSeconds]="","",[@NetSeconds]/86400)</f>
      </c>
    </row>
    <row r="174" spans="1:11" x14ac:dyDescent="0.25">
      <c r="A174" t="s">
        <v>22</v>
      </c>
      <c r="B174">
        <f>IF([@Bib]="","",XLOOKUP([@Bib],tblReg[Bib],tblReg[Field],""))</f>
      </c>
      <c r="C174">
        <f>IF([@Bib]="","",XLOOKUP([@Bib],tblReg[Bib],tblReg[FirstName],""))</f>
      </c>
      <c r="D174">
        <f>IF([@Bib]="","",XLOOKUP([@Bib],tblReg[Bib],tblReg[LastName],""))</f>
      </c>
      <c r="E174">
        <f>IF([@Bib]="","",XLOOKUP([@Bib],tblReg[Bib],tblReg[Team],""))</f>
      </c>
      <c r="F174" s="3" t="s">
        <v>22</v>
      </c>
      <c r="G174">
        <f>IF([@StageTime]="","",HOUR([@StageTime])*3600 + MINUTE([@StageTime])*60 + SECOND([@StageTime]))</f>
      </c>
      <c r="H174">
        <f>IF([@StageSeconds]="","",RANK([@StageSeconds],tblStage3[StageSeconds],1))</f>
      </c>
      <c r="I174">
        <f>IF([@Position]="",0,XLOOKUP([@Position],Config!tblBonus[Place],Config!tblBonus[Stage3BonusSec],0))</f>
      </c>
      <c r="J174">
        <f>IF([@StageSeconds]="","",[@StageSeconds]-[@BonusSeconds])</f>
      </c>
      <c r="K174" s="3">
        <f>IF([@NetSeconds]="","",[@NetSeconds]/86400)</f>
      </c>
    </row>
    <row r="175" spans="1:11" x14ac:dyDescent="0.25">
      <c r="A175" t="s">
        <v>22</v>
      </c>
      <c r="B175">
        <f>IF([@Bib]="","",XLOOKUP([@Bib],tblReg[Bib],tblReg[Field],""))</f>
      </c>
      <c r="C175">
        <f>IF([@Bib]="","",XLOOKUP([@Bib],tblReg[Bib],tblReg[FirstName],""))</f>
      </c>
      <c r="D175">
        <f>IF([@Bib]="","",XLOOKUP([@Bib],tblReg[Bib],tblReg[LastName],""))</f>
      </c>
      <c r="E175">
        <f>IF([@Bib]="","",XLOOKUP([@Bib],tblReg[Bib],tblReg[Team],""))</f>
      </c>
      <c r="F175" s="3" t="s">
        <v>22</v>
      </c>
      <c r="G175">
        <f>IF([@StageTime]="","",HOUR([@StageTime])*3600 + MINUTE([@StageTime])*60 + SECOND([@StageTime]))</f>
      </c>
      <c r="H175">
        <f>IF([@StageSeconds]="","",RANK([@StageSeconds],tblStage3[StageSeconds],1))</f>
      </c>
      <c r="I175">
        <f>IF([@Position]="",0,XLOOKUP([@Position],Config!tblBonus[Place],Config!tblBonus[Stage3BonusSec],0))</f>
      </c>
      <c r="J175">
        <f>IF([@StageSeconds]="","",[@StageSeconds]-[@BonusSeconds])</f>
      </c>
      <c r="K175" s="3">
        <f>IF([@NetSeconds]="","",[@NetSeconds]/86400)</f>
      </c>
    </row>
    <row r="176" spans="1:11" x14ac:dyDescent="0.25">
      <c r="A176" t="s">
        <v>22</v>
      </c>
      <c r="B176">
        <f>IF([@Bib]="","",XLOOKUP([@Bib],tblReg[Bib],tblReg[Field],""))</f>
      </c>
      <c r="C176">
        <f>IF([@Bib]="","",XLOOKUP([@Bib],tblReg[Bib],tblReg[FirstName],""))</f>
      </c>
      <c r="D176">
        <f>IF([@Bib]="","",XLOOKUP([@Bib],tblReg[Bib],tblReg[LastName],""))</f>
      </c>
      <c r="E176">
        <f>IF([@Bib]="","",XLOOKUP([@Bib],tblReg[Bib],tblReg[Team],""))</f>
      </c>
      <c r="F176" s="3" t="s">
        <v>22</v>
      </c>
      <c r="G176">
        <f>IF([@StageTime]="","",HOUR([@StageTime])*3600 + MINUTE([@StageTime])*60 + SECOND([@StageTime]))</f>
      </c>
      <c r="H176">
        <f>IF([@StageSeconds]="","",RANK([@StageSeconds],tblStage3[StageSeconds],1))</f>
      </c>
      <c r="I176">
        <f>IF([@Position]="",0,XLOOKUP([@Position],Config!tblBonus[Place],Config!tblBonus[Stage3BonusSec],0))</f>
      </c>
      <c r="J176">
        <f>IF([@StageSeconds]="","",[@StageSeconds]-[@BonusSeconds])</f>
      </c>
      <c r="K176" s="3">
        <f>IF([@NetSeconds]="","",[@NetSeconds]/86400)</f>
      </c>
    </row>
    <row r="177" spans="1:11" x14ac:dyDescent="0.25">
      <c r="A177" t="s">
        <v>22</v>
      </c>
      <c r="B177">
        <f>IF([@Bib]="","",XLOOKUP([@Bib],tblReg[Bib],tblReg[Field],""))</f>
      </c>
      <c r="C177">
        <f>IF([@Bib]="","",XLOOKUP([@Bib],tblReg[Bib],tblReg[FirstName],""))</f>
      </c>
      <c r="D177">
        <f>IF([@Bib]="","",XLOOKUP([@Bib],tblReg[Bib],tblReg[LastName],""))</f>
      </c>
      <c r="E177">
        <f>IF([@Bib]="","",XLOOKUP([@Bib],tblReg[Bib],tblReg[Team],""))</f>
      </c>
      <c r="F177" s="3" t="s">
        <v>22</v>
      </c>
      <c r="G177">
        <f>IF([@StageTime]="","",HOUR([@StageTime])*3600 + MINUTE([@StageTime])*60 + SECOND([@StageTime]))</f>
      </c>
      <c r="H177">
        <f>IF([@StageSeconds]="","",RANK([@StageSeconds],tblStage3[StageSeconds],1))</f>
      </c>
      <c r="I177">
        <f>IF([@Position]="",0,XLOOKUP([@Position],Config!tblBonus[Place],Config!tblBonus[Stage3BonusSec],0))</f>
      </c>
      <c r="J177">
        <f>IF([@StageSeconds]="","",[@StageSeconds]-[@BonusSeconds])</f>
      </c>
      <c r="K177" s="3">
        <f>IF([@NetSeconds]="","",[@NetSeconds]/86400)</f>
      </c>
    </row>
    <row r="178" spans="1:11" x14ac:dyDescent="0.25">
      <c r="A178" t="s">
        <v>22</v>
      </c>
      <c r="B178">
        <f>IF([@Bib]="","",XLOOKUP([@Bib],tblReg[Bib],tblReg[Field],""))</f>
      </c>
      <c r="C178">
        <f>IF([@Bib]="","",XLOOKUP([@Bib],tblReg[Bib],tblReg[FirstName],""))</f>
      </c>
      <c r="D178">
        <f>IF([@Bib]="","",XLOOKUP([@Bib],tblReg[Bib],tblReg[LastName],""))</f>
      </c>
      <c r="E178">
        <f>IF([@Bib]="","",XLOOKUP([@Bib],tblReg[Bib],tblReg[Team],""))</f>
      </c>
      <c r="F178" s="3" t="s">
        <v>22</v>
      </c>
      <c r="G178">
        <f>IF([@StageTime]="","",HOUR([@StageTime])*3600 + MINUTE([@StageTime])*60 + SECOND([@StageTime]))</f>
      </c>
      <c r="H178">
        <f>IF([@StageSeconds]="","",RANK([@StageSeconds],tblStage3[StageSeconds],1))</f>
      </c>
      <c r="I178">
        <f>IF([@Position]="",0,XLOOKUP([@Position],Config!tblBonus[Place],Config!tblBonus[Stage3BonusSec],0))</f>
      </c>
      <c r="J178">
        <f>IF([@StageSeconds]="","",[@StageSeconds]-[@BonusSeconds])</f>
      </c>
      <c r="K178" s="3">
        <f>IF([@NetSeconds]="","",[@NetSeconds]/86400)</f>
      </c>
    </row>
    <row r="179" spans="1:11" x14ac:dyDescent="0.25">
      <c r="A179" t="s">
        <v>22</v>
      </c>
      <c r="B179">
        <f>IF([@Bib]="","",XLOOKUP([@Bib],tblReg[Bib],tblReg[Field],""))</f>
      </c>
      <c r="C179">
        <f>IF([@Bib]="","",XLOOKUP([@Bib],tblReg[Bib],tblReg[FirstName],""))</f>
      </c>
      <c r="D179">
        <f>IF([@Bib]="","",XLOOKUP([@Bib],tblReg[Bib],tblReg[LastName],""))</f>
      </c>
      <c r="E179">
        <f>IF([@Bib]="","",XLOOKUP([@Bib],tblReg[Bib],tblReg[Team],""))</f>
      </c>
      <c r="F179" s="3" t="s">
        <v>22</v>
      </c>
      <c r="G179">
        <f>IF([@StageTime]="","",HOUR([@StageTime])*3600 + MINUTE([@StageTime])*60 + SECOND([@StageTime]))</f>
      </c>
      <c r="H179">
        <f>IF([@StageSeconds]="","",RANK([@StageSeconds],tblStage3[StageSeconds],1))</f>
      </c>
      <c r="I179">
        <f>IF([@Position]="",0,XLOOKUP([@Position],Config!tblBonus[Place],Config!tblBonus[Stage3BonusSec],0))</f>
      </c>
      <c r="J179">
        <f>IF([@StageSeconds]="","",[@StageSeconds]-[@BonusSeconds])</f>
      </c>
      <c r="K179" s="3">
        <f>IF([@NetSeconds]="","",[@NetSeconds]/86400)</f>
      </c>
    </row>
    <row r="180" spans="1:11" x14ac:dyDescent="0.25">
      <c r="A180" t="s">
        <v>22</v>
      </c>
      <c r="B180">
        <f>IF([@Bib]="","",XLOOKUP([@Bib],tblReg[Bib],tblReg[Field],""))</f>
      </c>
      <c r="C180">
        <f>IF([@Bib]="","",XLOOKUP([@Bib],tblReg[Bib],tblReg[FirstName],""))</f>
      </c>
      <c r="D180">
        <f>IF([@Bib]="","",XLOOKUP([@Bib],tblReg[Bib],tblReg[LastName],""))</f>
      </c>
      <c r="E180">
        <f>IF([@Bib]="","",XLOOKUP([@Bib],tblReg[Bib],tblReg[Team],""))</f>
      </c>
      <c r="F180" s="3" t="s">
        <v>22</v>
      </c>
      <c r="G180">
        <f>IF([@StageTime]="","",HOUR([@StageTime])*3600 + MINUTE([@StageTime])*60 + SECOND([@StageTime]))</f>
      </c>
      <c r="H180">
        <f>IF([@StageSeconds]="","",RANK([@StageSeconds],tblStage3[StageSeconds],1))</f>
      </c>
      <c r="I180">
        <f>IF([@Position]="",0,XLOOKUP([@Position],Config!tblBonus[Place],Config!tblBonus[Stage3BonusSec],0))</f>
      </c>
      <c r="J180">
        <f>IF([@StageSeconds]="","",[@StageSeconds]-[@BonusSeconds])</f>
      </c>
      <c r="K180" s="3">
        <f>IF([@NetSeconds]="","",[@NetSeconds]/86400)</f>
      </c>
    </row>
    <row r="181" spans="1:11" x14ac:dyDescent="0.25">
      <c r="A181" t="s">
        <v>22</v>
      </c>
      <c r="B181">
        <f>IF([@Bib]="","",XLOOKUP([@Bib],tblReg[Bib],tblReg[Field],""))</f>
      </c>
      <c r="C181">
        <f>IF([@Bib]="","",XLOOKUP([@Bib],tblReg[Bib],tblReg[FirstName],""))</f>
      </c>
      <c r="D181">
        <f>IF([@Bib]="","",XLOOKUP([@Bib],tblReg[Bib],tblReg[LastName],""))</f>
      </c>
      <c r="E181">
        <f>IF([@Bib]="","",XLOOKUP([@Bib],tblReg[Bib],tblReg[Team],""))</f>
      </c>
      <c r="F181" s="3" t="s">
        <v>22</v>
      </c>
      <c r="G181">
        <f>IF([@StageTime]="","",HOUR([@StageTime])*3600 + MINUTE([@StageTime])*60 + SECOND([@StageTime]))</f>
      </c>
      <c r="H181">
        <f>IF([@StageSeconds]="","",RANK([@StageSeconds],tblStage3[StageSeconds],1))</f>
      </c>
      <c r="I181">
        <f>IF([@Position]="",0,XLOOKUP([@Position],Config!tblBonus[Place],Config!tblBonus[Stage3BonusSec],0))</f>
      </c>
      <c r="J181">
        <f>IF([@StageSeconds]="","",[@StageSeconds]-[@BonusSeconds])</f>
      </c>
      <c r="K181" s="3">
        <f>IF([@NetSeconds]="","",[@NetSeconds]/86400)</f>
      </c>
    </row>
    <row r="182" spans="1:11" x14ac:dyDescent="0.25">
      <c r="A182" t="s">
        <v>22</v>
      </c>
      <c r="B182">
        <f>IF([@Bib]="","",XLOOKUP([@Bib],tblReg[Bib],tblReg[Field],""))</f>
      </c>
      <c r="C182">
        <f>IF([@Bib]="","",XLOOKUP([@Bib],tblReg[Bib],tblReg[FirstName],""))</f>
      </c>
      <c r="D182">
        <f>IF([@Bib]="","",XLOOKUP([@Bib],tblReg[Bib],tblReg[LastName],""))</f>
      </c>
      <c r="E182">
        <f>IF([@Bib]="","",XLOOKUP([@Bib],tblReg[Bib],tblReg[Team],""))</f>
      </c>
      <c r="F182" s="3" t="s">
        <v>22</v>
      </c>
      <c r="G182">
        <f>IF([@StageTime]="","",HOUR([@StageTime])*3600 + MINUTE([@StageTime])*60 + SECOND([@StageTime]))</f>
      </c>
      <c r="H182">
        <f>IF([@StageSeconds]="","",RANK([@StageSeconds],tblStage3[StageSeconds],1))</f>
      </c>
      <c r="I182">
        <f>IF([@Position]="",0,XLOOKUP([@Position],Config!tblBonus[Place],Config!tblBonus[Stage3BonusSec],0))</f>
      </c>
      <c r="J182">
        <f>IF([@StageSeconds]="","",[@StageSeconds]-[@BonusSeconds])</f>
      </c>
      <c r="K182" s="3">
        <f>IF([@NetSeconds]="","",[@NetSeconds]/86400)</f>
      </c>
    </row>
    <row r="183" spans="1:11" x14ac:dyDescent="0.25">
      <c r="A183" t="s">
        <v>22</v>
      </c>
      <c r="B183">
        <f>IF([@Bib]="","",XLOOKUP([@Bib],tblReg[Bib],tblReg[Field],""))</f>
      </c>
      <c r="C183">
        <f>IF([@Bib]="","",XLOOKUP([@Bib],tblReg[Bib],tblReg[FirstName],""))</f>
      </c>
      <c r="D183">
        <f>IF([@Bib]="","",XLOOKUP([@Bib],tblReg[Bib],tblReg[LastName],""))</f>
      </c>
      <c r="E183">
        <f>IF([@Bib]="","",XLOOKUP([@Bib],tblReg[Bib],tblReg[Team],""))</f>
      </c>
      <c r="F183" s="3" t="s">
        <v>22</v>
      </c>
      <c r="G183">
        <f>IF([@StageTime]="","",HOUR([@StageTime])*3600 + MINUTE([@StageTime])*60 + SECOND([@StageTime]))</f>
      </c>
      <c r="H183">
        <f>IF([@StageSeconds]="","",RANK([@StageSeconds],tblStage3[StageSeconds],1))</f>
      </c>
      <c r="I183">
        <f>IF([@Position]="",0,XLOOKUP([@Position],Config!tblBonus[Place],Config!tblBonus[Stage3BonusSec],0))</f>
      </c>
      <c r="J183">
        <f>IF([@StageSeconds]="","",[@StageSeconds]-[@BonusSeconds])</f>
      </c>
      <c r="K183" s="3">
        <f>IF([@NetSeconds]="","",[@NetSeconds]/86400)</f>
      </c>
    </row>
    <row r="184" spans="1:11" x14ac:dyDescent="0.25">
      <c r="A184" t="s">
        <v>22</v>
      </c>
      <c r="B184">
        <f>IF([@Bib]="","",XLOOKUP([@Bib],tblReg[Bib],tblReg[Field],""))</f>
      </c>
      <c r="C184">
        <f>IF([@Bib]="","",XLOOKUP([@Bib],tblReg[Bib],tblReg[FirstName],""))</f>
      </c>
      <c r="D184">
        <f>IF([@Bib]="","",XLOOKUP([@Bib],tblReg[Bib],tblReg[LastName],""))</f>
      </c>
      <c r="E184">
        <f>IF([@Bib]="","",XLOOKUP([@Bib],tblReg[Bib],tblReg[Team],""))</f>
      </c>
      <c r="F184" s="3" t="s">
        <v>22</v>
      </c>
      <c r="G184">
        <f>IF([@StageTime]="","",HOUR([@StageTime])*3600 + MINUTE([@StageTime])*60 + SECOND([@StageTime]))</f>
      </c>
      <c r="H184">
        <f>IF([@StageSeconds]="","",RANK([@StageSeconds],tblStage3[StageSeconds],1))</f>
      </c>
      <c r="I184">
        <f>IF([@Position]="",0,XLOOKUP([@Position],Config!tblBonus[Place],Config!tblBonus[Stage3BonusSec],0))</f>
      </c>
      <c r="J184">
        <f>IF([@StageSeconds]="","",[@StageSeconds]-[@BonusSeconds])</f>
      </c>
      <c r="K184" s="3">
        <f>IF([@NetSeconds]="","",[@NetSeconds]/86400)</f>
      </c>
    </row>
    <row r="185" spans="1:11" x14ac:dyDescent="0.25">
      <c r="A185" t="s">
        <v>22</v>
      </c>
      <c r="B185">
        <f>IF([@Bib]="","",XLOOKUP([@Bib],tblReg[Bib],tblReg[Field],""))</f>
      </c>
      <c r="C185">
        <f>IF([@Bib]="","",XLOOKUP([@Bib],tblReg[Bib],tblReg[FirstName],""))</f>
      </c>
      <c r="D185">
        <f>IF([@Bib]="","",XLOOKUP([@Bib],tblReg[Bib],tblReg[LastName],""))</f>
      </c>
      <c r="E185">
        <f>IF([@Bib]="","",XLOOKUP([@Bib],tblReg[Bib],tblReg[Team],""))</f>
      </c>
      <c r="F185" s="3" t="s">
        <v>22</v>
      </c>
      <c r="G185">
        <f>IF([@StageTime]="","",HOUR([@StageTime])*3600 + MINUTE([@StageTime])*60 + SECOND([@StageTime]))</f>
      </c>
      <c r="H185">
        <f>IF([@StageSeconds]="","",RANK([@StageSeconds],tblStage3[StageSeconds],1))</f>
      </c>
      <c r="I185">
        <f>IF([@Position]="",0,XLOOKUP([@Position],Config!tblBonus[Place],Config!tblBonus[Stage3BonusSec],0))</f>
      </c>
      <c r="J185">
        <f>IF([@StageSeconds]="","",[@StageSeconds]-[@BonusSeconds])</f>
      </c>
      <c r="K185" s="3">
        <f>IF([@NetSeconds]="","",[@NetSeconds]/86400)</f>
      </c>
    </row>
    <row r="186" spans="1:11" x14ac:dyDescent="0.25">
      <c r="A186" t="s">
        <v>22</v>
      </c>
      <c r="B186">
        <f>IF([@Bib]="","",XLOOKUP([@Bib],tblReg[Bib],tblReg[Field],""))</f>
      </c>
      <c r="C186">
        <f>IF([@Bib]="","",XLOOKUP([@Bib],tblReg[Bib],tblReg[FirstName],""))</f>
      </c>
      <c r="D186">
        <f>IF([@Bib]="","",XLOOKUP([@Bib],tblReg[Bib],tblReg[LastName],""))</f>
      </c>
      <c r="E186">
        <f>IF([@Bib]="","",XLOOKUP([@Bib],tblReg[Bib],tblReg[Team],""))</f>
      </c>
      <c r="F186" s="3" t="s">
        <v>22</v>
      </c>
      <c r="G186">
        <f>IF([@StageTime]="","",HOUR([@StageTime])*3600 + MINUTE([@StageTime])*60 + SECOND([@StageTime]))</f>
      </c>
      <c r="H186">
        <f>IF([@StageSeconds]="","",RANK([@StageSeconds],tblStage3[StageSeconds],1))</f>
      </c>
      <c r="I186">
        <f>IF([@Position]="",0,XLOOKUP([@Position],Config!tblBonus[Place],Config!tblBonus[Stage3BonusSec],0))</f>
      </c>
      <c r="J186">
        <f>IF([@StageSeconds]="","",[@StageSeconds]-[@BonusSeconds])</f>
      </c>
      <c r="K186" s="3">
        <f>IF([@NetSeconds]="","",[@NetSeconds]/86400)</f>
      </c>
    </row>
    <row r="187" spans="1:11" x14ac:dyDescent="0.25">
      <c r="A187" t="s">
        <v>22</v>
      </c>
      <c r="B187">
        <f>IF([@Bib]="","",XLOOKUP([@Bib],tblReg[Bib],tblReg[Field],""))</f>
      </c>
      <c r="C187">
        <f>IF([@Bib]="","",XLOOKUP([@Bib],tblReg[Bib],tblReg[FirstName],""))</f>
      </c>
      <c r="D187">
        <f>IF([@Bib]="","",XLOOKUP([@Bib],tblReg[Bib],tblReg[LastName],""))</f>
      </c>
      <c r="E187">
        <f>IF([@Bib]="","",XLOOKUP([@Bib],tblReg[Bib],tblReg[Team],""))</f>
      </c>
      <c r="F187" s="3" t="s">
        <v>22</v>
      </c>
      <c r="G187">
        <f>IF([@StageTime]="","",HOUR([@StageTime])*3600 + MINUTE([@StageTime])*60 + SECOND([@StageTime]))</f>
      </c>
      <c r="H187">
        <f>IF([@StageSeconds]="","",RANK([@StageSeconds],tblStage3[StageSeconds],1))</f>
      </c>
      <c r="I187">
        <f>IF([@Position]="",0,XLOOKUP([@Position],Config!tblBonus[Place],Config!tblBonus[Stage3BonusSec],0))</f>
      </c>
      <c r="J187">
        <f>IF([@StageSeconds]="","",[@StageSeconds]-[@BonusSeconds])</f>
      </c>
      <c r="K187" s="3">
        <f>IF([@NetSeconds]="","",[@NetSeconds]/86400)</f>
      </c>
    </row>
    <row r="188" spans="1:11" x14ac:dyDescent="0.25">
      <c r="A188" t="s">
        <v>22</v>
      </c>
      <c r="B188">
        <f>IF([@Bib]="","",XLOOKUP([@Bib],tblReg[Bib],tblReg[Field],""))</f>
      </c>
      <c r="C188">
        <f>IF([@Bib]="","",XLOOKUP([@Bib],tblReg[Bib],tblReg[FirstName],""))</f>
      </c>
      <c r="D188">
        <f>IF([@Bib]="","",XLOOKUP([@Bib],tblReg[Bib],tblReg[LastName],""))</f>
      </c>
      <c r="E188">
        <f>IF([@Bib]="","",XLOOKUP([@Bib],tblReg[Bib],tblReg[Team],""))</f>
      </c>
      <c r="F188" s="3" t="s">
        <v>22</v>
      </c>
      <c r="G188">
        <f>IF([@StageTime]="","",HOUR([@StageTime])*3600 + MINUTE([@StageTime])*60 + SECOND([@StageTime]))</f>
      </c>
      <c r="H188">
        <f>IF([@StageSeconds]="","",RANK([@StageSeconds],tblStage3[StageSeconds],1))</f>
      </c>
      <c r="I188">
        <f>IF([@Position]="",0,XLOOKUP([@Position],Config!tblBonus[Place],Config!tblBonus[Stage3BonusSec],0))</f>
      </c>
      <c r="J188">
        <f>IF([@StageSeconds]="","",[@StageSeconds]-[@BonusSeconds])</f>
      </c>
      <c r="K188" s="3">
        <f>IF([@NetSeconds]="","",[@NetSeconds]/86400)</f>
      </c>
    </row>
    <row r="189" spans="1:11" x14ac:dyDescent="0.25">
      <c r="A189" t="s">
        <v>22</v>
      </c>
      <c r="B189">
        <f>IF([@Bib]="","",XLOOKUP([@Bib],tblReg[Bib],tblReg[Field],""))</f>
      </c>
      <c r="C189">
        <f>IF([@Bib]="","",XLOOKUP([@Bib],tblReg[Bib],tblReg[FirstName],""))</f>
      </c>
      <c r="D189">
        <f>IF([@Bib]="","",XLOOKUP([@Bib],tblReg[Bib],tblReg[LastName],""))</f>
      </c>
      <c r="E189">
        <f>IF([@Bib]="","",XLOOKUP([@Bib],tblReg[Bib],tblReg[Team],""))</f>
      </c>
      <c r="F189" s="3" t="s">
        <v>22</v>
      </c>
      <c r="G189">
        <f>IF([@StageTime]="","",HOUR([@StageTime])*3600 + MINUTE([@StageTime])*60 + SECOND([@StageTime]))</f>
      </c>
      <c r="H189">
        <f>IF([@StageSeconds]="","",RANK([@StageSeconds],tblStage3[StageSeconds],1))</f>
      </c>
      <c r="I189">
        <f>IF([@Position]="",0,XLOOKUP([@Position],Config!tblBonus[Place],Config!tblBonus[Stage3BonusSec],0))</f>
      </c>
      <c r="J189">
        <f>IF([@StageSeconds]="","",[@StageSeconds]-[@BonusSeconds])</f>
      </c>
      <c r="K189" s="3">
        <f>IF([@NetSeconds]="","",[@NetSeconds]/86400)</f>
      </c>
    </row>
    <row r="190" spans="1:11" x14ac:dyDescent="0.25">
      <c r="A190" t="s">
        <v>22</v>
      </c>
      <c r="B190">
        <f>IF([@Bib]="","",XLOOKUP([@Bib],tblReg[Bib],tblReg[Field],""))</f>
      </c>
      <c r="C190">
        <f>IF([@Bib]="","",XLOOKUP([@Bib],tblReg[Bib],tblReg[FirstName],""))</f>
      </c>
      <c r="D190">
        <f>IF([@Bib]="","",XLOOKUP([@Bib],tblReg[Bib],tblReg[LastName],""))</f>
      </c>
      <c r="E190">
        <f>IF([@Bib]="","",XLOOKUP([@Bib],tblReg[Bib],tblReg[Team],""))</f>
      </c>
      <c r="F190" s="3" t="s">
        <v>22</v>
      </c>
      <c r="G190">
        <f>IF([@StageTime]="","",HOUR([@StageTime])*3600 + MINUTE([@StageTime])*60 + SECOND([@StageTime]))</f>
      </c>
      <c r="H190">
        <f>IF([@StageSeconds]="","",RANK([@StageSeconds],tblStage3[StageSeconds],1))</f>
      </c>
      <c r="I190">
        <f>IF([@Position]="",0,XLOOKUP([@Position],Config!tblBonus[Place],Config!tblBonus[Stage3BonusSec],0))</f>
      </c>
      <c r="J190">
        <f>IF([@StageSeconds]="","",[@StageSeconds]-[@BonusSeconds])</f>
      </c>
      <c r="K190" s="3">
        <f>IF([@NetSeconds]="","",[@NetSeconds]/86400)</f>
      </c>
    </row>
    <row r="191" spans="1:11" x14ac:dyDescent="0.25">
      <c r="A191" t="s">
        <v>22</v>
      </c>
      <c r="B191">
        <f>IF([@Bib]="","",XLOOKUP([@Bib],tblReg[Bib],tblReg[Field],""))</f>
      </c>
      <c r="C191">
        <f>IF([@Bib]="","",XLOOKUP([@Bib],tblReg[Bib],tblReg[FirstName],""))</f>
      </c>
      <c r="D191">
        <f>IF([@Bib]="","",XLOOKUP([@Bib],tblReg[Bib],tblReg[LastName],""))</f>
      </c>
      <c r="E191">
        <f>IF([@Bib]="","",XLOOKUP([@Bib],tblReg[Bib],tblReg[Team],""))</f>
      </c>
      <c r="F191" s="3" t="s">
        <v>22</v>
      </c>
      <c r="G191">
        <f>IF([@StageTime]="","",HOUR([@StageTime])*3600 + MINUTE([@StageTime])*60 + SECOND([@StageTime]))</f>
      </c>
      <c r="H191">
        <f>IF([@StageSeconds]="","",RANK([@StageSeconds],tblStage3[StageSeconds],1))</f>
      </c>
      <c r="I191">
        <f>IF([@Position]="",0,XLOOKUP([@Position],Config!tblBonus[Place],Config!tblBonus[Stage3BonusSec],0))</f>
      </c>
      <c r="J191">
        <f>IF([@StageSeconds]="","",[@StageSeconds]-[@BonusSeconds])</f>
      </c>
      <c r="K191" s="3">
        <f>IF([@NetSeconds]="","",[@NetSeconds]/86400)</f>
      </c>
    </row>
    <row r="192" spans="1:11" x14ac:dyDescent="0.25">
      <c r="A192" t="s">
        <v>22</v>
      </c>
      <c r="B192">
        <f>IF([@Bib]="","",XLOOKUP([@Bib],tblReg[Bib],tblReg[Field],""))</f>
      </c>
      <c r="C192">
        <f>IF([@Bib]="","",XLOOKUP([@Bib],tblReg[Bib],tblReg[FirstName],""))</f>
      </c>
      <c r="D192">
        <f>IF([@Bib]="","",XLOOKUP([@Bib],tblReg[Bib],tblReg[LastName],""))</f>
      </c>
      <c r="E192">
        <f>IF([@Bib]="","",XLOOKUP([@Bib],tblReg[Bib],tblReg[Team],""))</f>
      </c>
      <c r="F192" s="3" t="s">
        <v>22</v>
      </c>
      <c r="G192">
        <f>IF([@StageTime]="","",HOUR([@StageTime])*3600 + MINUTE([@StageTime])*60 + SECOND([@StageTime]))</f>
      </c>
      <c r="H192">
        <f>IF([@StageSeconds]="","",RANK([@StageSeconds],tblStage3[StageSeconds],1))</f>
      </c>
      <c r="I192">
        <f>IF([@Position]="",0,XLOOKUP([@Position],Config!tblBonus[Place],Config!tblBonus[Stage3BonusSec],0))</f>
      </c>
      <c r="J192">
        <f>IF([@StageSeconds]="","",[@StageSeconds]-[@BonusSeconds])</f>
      </c>
      <c r="K192" s="3">
        <f>IF([@NetSeconds]="","",[@NetSeconds]/86400)</f>
      </c>
    </row>
    <row r="193" spans="1:11" x14ac:dyDescent="0.25">
      <c r="A193" t="s">
        <v>22</v>
      </c>
      <c r="B193">
        <f>IF([@Bib]="","",XLOOKUP([@Bib],tblReg[Bib],tblReg[Field],""))</f>
      </c>
      <c r="C193">
        <f>IF([@Bib]="","",XLOOKUP([@Bib],tblReg[Bib],tblReg[FirstName],""))</f>
      </c>
      <c r="D193">
        <f>IF([@Bib]="","",XLOOKUP([@Bib],tblReg[Bib],tblReg[LastName],""))</f>
      </c>
      <c r="E193">
        <f>IF([@Bib]="","",XLOOKUP([@Bib],tblReg[Bib],tblReg[Team],""))</f>
      </c>
      <c r="F193" s="3" t="s">
        <v>22</v>
      </c>
      <c r="G193">
        <f>IF([@StageTime]="","",HOUR([@StageTime])*3600 + MINUTE([@StageTime])*60 + SECOND([@StageTime]))</f>
      </c>
      <c r="H193">
        <f>IF([@StageSeconds]="","",RANK([@StageSeconds],tblStage3[StageSeconds],1))</f>
      </c>
      <c r="I193">
        <f>IF([@Position]="",0,XLOOKUP([@Position],Config!tblBonus[Place],Config!tblBonus[Stage3BonusSec],0))</f>
      </c>
      <c r="J193">
        <f>IF([@StageSeconds]="","",[@StageSeconds]-[@BonusSeconds])</f>
      </c>
      <c r="K193" s="3">
        <f>IF([@NetSeconds]="","",[@NetSeconds]/86400)</f>
      </c>
    </row>
    <row r="194" spans="1:11" x14ac:dyDescent="0.25">
      <c r="A194" t="s">
        <v>22</v>
      </c>
      <c r="B194">
        <f>IF([@Bib]="","",XLOOKUP([@Bib],tblReg[Bib],tblReg[Field],""))</f>
      </c>
      <c r="C194">
        <f>IF([@Bib]="","",XLOOKUP([@Bib],tblReg[Bib],tblReg[FirstName],""))</f>
      </c>
      <c r="D194">
        <f>IF([@Bib]="","",XLOOKUP([@Bib],tblReg[Bib],tblReg[LastName],""))</f>
      </c>
      <c r="E194">
        <f>IF([@Bib]="","",XLOOKUP([@Bib],tblReg[Bib],tblReg[Team],""))</f>
      </c>
      <c r="F194" s="3" t="s">
        <v>22</v>
      </c>
      <c r="G194">
        <f>IF([@StageTime]="","",HOUR([@StageTime])*3600 + MINUTE([@StageTime])*60 + SECOND([@StageTime]))</f>
      </c>
      <c r="H194">
        <f>IF([@StageSeconds]="","",RANK([@StageSeconds],tblStage3[StageSeconds],1))</f>
      </c>
      <c r="I194">
        <f>IF([@Position]="",0,XLOOKUP([@Position],Config!tblBonus[Place],Config!tblBonus[Stage3BonusSec],0))</f>
      </c>
      <c r="J194">
        <f>IF([@StageSeconds]="","",[@StageSeconds]-[@BonusSeconds])</f>
      </c>
      <c r="K194" s="3">
        <f>IF([@NetSeconds]="","",[@NetSeconds]/86400)</f>
      </c>
    </row>
    <row r="195" spans="1:11" x14ac:dyDescent="0.25">
      <c r="A195" t="s">
        <v>22</v>
      </c>
      <c r="B195">
        <f>IF([@Bib]="","",XLOOKUP([@Bib],tblReg[Bib],tblReg[Field],""))</f>
      </c>
      <c r="C195">
        <f>IF([@Bib]="","",XLOOKUP([@Bib],tblReg[Bib],tblReg[FirstName],""))</f>
      </c>
      <c r="D195">
        <f>IF([@Bib]="","",XLOOKUP([@Bib],tblReg[Bib],tblReg[LastName],""))</f>
      </c>
      <c r="E195">
        <f>IF([@Bib]="","",XLOOKUP([@Bib],tblReg[Bib],tblReg[Team],""))</f>
      </c>
      <c r="F195" s="3" t="s">
        <v>22</v>
      </c>
      <c r="G195">
        <f>IF([@StageTime]="","",HOUR([@StageTime])*3600 + MINUTE([@StageTime])*60 + SECOND([@StageTime]))</f>
      </c>
      <c r="H195">
        <f>IF([@StageSeconds]="","",RANK([@StageSeconds],tblStage3[StageSeconds],1))</f>
      </c>
      <c r="I195">
        <f>IF([@Position]="",0,XLOOKUP([@Position],Config!tblBonus[Place],Config!tblBonus[Stage3BonusSec],0))</f>
      </c>
      <c r="J195">
        <f>IF([@StageSeconds]="","",[@StageSeconds]-[@BonusSeconds])</f>
      </c>
      <c r="K195" s="3">
        <f>IF([@NetSeconds]="","",[@NetSeconds]/86400)</f>
      </c>
    </row>
    <row r="196" spans="1:11" x14ac:dyDescent="0.25">
      <c r="A196" t="s">
        <v>22</v>
      </c>
      <c r="B196">
        <f>IF([@Bib]="","",XLOOKUP([@Bib],tblReg[Bib],tblReg[Field],""))</f>
      </c>
      <c r="C196">
        <f>IF([@Bib]="","",XLOOKUP([@Bib],tblReg[Bib],tblReg[FirstName],""))</f>
      </c>
      <c r="D196">
        <f>IF([@Bib]="","",XLOOKUP([@Bib],tblReg[Bib],tblReg[LastName],""))</f>
      </c>
      <c r="E196">
        <f>IF([@Bib]="","",XLOOKUP([@Bib],tblReg[Bib],tblReg[Team],""))</f>
      </c>
      <c r="F196" s="3" t="s">
        <v>22</v>
      </c>
      <c r="G196">
        <f>IF([@StageTime]="","",HOUR([@StageTime])*3600 + MINUTE([@StageTime])*60 + SECOND([@StageTime]))</f>
      </c>
      <c r="H196">
        <f>IF([@StageSeconds]="","",RANK([@StageSeconds],tblStage3[StageSeconds],1))</f>
      </c>
      <c r="I196">
        <f>IF([@Position]="",0,XLOOKUP([@Position],Config!tblBonus[Place],Config!tblBonus[Stage3BonusSec],0))</f>
      </c>
      <c r="J196">
        <f>IF([@StageSeconds]="","",[@StageSeconds]-[@BonusSeconds])</f>
      </c>
      <c r="K196" s="3">
        <f>IF([@NetSeconds]="","",[@NetSeconds]/86400)</f>
      </c>
    </row>
    <row r="197" spans="1:11" x14ac:dyDescent="0.25">
      <c r="A197" t="s">
        <v>22</v>
      </c>
      <c r="B197">
        <f>IF([@Bib]="","",XLOOKUP([@Bib],tblReg[Bib],tblReg[Field],""))</f>
      </c>
      <c r="C197">
        <f>IF([@Bib]="","",XLOOKUP([@Bib],tblReg[Bib],tblReg[FirstName],""))</f>
      </c>
      <c r="D197">
        <f>IF([@Bib]="","",XLOOKUP([@Bib],tblReg[Bib],tblReg[LastName],""))</f>
      </c>
      <c r="E197">
        <f>IF([@Bib]="","",XLOOKUP([@Bib],tblReg[Bib],tblReg[Team],""))</f>
      </c>
      <c r="F197" s="3" t="s">
        <v>22</v>
      </c>
      <c r="G197">
        <f>IF([@StageTime]="","",HOUR([@StageTime])*3600 + MINUTE([@StageTime])*60 + SECOND([@StageTime]))</f>
      </c>
      <c r="H197">
        <f>IF([@StageSeconds]="","",RANK([@StageSeconds],tblStage3[StageSeconds],1))</f>
      </c>
      <c r="I197">
        <f>IF([@Position]="",0,XLOOKUP([@Position],Config!tblBonus[Place],Config!tblBonus[Stage3BonusSec],0))</f>
      </c>
      <c r="J197">
        <f>IF([@StageSeconds]="","",[@StageSeconds]-[@BonusSeconds])</f>
      </c>
      <c r="K197" s="3">
        <f>IF([@NetSeconds]="","",[@NetSeconds]/86400)</f>
      </c>
    </row>
    <row r="198" spans="1:11" x14ac:dyDescent="0.25">
      <c r="A198" t="s">
        <v>22</v>
      </c>
      <c r="B198">
        <f>IF([@Bib]="","",XLOOKUP([@Bib],tblReg[Bib],tblReg[Field],""))</f>
      </c>
      <c r="C198">
        <f>IF([@Bib]="","",XLOOKUP([@Bib],tblReg[Bib],tblReg[FirstName],""))</f>
      </c>
      <c r="D198">
        <f>IF([@Bib]="","",XLOOKUP([@Bib],tblReg[Bib],tblReg[LastName],""))</f>
      </c>
      <c r="E198">
        <f>IF([@Bib]="","",XLOOKUP([@Bib],tblReg[Bib],tblReg[Team],""))</f>
      </c>
      <c r="F198" s="3" t="s">
        <v>22</v>
      </c>
      <c r="G198">
        <f>IF([@StageTime]="","",HOUR([@StageTime])*3600 + MINUTE([@StageTime])*60 + SECOND([@StageTime]))</f>
      </c>
      <c r="H198">
        <f>IF([@StageSeconds]="","",RANK([@StageSeconds],tblStage3[StageSeconds],1))</f>
      </c>
      <c r="I198">
        <f>IF([@Position]="",0,XLOOKUP([@Position],Config!tblBonus[Place],Config!tblBonus[Stage3BonusSec],0))</f>
      </c>
      <c r="J198">
        <f>IF([@StageSeconds]="","",[@StageSeconds]-[@BonusSeconds])</f>
      </c>
      <c r="K198" s="3">
        <f>IF([@NetSeconds]="","",[@NetSeconds]/86400)</f>
      </c>
    </row>
    <row r="199" spans="1:11" x14ac:dyDescent="0.25">
      <c r="A199" t="s">
        <v>22</v>
      </c>
      <c r="B199">
        <f>IF([@Bib]="","",XLOOKUP([@Bib],tblReg[Bib],tblReg[Field],""))</f>
      </c>
      <c r="C199">
        <f>IF([@Bib]="","",XLOOKUP([@Bib],tblReg[Bib],tblReg[FirstName],""))</f>
      </c>
      <c r="D199">
        <f>IF([@Bib]="","",XLOOKUP([@Bib],tblReg[Bib],tblReg[LastName],""))</f>
      </c>
      <c r="E199">
        <f>IF([@Bib]="","",XLOOKUP([@Bib],tblReg[Bib],tblReg[Team],""))</f>
      </c>
      <c r="F199" s="3" t="s">
        <v>22</v>
      </c>
      <c r="G199">
        <f>IF([@StageTime]="","",HOUR([@StageTime])*3600 + MINUTE([@StageTime])*60 + SECOND([@StageTime]))</f>
      </c>
      <c r="H199">
        <f>IF([@StageSeconds]="","",RANK([@StageSeconds],tblStage3[StageSeconds],1))</f>
      </c>
      <c r="I199">
        <f>IF([@Position]="",0,XLOOKUP([@Position],Config!tblBonus[Place],Config!tblBonus[Stage3BonusSec],0))</f>
      </c>
      <c r="J199">
        <f>IF([@StageSeconds]="","",[@StageSeconds]-[@BonusSeconds])</f>
      </c>
      <c r="K199" s="3">
        <f>IF([@NetSeconds]="","",[@NetSeconds]/86400)</f>
      </c>
    </row>
    <row r="200" spans="1:11" x14ac:dyDescent="0.25">
      <c r="A200" t="s">
        <v>22</v>
      </c>
      <c r="B200">
        <f>IF([@Bib]="","",XLOOKUP([@Bib],tblReg[Bib],tblReg[Field],""))</f>
      </c>
      <c r="C200">
        <f>IF([@Bib]="","",XLOOKUP([@Bib],tblReg[Bib],tblReg[FirstName],""))</f>
      </c>
      <c r="D200">
        <f>IF([@Bib]="","",XLOOKUP([@Bib],tblReg[Bib],tblReg[LastName],""))</f>
      </c>
      <c r="E200">
        <f>IF([@Bib]="","",XLOOKUP([@Bib],tblReg[Bib],tblReg[Team],""))</f>
      </c>
      <c r="F200" s="3" t="s">
        <v>22</v>
      </c>
      <c r="G200">
        <f>IF([@StageTime]="","",HOUR([@StageTime])*3600 + MINUTE([@StageTime])*60 + SECOND([@StageTime]))</f>
      </c>
      <c r="H200">
        <f>IF([@StageSeconds]="","",RANK([@StageSeconds],tblStage3[StageSeconds],1))</f>
      </c>
      <c r="I200">
        <f>IF([@Position]="",0,XLOOKUP([@Position],Config!tblBonus[Place],Config!tblBonus[Stage3BonusSec],0))</f>
      </c>
      <c r="J200">
        <f>IF([@StageSeconds]="","",[@StageSeconds]-[@BonusSeconds])</f>
      </c>
      <c r="K200" s="3">
        <f>IF([@NetSeconds]="","",[@NetSeconds]/86400)</f>
      </c>
    </row>
    <row r="201" spans="1:11" x14ac:dyDescent="0.25">
      <c r="A201" t="s">
        <v>22</v>
      </c>
      <c r="B201">
        <f>IF([@Bib]="","",XLOOKUP([@Bib],tblReg[Bib],tblReg[Field],""))</f>
      </c>
      <c r="C201">
        <f>IF([@Bib]="","",XLOOKUP([@Bib],tblReg[Bib],tblReg[FirstName],""))</f>
      </c>
      <c r="D201">
        <f>IF([@Bib]="","",XLOOKUP([@Bib],tblReg[Bib],tblReg[LastName],""))</f>
      </c>
      <c r="E201">
        <f>IF([@Bib]="","",XLOOKUP([@Bib],tblReg[Bib],tblReg[Team],""))</f>
      </c>
      <c r="F201" s="3" t="s">
        <v>22</v>
      </c>
      <c r="G201">
        <f>IF([@StageTime]="","",HOUR([@StageTime])*3600 + MINUTE([@StageTime])*60 + SECOND([@StageTime]))</f>
      </c>
      <c r="H201">
        <f>IF([@StageSeconds]="","",RANK([@StageSeconds],tblStage3[StageSeconds],1))</f>
      </c>
      <c r="I201">
        <f>IF([@Position]="",0,XLOOKUP([@Position],Config!tblBonus[Place],Config!tblBonus[Stage3BonusSec],0))</f>
      </c>
      <c r="J201">
        <f>IF([@StageSeconds]="","",[@StageSeconds]-[@BonusSeconds])</f>
      </c>
      <c r="K201" s="3">
        <f>IF([@NetSeconds]="","",[@NetSeconds]/86400)</f>
      </c>
    </row>
    <row r="202" spans="1:11" x14ac:dyDescent="0.25">
      <c r="A202" t="s">
        <v>22</v>
      </c>
      <c r="B202">
        <f>IF([@Bib]="","",XLOOKUP([@Bib],tblReg[Bib],tblReg[Field],""))</f>
      </c>
      <c r="C202">
        <f>IF([@Bib]="","",XLOOKUP([@Bib],tblReg[Bib],tblReg[FirstName],""))</f>
      </c>
      <c r="D202">
        <f>IF([@Bib]="","",XLOOKUP([@Bib],tblReg[Bib],tblReg[LastName],""))</f>
      </c>
      <c r="E202">
        <f>IF([@Bib]="","",XLOOKUP([@Bib],tblReg[Bib],tblReg[Team],""))</f>
      </c>
      <c r="F202" s="3" t="s">
        <v>22</v>
      </c>
      <c r="G202">
        <f>IF([@StageTime]="","",HOUR([@StageTime])*3600 + MINUTE([@StageTime])*60 + SECOND([@StageTime]))</f>
      </c>
      <c r="H202">
        <f>IF([@StageSeconds]="","",RANK([@StageSeconds],tblStage3[StageSeconds],1))</f>
      </c>
      <c r="I202">
        <f>IF([@Position]="",0,XLOOKUP([@Position],Config!tblBonus[Place],Config!tblBonus[Stage3BonusSec],0))</f>
      </c>
      <c r="J202">
        <f>IF([@StageSeconds]="","",[@StageSeconds]-[@BonusSeconds])</f>
      </c>
      <c r="K202" s="3">
        <f>IF([@NetSeconds]="","",[@NetSeconds]/86400)</f>
      </c>
    </row>
    <row r="203" spans="1:11" x14ac:dyDescent="0.25">
      <c r="A203" t="s">
        <v>22</v>
      </c>
      <c r="B203">
        <f>IF([@Bib]="","",XLOOKUP([@Bib],tblReg[Bib],tblReg[Field],""))</f>
      </c>
      <c r="C203">
        <f>IF([@Bib]="","",XLOOKUP([@Bib],tblReg[Bib],tblReg[FirstName],""))</f>
      </c>
      <c r="D203">
        <f>IF([@Bib]="","",XLOOKUP([@Bib],tblReg[Bib],tblReg[LastName],""))</f>
      </c>
      <c r="E203">
        <f>IF([@Bib]="","",XLOOKUP([@Bib],tblReg[Bib],tblReg[Team],""))</f>
      </c>
      <c r="F203" s="3" t="s">
        <v>22</v>
      </c>
      <c r="G203">
        <f>IF([@StageTime]="","",HOUR([@StageTime])*3600 + MINUTE([@StageTime])*60 + SECOND([@StageTime]))</f>
      </c>
      <c r="H203">
        <f>IF([@StageSeconds]="","",RANK([@StageSeconds],tblStage3[StageSeconds],1))</f>
      </c>
      <c r="I203">
        <f>IF([@Position]="",0,XLOOKUP([@Position],Config!tblBonus[Place],Config!tblBonus[Stage3BonusSec],0))</f>
      </c>
      <c r="J203">
        <f>IF([@StageSeconds]="","",[@StageSeconds]-[@BonusSeconds])</f>
      </c>
      <c r="K203" s="3">
        <f>IF([@NetSeconds]="","",[@NetSeconds]/86400)</f>
      </c>
    </row>
    <row r="204" spans="1:11" x14ac:dyDescent="0.25">
      <c r="A204" t="s">
        <v>22</v>
      </c>
      <c r="B204">
        <f>IF([@Bib]="","",XLOOKUP([@Bib],tblReg[Bib],tblReg[Field],""))</f>
      </c>
      <c r="C204">
        <f>IF([@Bib]="","",XLOOKUP([@Bib],tblReg[Bib],tblReg[FirstName],""))</f>
      </c>
      <c r="D204">
        <f>IF([@Bib]="","",XLOOKUP([@Bib],tblReg[Bib],tblReg[LastName],""))</f>
      </c>
      <c r="E204">
        <f>IF([@Bib]="","",XLOOKUP([@Bib],tblReg[Bib],tblReg[Team],""))</f>
      </c>
      <c r="F204" s="3" t="s">
        <v>22</v>
      </c>
      <c r="G204">
        <f>IF([@StageTime]="","",HOUR([@StageTime])*3600 + MINUTE([@StageTime])*60 + SECOND([@StageTime]))</f>
      </c>
      <c r="H204">
        <f>IF([@StageSeconds]="","",RANK([@StageSeconds],tblStage3[StageSeconds],1))</f>
      </c>
      <c r="I204">
        <f>IF([@Position]="",0,XLOOKUP([@Position],Config!tblBonus[Place],Config!tblBonus[Stage3BonusSec],0))</f>
      </c>
      <c r="J204">
        <f>IF([@StageSeconds]="","",[@StageSeconds]-[@BonusSeconds])</f>
      </c>
      <c r="K204" s="3">
        <f>IF([@NetSeconds]="","",[@NetSeconds]/86400)</f>
      </c>
    </row>
    <row r="205" spans="1:11" x14ac:dyDescent="0.25">
      <c r="A205" t="s">
        <v>22</v>
      </c>
      <c r="B205">
        <f>IF([@Bib]="","",XLOOKUP([@Bib],tblReg[Bib],tblReg[Field],""))</f>
      </c>
      <c r="C205">
        <f>IF([@Bib]="","",XLOOKUP([@Bib],tblReg[Bib],tblReg[FirstName],""))</f>
      </c>
      <c r="D205">
        <f>IF([@Bib]="","",XLOOKUP([@Bib],tblReg[Bib],tblReg[LastName],""))</f>
      </c>
      <c r="E205">
        <f>IF([@Bib]="","",XLOOKUP([@Bib],tblReg[Bib],tblReg[Team],""))</f>
      </c>
      <c r="F205" s="3" t="s">
        <v>22</v>
      </c>
      <c r="G205">
        <f>IF([@StageTime]="","",HOUR([@StageTime])*3600 + MINUTE([@StageTime])*60 + SECOND([@StageTime]))</f>
      </c>
      <c r="H205">
        <f>IF([@StageSeconds]="","",RANK([@StageSeconds],tblStage3[StageSeconds],1))</f>
      </c>
      <c r="I205">
        <f>IF([@Position]="",0,XLOOKUP([@Position],Config!tblBonus[Place],Config!tblBonus[Stage3BonusSec],0))</f>
      </c>
      <c r="J205">
        <f>IF([@StageSeconds]="","",[@StageSeconds]-[@BonusSeconds])</f>
      </c>
      <c r="K205" s="3">
        <f>IF([@NetSeconds]="","",[@NetSeconds]/86400)</f>
      </c>
    </row>
    <row r="206" spans="1:11" x14ac:dyDescent="0.25">
      <c r="A206" t="s">
        <v>22</v>
      </c>
      <c r="B206">
        <f>IF([@Bib]="","",XLOOKUP([@Bib],tblReg[Bib],tblReg[Field],""))</f>
      </c>
      <c r="C206">
        <f>IF([@Bib]="","",XLOOKUP([@Bib],tblReg[Bib],tblReg[FirstName],""))</f>
      </c>
      <c r="D206">
        <f>IF([@Bib]="","",XLOOKUP([@Bib],tblReg[Bib],tblReg[LastName],""))</f>
      </c>
      <c r="E206">
        <f>IF([@Bib]="","",XLOOKUP([@Bib],tblReg[Bib],tblReg[Team],""))</f>
      </c>
      <c r="F206" s="3" t="s">
        <v>22</v>
      </c>
      <c r="G206">
        <f>IF([@StageTime]="","",HOUR([@StageTime])*3600 + MINUTE([@StageTime])*60 + SECOND([@StageTime]))</f>
      </c>
      <c r="H206">
        <f>IF([@StageSeconds]="","",RANK([@StageSeconds],tblStage3[StageSeconds],1))</f>
      </c>
      <c r="I206">
        <f>IF([@Position]="",0,XLOOKUP([@Position],Config!tblBonus[Place],Config!tblBonus[Stage3BonusSec],0))</f>
      </c>
      <c r="J206">
        <f>IF([@StageSeconds]="","",[@StageSeconds]-[@BonusSeconds])</f>
      </c>
      <c r="K206" s="3">
        <f>IF([@NetSeconds]="","",[@NetSeconds]/86400)</f>
      </c>
    </row>
    <row r="207" spans="1:11" x14ac:dyDescent="0.25">
      <c r="A207" t="s">
        <v>22</v>
      </c>
      <c r="B207">
        <f>IF([@Bib]="","",XLOOKUP([@Bib],tblReg[Bib],tblReg[Field],""))</f>
      </c>
      <c r="C207">
        <f>IF([@Bib]="","",XLOOKUP([@Bib],tblReg[Bib],tblReg[FirstName],""))</f>
      </c>
      <c r="D207">
        <f>IF([@Bib]="","",XLOOKUP([@Bib],tblReg[Bib],tblReg[LastName],""))</f>
      </c>
      <c r="E207">
        <f>IF([@Bib]="","",XLOOKUP([@Bib],tblReg[Bib],tblReg[Team],""))</f>
      </c>
      <c r="F207" s="3" t="s">
        <v>22</v>
      </c>
      <c r="G207">
        <f>IF([@StageTime]="","",HOUR([@StageTime])*3600 + MINUTE([@StageTime])*60 + SECOND([@StageTime]))</f>
      </c>
      <c r="H207">
        <f>IF([@StageSeconds]="","",RANK([@StageSeconds],tblStage3[StageSeconds],1))</f>
      </c>
      <c r="I207">
        <f>IF([@Position]="",0,XLOOKUP([@Position],Config!tblBonus[Place],Config!tblBonus[Stage3BonusSec],0))</f>
      </c>
      <c r="J207">
        <f>IF([@StageSeconds]="","",[@StageSeconds]-[@BonusSeconds])</f>
      </c>
      <c r="K207" s="3">
        <f>IF([@NetSeconds]="","",[@NetSeconds]/86400)</f>
      </c>
    </row>
    <row r="208" spans="1:11" x14ac:dyDescent="0.25">
      <c r="A208" t="s">
        <v>22</v>
      </c>
      <c r="B208">
        <f>IF([@Bib]="","",XLOOKUP([@Bib],tblReg[Bib],tblReg[Field],""))</f>
      </c>
      <c r="C208">
        <f>IF([@Bib]="","",XLOOKUP([@Bib],tblReg[Bib],tblReg[FirstName],""))</f>
      </c>
      <c r="D208">
        <f>IF([@Bib]="","",XLOOKUP([@Bib],tblReg[Bib],tblReg[LastName],""))</f>
      </c>
      <c r="E208">
        <f>IF([@Bib]="","",XLOOKUP([@Bib],tblReg[Bib],tblReg[Team],""))</f>
      </c>
      <c r="F208" s="3" t="s">
        <v>22</v>
      </c>
      <c r="G208">
        <f>IF([@StageTime]="","",HOUR([@StageTime])*3600 + MINUTE([@StageTime])*60 + SECOND([@StageTime]))</f>
      </c>
      <c r="H208">
        <f>IF([@StageSeconds]="","",RANK([@StageSeconds],tblStage3[StageSeconds],1))</f>
      </c>
      <c r="I208">
        <f>IF([@Position]="",0,XLOOKUP([@Position],Config!tblBonus[Place],Config!tblBonus[Stage3BonusSec],0))</f>
      </c>
      <c r="J208">
        <f>IF([@StageSeconds]="","",[@StageSeconds]-[@BonusSeconds])</f>
      </c>
      <c r="K208" s="3">
        <f>IF([@NetSeconds]="","",[@NetSeconds]/86400)</f>
      </c>
    </row>
    <row r="209" spans="1:11" x14ac:dyDescent="0.25">
      <c r="A209" t="s">
        <v>22</v>
      </c>
      <c r="B209">
        <f>IF([@Bib]="","",XLOOKUP([@Bib],tblReg[Bib],tblReg[Field],""))</f>
      </c>
      <c r="C209">
        <f>IF([@Bib]="","",XLOOKUP([@Bib],tblReg[Bib],tblReg[FirstName],""))</f>
      </c>
      <c r="D209">
        <f>IF([@Bib]="","",XLOOKUP([@Bib],tblReg[Bib],tblReg[LastName],""))</f>
      </c>
      <c r="E209">
        <f>IF([@Bib]="","",XLOOKUP([@Bib],tblReg[Bib],tblReg[Team],""))</f>
      </c>
      <c r="F209" s="3" t="s">
        <v>22</v>
      </c>
      <c r="G209">
        <f>IF([@StageTime]="","",HOUR([@StageTime])*3600 + MINUTE([@StageTime])*60 + SECOND([@StageTime]))</f>
      </c>
      <c r="H209">
        <f>IF([@StageSeconds]="","",RANK([@StageSeconds],tblStage3[StageSeconds],1))</f>
      </c>
      <c r="I209">
        <f>IF([@Position]="",0,XLOOKUP([@Position],Config!tblBonus[Place],Config!tblBonus[Stage3BonusSec],0))</f>
      </c>
      <c r="J209">
        <f>IF([@StageSeconds]="","",[@StageSeconds]-[@BonusSeconds])</f>
      </c>
      <c r="K209" s="3">
        <f>IF([@NetSeconds]="","",[@NetSeconds]/86400)</f>
      </c>
    </row>
    <row r="210" spans="1:11" x14ac:dyDescent="0.25">
      <c r="A210" t="s">
        <v>22</v>
      </c>
      <c r="B210">
        <f>IF([@Bib]="","",XLOOKUP([@Bib],tblReg[Bib],tblReg[Field],""))</f>
      </c>
      <c r="C210">
        <f>IF([@Bib]="","",XLOOKUP([@Bib],tblReg[Bib],tblReg[FirstName],""))</f>
      </c>
      <c r="D210">
        <f>IF([@Bib]="","",XLOOKUP([@Bib],tblReg[Bib],tblReg[LastName],""))</f>
      </c>
      <c r="E210">
        <f>IF([@Bib]="","",XLOOKUP([@Bib],tblReg[Bib],tblReg[Team],""))</f>
      </c>
      <c r="F210" s="3" t="s">
        <v>22</v>
      </c>
      <c r="G210">
        <f>IF([@StageTime]="","",HOUR([@StageTime])*3600 + MINUTE([@StageTime])*60 + SECOND([@StageTime]))</f>
      </c>
      <c r="H210">
        <f>IF([@StageSeconds]="","",RANK([@StageSeconds],tblStage3[StageSeconds],1))</f>
      </c>
      <c r="I210">
        <f>IF([@Position]="",0,XLOOKUP([@Position],Config!tblBonus[Place],Config!tblBonus[Stage3BonusSec],0))</f>
      </c>
      <c r="J210">
        <f>IF([@StageSeconds]="","",[@StageSeconds]-[@BonusSeconds])</f>
      </c>
      <c r="K210" s="3">
        <f>IF([@NetSeconds]="","",[@NetSeconds]/86400)</f>
      </c>
    </row>
    <row r="211" spans="1:11" x14ac:dyDescent="0.25">
      <c r="A211" t="s">
        <v>22</v>
      </c>
      <c r="B211">
        <f>IF([@Bib]="","",XLOOKUP([@Bib],tblReg[Bib],tblReg[Field],""))</f>
      </c>
      <c r="C211">
        <f>IF([@Bib]="","",XLOOKUP([@Bib],tblReg[Bib],tblReg[FirstName],""))</f>
      </c>
      <c r="D211">
        <f>IF([@Bib]="","",XLOOKUP([@Bib],tblReg[Bib],tblReg[LastName],""))</f>
      </c>
      <c r="E211">
        <f>IF([@Bib]="","",XLOOKUP([@Bib],tblReg[Bib],tblReg[Team],""))</f>
      </c>
      <c r="F211" s="3" t="s">
        <v>22</v>
      </c>
      <c r="G211">
        <f>IF([@StageTime]="","",HOUR([@StageTime])*3600 + MINUTE([@StageTime])*60 + SECOND([@StageTime]))</f>
      </c>
      <c r="H211">
        <f>IF([@StageSeconds]="","",RANK([@StageSeconds],tblStage3[StageSeconds],1))</f>
      </c>
      <c r="I211">
        <f>IF([@Position]="",0,XLOOKUP([@Position],Config!tblBonus[Place],Config!tblBonus[Stage3BonusSec],0))</f>
      </c>
      <c r="J211">
        <f>IF([@StageSeconds]="","",[@StageSeconds]-[@BonusSeconds])</f>
      </c>
      <c r="K211" s="3">
        <f>IF([@NetSeconds]="","",[@NetSeconds]/86400)</f>
      </c>
    </row>
    <row r="212" spans="1:11" x14ac:dyDescent="0.25">
      <c r="A212" t="s">
        <v>22</v>
      </c>
      <c r="B212">
        <f>IF([@Bib]="","",XLOOKUP([@Bib],tblReg[Bib],tblReg[Field],""))</f>
      </c>
      <c r="C212">
        <f>IF([@Bib]="","",XLOOKUP([@Bib],tblReg[Bib],tblReg[FirstName],""))</f>
      </c>
      <c r="D212">
        <f>IF([@Bib]="","",XLOOKUP([@Bib],tblReg[Bib],tblReg[LastName],""))</f>
      </c>
      <c r="E212">
        <f>IF([@Bib]="","",XLOOKUP([@Bib],tblReg[Bib],tblReg[Team],""))</f>
      </c>
      <c r="F212" s="3" t="s">
        <v>22</v>
      </c>
      <c r="G212">
        <f>IF([@StageTime]="","",HOUR([@StageTime])*3600 + MINUTE([@StageTime])*60 + SECOND([@StageTime]))</f>
      </c>
      <c r="H212">
        <f>IF([@StageSeconds]="","",RANK([@StageSeconds],tblStage3[StageSeconds],1))</f>
      </c>
      <c r="I212">
        <f>IF([@Position]="",0,XLOOKUP([@Position],Config!tblBonus[Place],Config!tblBonus[Stage3BonusSec],0))</f>
      </c>
      <c r="J212">
        <f>IF([@StageSeconds]="","",[@StageSeconds]-[@BonusSeconds])</f>
      </c>
      <c r="K212" s="3">
        <f>IF([@NetSeconds]="","",[@NetSeconds]/86400)</f>
      </c>
    </row>
    <row r="213" spans="1:11" x14ac:dyDescent="0.25">
      <c r="A213" t="s">
        <v>22</v>
      </c>
      <c r="B213">
        <f>IF([@Bib]="","",XLOOKUP([@Bib],tblReg[Bib],tblReg[Field],""))</f>
      </c>
      <c r="C213">
        <f>IF([@Bib]="","",XLOOKUP([@Bib],tblReg[Bib],tblReg[FirstName],""))</f>
      </c>
      <c r="D213">
        <f>IF([@Bib]="","",XLOOKUP([@Bib],tblReg[Bib],tblReg[LastName],""))</f>
      </c>
      <c r="E213">
        <f>IF([@Bib]="","",XLOOKUP([@Bib],tblReg[Bib],tblReg[Team],""))</f>
      </c>
      <c r="F213" s="3" t="s">
        <v>22</v>
      </c>
      <c r="G213">
        <f>IF([@StageTime]="","",HOUR([@StageTime])*3600 + MINUTE([@StageTime])*60 + SECOND([@StageTime]))</f>
      </c>
      <c r="H213">
        <f>IF([@StageSeconds]="","",RANK([@StageSeconds],tblStage3[StageSeconds],1))</f>
      </c>
      <c r="I213">
        <f>IF([@Position]="",0,XLOOKUP([@Position],Config!tblBonus[Place],Config!tblBonus[Stage3BonusSec],0))</f>
      </c>
      <c r="J213">
        <f>IF([@StageSeconds]="","",[@StageSeconds]-[@BonusSeconds])</f>
      </c>
      <c r="K213" s="3">
        <f>IF([@NetSeconds]="","",[@NetSeconds]/86400)</f>
      </c>
    </row>
    <row r="214" spans="1:11" x14ac:dyDescent="0.25">
      <c r="A214" t="s">
        <v>22</v>
      </c>
      <c r="B214">
        <f>IF([@Bib]="","",XLOOKUP([@Bib],tblReg[Bib],tblReg[Field],""))</f>
      </c>
      <c r="C214">
        <f>IF([@Bib]="","",XLOOKUP([@Bib],tblReg[Bib],tblReg[FirstName],""))</f>
      </c>
      <c r="D214">
        <f>IF([@Bib]="","",XLOOKUP([@Bib],tblReg[Bib],tblReg[LastName],""))</f>
      </c>
      <c r="E214">
        <f>IF([@Bib]="","",XLOOKUP([@Bib],tblReg[Bib],tblReg[Team],""))</f>
      </c>
      <c r="F214" s="3" t="s">
        <v>22</v>
      </c>
      <c r="G214">
        <f>IF([@StageTime]="","",HOUR([@StageTime])*3600 + MINUTE([@StageTime])*60 + SECOND([@StageTime]))</f>
      </c>
      <c r="H214">
        <f>IF([@StageSeconds]="","",RANK([@StageSeconds],tblStage3[StageSeconds],1))</f>
      </c>
      <c r="I214">
        <f>IF([@Position]="",0,XLOOKUP([@Position],Config!tblBonus[Place],Config!tblBonus[Stage3BonusSec],0))</f>
      </c>
      <c r="J214">
        <f>IF([@StageSeconds]="","",[@StageSeconds]-[@BonusSeconds])</f>
      </c>
      <c r="K214" s="3">
        <f>IF([@NetSeconds]="","",[@NetSeconds]/86400)</f>
      </c>
    </row>
    <row r="215" spans="1:11" x14ac:dyDescent="0.25">
      <c r="A215" t="s">
        <v>22</v>
      </c>
      <c r="B215">
        <f>IF([@Bib]="","",XLOOKUP([@Bib],tblReg[Bib],tblReg[Field],""))</f>
      </c>
      <c r="C215">
        <f>IF([@Bib]="","",XLOOKUP([@Bib],tblReg[Bib],tblReg[FirstName],""))</f>
      </c>
      <c r="D215">
        <f>IF([@Bib]="","",XLOOKUP([@Bib],tblReg[Bib],tblReg[LastName],""))</f>
      </c>
      <c r="E215">
        <f>IF([@Bib]="","",XLOOKUP([@Bib],tblReg[Bib],tblReg[Team],""))</f>
      </c>
      <c r="F215" s="3" t="s">
        <v>22</v>
      </c>
      <c r="G215">
        <f>IF([@StageTime]="","",HOUR([@StageTime])*3600 + MINUTE([@StageTime])*60 + SECOND([@StageTime]))</f>
      </c>
      <c r="H215">
        <f>IF([@StageSeconds]="","",RANK([@StageSeconds],tblStage3[StageSeconds],1))</f>
      </c>
      <c r="I215">
        <f>IF([@Position]="",0,XLOOKUP([@Position],Config!tblBonus[Place],Config!tblBonus[Stage3BonusSec],0))</f>
      </c>
      <c r="J215">
        <f>IF([@StageSeconds]="","",[@StageSeconds]-[@BonusSeconds])</f>
      </c>
      <c r="K215" s="3">
        <f>IF([@NetSeconds]="","",[@NetSeconds]/86400)</f>
      </c>
    </row>
    <row r="216" spans="1:11" x14ac:dyDescent="0.25">
      <c r="A216" t="s">
        <v>22</v>
      </c>
      <c r="B216">
        <f>IF([@Bib]="","",XLOOKUP([@Bib],tblReg[Bib],tblReg[Field],""))</f>
      </c>
      <c r="C216">
        <f>IF([@Bib]="","",XLOOKUP([@Bib],tblReg[Bib],tblReg[FirstName],""))</f>
      </c>
      <c r="D216">
        <f>IF([@Bib]="","",XLOOKUP([@Bib],tblReg[Bib],tblReg[LastName],""))</f>
      </c>
      <c r="E216">
        <f>IF([@Bib]="","",XLOOKUP([@Bib],tblReg[Bib],tblReg[Team],""))</f>
      </c>
      <c r="F216" s="3" t="s">
        <v>22</v>
      </c>
      <c r="G216">
        <f>IF([@StageTime]="","",HOUR([@StageTime])*3600 + MINUTE([@StageTime])*60 + SECOND([@StageTime]))</f>
      </c>
      <c r="H216">
        <f>IF([@StageSeconds]="","",RANK([@StageSeconds],tblStage3[StageSeconds],1))</f>
      </c>
      <c r="I216">
        <f>IF([@Position]="",0,XLOOKUP([@Position],Config!tblBonus[Place],Config!tblBonus[Stage3BonusSec],0))</f>
      </c>
      <c r="J216">
        <f>IF([@StageSeconds]="","",[@StageSeconds]-[@BonusSeconds])</f>
      </c>
      <c r="K216" s="3">
        <f>IF([@NetSeconds]="","",[@NetSeconds]/86400)</f>
      </c>
    </row>
    <row r="217" spans="1:11" x14ac:dyDescent="0.25">
      <c r="A217" t="s">
        <v>22</v>
      </c>
      <c r="B217">
        <f>IF([@Bib]="","",XLOOKUP([@Bib],tblReg[Bib],tblReg[Field],""))</f>
      </c>
      <c r="C217">
        <f>IF([@Bib]="","",XLOOKUP([@Bib],tblReg[Bib],tblReg[FirstName],""))</f>
      </c>
      <c r="D217">
        <f>IF([@Bib]="","",XLOOKUP([@Bib],tblReg[Bib],tblReg[LastName],""))</f>
      </c>
      <c r="E217">
        <f>IF([@Bib]="","",XLOOKUP([@Bib],tblReg[Bib],tblReg[Team],""))</f>
      </c>
      <c r="F217" s="3" t="s">
        <v>22</v>
      </c>
      <c r="G217">
        <f>IF([@StageTime]="","",HOUR([@StageTime])*3600 + MINUTE([@StageTime])*60 + SECOND([@StageTime]))</f>
      </c>
      <c r="H217">
        <f>IF([@StageSeconds]="","",RANK([@StageSeconds],tblStage3[StageSeconds],1))</f>
      </c>
      <c r="I217">
        <f>IF([@Position]="",0,XLOOKUP([@Position],Config!tblBonus[Place],Config!tblBonus[Stage3BonusSec],0))</f>
      </c>
      <c r="J217">
        <f>IF([@StageSeconds]="","",[@StageSeconds]-[@BonusSeconds])</f>
      </c>
      <c r="K217" s="3">
        <f>IF([@NetSeconds]="","",[@NetSeconds]/86400)</f>
      </c>
    </row>
    <row r="218" spans="1:11" x14ac:dyDescent="0.25">
      <c r="A218" t="s">
        <v>22</v>
      </c>
      <c r="B218">
        <f>IF([@Bib]="","",XLOOKUP([@Bib],tblReg[Bib],tblReg[Field],""))</f>
      </c>
      <c r="C218">
        <f>IF([@Bib]="","",XLOOKUP([@Bib],tblReg[Bib],tblReg[FirstName],""))</f>
      </c>
      <c r="D218">
        <f>IF([@Bib]="","",XLOOKUP([@Bib],tblReg[Bib],tblReg[LastName],""))</f>
      </c>
      <c r="E218">
        <f>IF([@Bib]="","",XLOOKUP([@Bib],tblReg[Bib],tblReg[Team],""))</f>
      </c>
      <c r="F218" s="3" t="s">
        <v>22</v>
      </c>
      <c r="G218">
        <f>IF([@StageTime]="","",HOUR([@StageTime])*3600 + MINUTE([@StageTime])*60 + SECOND([@StageTime]))</f>
      </c>
      <c r="H218">
        <f>IF([@StageSeconds]="","",RANK([@StageSeconds],tblStage3[StageSeconds],1))</f>
      </c>
      <c r="I218">
        <f>IF([@Position]="",0,XLOOKUP([@Position],Config!tblBonus[Place],Config!tblBonus[Stage3BonusSec],0))</f>
      </c>
      <c r="J218">
        <f>IF([@StageSeconds]="","",[@StageSeconds]-[@BonusSeconds])</f>
      </c>
      <c r="K218" s="3">
        <f>IF([@NetSeconds]="","",[@NetSeconds]/86400)</f>
      </c>
    </row>
    <row r="219" spans="1:11" x14ac:dyDescent="0.25">
      <c r="A219" t="s">
        <v>22</v>
      </c>
      <c r="B219">
        <f>IF([@Bib]="","",XLOOKUP([@Bib],tblReg[Bib],tblReg[Field],""))</f>
      </c>
      <c r="C219">
        <f>IF([@Bib]="","",XLOOKUP([@Bib],tblReg[Bib],tblReg[FirstName],""))</f>
      </c>
      <c r="D219">
        <f>IF([@Bib]="","",XLOOKUP([@Bib],tblReg[Bib],tblReg[LastName],""))</f>
      </c>
      <c r="E219">
        <f>IF([@Bib]="","",XLOOKUP([@Bib],tblReg[Bib],tblReg[Team],""))</f>
      </c>
      <c r="F219" s="3" t="s">
        <v>22</v>
      </c>
      <c r="G219">
        <f>IF([@StageTime]="","",HOUR([@StageTime])*3600 + MINUTE([@StageTime])*60 + SECOND([@StageTime]))</f>
      </c>
      <c r="H219">
        <f>IF([@StageSeconds]="","",RANK([@StageSeconds],tblStage3[StageSeconds],1))</f>
      </c>
      <c r="I219">
        <f>IF([@Position]="",0,XLOOKUP([@Position],Config!tblBonus[Place],Config!tblBonus[Stage3BonusSec],0))</f>
      </c>
      <c r="J219">
        <f>IF([@StageSeconds]="","",[@StageSeconds]-[@BonusSeconds])</f>
      </c>
      <c r="K219" s="3">
        <f>IF([@NetSeconds]="","",[@NetSeconds]/86400)</f>
      </c>
    </row>
    <row r="220" spans="1:11" x14ac:dyDescent="0.25">
      <c r="A220" t="s">
        <v>22</v>
      </c>
      <c r="B220">
        <f>IF([@Bib]="","",XLOOKUP([@Bib],tblReg[Bib],tblReg[Field],""))</f>
      </c>
      <c r="C220">
        <f>IF([@Bib]="","",XLOOKUP([@Bib],tblReg[Bib],tblReg[FirstName],""))</f>
      </c>
      <c r="D220">
        <f>IF([@Bib]="","",XLOOKUP([@Bib],tblReg[Bib],tblReg[LastName],""))</f>
      </c>
      <c r="E220">
        <f>IF([@Bib]="","",XLOOKUP([@Bib],tblReg[Bib],tblReg[Team],""))</f>
      </c>
      <c r="F220" s="3" t="s">
        <v>22</v>
      </c>
      <c r="G220">
        <f>IF([@StageTime]="","",HOUR([@StageTime])*3600 + MINUTE([@StageTime])*60 + SECOND([@StageTime]))</f>
      </c>
      <c r="H220">
        <f>IF([@StageSeconds]="","",RANK([@StageSeconds],tblStage3[StageSeconds],1))</f>
      </c>
      <c r="I220">
        <f>IF([@Position]="",0,XLOOKUP([@Position],Config!tblBonus[Place],Config!tblBonus[Stage3BonusSec],0))</f>
      </c>
      <c r="J220">
        <f>IF([@StageSeconds]="","",[@StageSeconds]-[@BonusSeconds])</f>
      </c>
      <c r="K220" s="3">
        <f>IF([@NetSeconds]="","",[@NetSeconds]/86400)</f>
      </c>
    </row>
    <row r="221" spans="1:11" x14ac:dyDescent="0.25">
      <c r="A221" t="s">
        <v>22</v>
      </c>
      <c r="B221">
        <f>IF([@Bib]="","",XLOOKUP([@Bib],tblReg[Bib],tblReg[Field],""))</f>
      </c>
      <c r="C221">
        <f>IF([@Bib]="","",XLOOKUP([@Bib],tblReg[Bib],tblReg[FirstName],""))</f>
      </c>
      <c r="D221">
        <f>IF([@Bib]="","",XLOOKUP([@Bib],tblReg[Bib],tblReg[LastName],""))</f>
      </c>
      <c r="E221">
        <f>IF([@Bib]="","",XLOOKUP([@Bib],tblReg[Bib],tblReg[Team],""))</f>
      </c>
      <c r="F221" s="3" t="s">
        <v>22</v>
      </c>
      <c r="G221">
        <f>IF([@StageTime]="","",HOUR([@StageTime])*3600 + MINUTE([@StageTime])*60 + SECOND([@StageTime]))</f>
      </c>
      <c r="H221">
        <f>IF([@StageSeconds]="","",RANK([@StageSeconds],tblStage3[StageSeconds],1))</f>
      </c>
      <c r="I221">
        <f>IF([@Position]="",0,XLOOKUP([@Position],Config!tblBonus[Place],Config!tblBonus[Stage3BonusSec],0))</f>
      </c>
      <c r="J221">
        <f>IF([@StageSeconds]="","",[@StageSeconds]-[@BonusSeconds])</f>
      </c>
      <c r="K221" s="3">
        <f>IF([@NetSeconds]="","",[@NetSeconds]/86400)</f>
      </c>
    </row>
    <row r="222" spans="1:11" x14ac:dyDescent="0.25">
      <c r="A222" t="s">
        <v>22</v>
      </c>
      <c r="B222">
        <f>IF([@Bib]="","",XLOOKUP([@Bib],tblReg[Bib],tblReg[Field],""))</f>
      </c>
      <c r="C222">
        <f>IF([@Bib]="","",XLOOKUP([@Bib],tblReg[Bib],tblReg[FirstName],""))</f>
      </c>
      <c r="D222">
        <f>IF([@Bib]="","",XLOOKUP([@Bib],tblReg[Bib],tblReg[LastName],""))</f>
      </c>
      <c r="E222">
        <f>IF([@Bib]="","",XLOOKUP([@Bib],tblReg[Bib],tblReg[Team],""))</f>
      </c>
      <c r="F222" s="3" t="s">
        <v>22</v>
      </c>
      <c r="G222">
        <f>IF([@StageTime]="","",HOUR([@StageTime])*3600 + MINUTE([@StageTime])*60 + SECOND([@StageTime]))</f>
      </c>
      <c r="H222">
        <f>IF([@StageSeconds]="","",RANK([@StageSeconds],tblStage3[StageSeconds],1))</f>
      </c>
      <c r="I222">
        <f>IF([@Position]="",0,XLOOKUP([@Position],Config!tblBonus[Place],Config!tblBonus[Stage3BonusSec],0))</f>
      </c>
      <c r="J222">
        <f>IF([@StageSeconds]="","",[@StageSeconds]-[@BonusSeconds])</f>
      </c>
      <c r="K222" s="3">
        <f>IF([@NetSeconds]="","",[@NetSeconds]/86400)</f>
      </c>
    </row>
    <row r="223" spans="1:11" x14ac:dyDescent="0.25">
      <c r="A223" t="s">
        <v>22</v>
      </c>
      <c r="B223">
        <f>IF([@Bib]="","",XLOOKUP([@Bib],tblReg[Bib],tblReg[Field],""))</f>
      </c>
      <c r="C223">
        <f>IF([@Bib]="","",XLOOKUP([@Bib],tblReg[Bib],tblReg[FirstName],""))</f>
      </c>
      <c r="D223">
        <f>IF([@Bib]="","",XLOOKUP([@Bib],tblReg[Bib],tblReg[LastName],""))</f>
      </c>
      <c r="E223">
        <f>IF([@Bib]="","",XLOOKUP([@Bib],tblReg[Bib],tblReg[Team],""))</f>
      </c>
      <c r="F223" s="3" t="s">
        <v>22</v>
      </c>
      <c r="G223">
        <f>IF([@StageTime]="","",HOUR([@StageTime])*3600 + MINUTE([@StageTime])*60 + SECOND([@StageTime]))</f>
      </c>
      <c r="H223">
        <f>IF([@StageSeconds]="","",RANK([@StageSeconds],tblStage3[StageSeconds],1))</f>
      </c>
      <c r="I223">
        <f>IF([@Position]="",0,XLOOKUP([@Position],Config!tblBonus[Place],Config!tblBonus[Stage3BonusSec],0))</f>
      </c>
      <c r="J223">
        <f>IF([@StageSeconds]="","",[@StageSeconds]-[@BonusSeconds])</f>
      </c>
      <c r="K223" s="3">
        <f>IF([@NetSeconds]="","",[@NetSeconds]/86400)</f>
      </c>
    </row>
    <row r="224" spans="1:11" x14ac:dyDescent="0.25">
      <c r="A224" t="s">
        <v>22</v>
      </c>
      <c r="B224">
        <f>IF([@Bib]="","",XLOOKUP([@Bib],tblReg[Bib],tblReg[Field],""))</f>
      </c>
      <c r="C224">
        <f>IF([@Bib]="","",XLOOKUP([@Bib],tblReg[Bib],tblReg[FirstName],""))</f>
      </c>
      <c r="D224">
        <f>IF([@Bib]="","",XLOOKUP([@Bib],tblReg[Bib],tblReg[LastName],""))</f>
      </c>
      <c r="E224">
        <f>IF([@Bib]="","",XLOOKUP([@Bib],tblReg[Bib],tblReg[Team],""))</f>
      </c>
      <c r="F224" s="3" t="s">
        <v>22</v>
      </c>
      <c r="G224">
        <f>IF([@StageTime]="","",HOUR([@StageTime])*3600 + MINUTE([@StageTime])*60 + SECOND([@StageTime]))</f>
      </c>
      <c r="H224">
        <f>IF([@StageSeconds]="","",RANK([@StageSeconds],tblStage3[StageSeconds],1))</f>
      </c>
      <c r="I224">
        <f>IF([@Position]="",0,XLOOKUP([@Position],Config!tblBonus[Place],Config!tblBonus[Stage3BonusSec],0))</f>
      </c>
      <c r="J224">
        <f>IF([@StageSeconds]="","",[@StageSeconds]-[@BonusSeconds])</f>
      </c>
      <c r="K224" s="3">
        <f>IF([@NetSeconds]="","",[@NetSeconds]/86400)</f>
      </c>
    </row>
    <row r="225" spans="1:11" x14ac:dyDescent="0.25">
      <c r="A225" t="s">
        <v>22</v>
      </c>
      <c r="B225">
        <f>IF([@Bib]="","",XLOOKUP([@Bib],tblReg[Bib],tblReg[Field],""))</f>
      </c>
      <c r="C225">
        <f>IF([@Bib]="","",XLOOKUP([@Bib],tblReg[Bib],tblReg[FirstName],""))</f>
      </c>
      <c r="D225">
        <f>IF([@Bib]="","",XLOOKUP([@Bib],tblReg[Bib],tblReg[LastName],""))</f>
      </c>
      <c r="E225">
        <f>IF([@Bib]="","",XLOOKUP([@Bib],tblReg[Bib],tblReg[Team],""))</f>
      </c>
      <c r="F225" s="3" t="s">
        <v>22</v>
      </c>
      <c r="G225">
        <f>IF([@StageTime]="","",HOUR([@StageTime])*3600 + MINUTE([@StageTime])*60 + SECOND([@StageTime]))</f>
      </c>
      <c r="H225">
        <f>IF([@StageSeconds]="","",RANK([@StageSeconds],tblStage3[StageSeconds],1))</f>
      </c>
      <c r="I225">
        <f>IF([@Position]="",0,XLOOKUP([@Position],Config!tblBonus[Place],Config!tblBonus[Stage3BonusSec],0))</f>
      </c>
      <c r="J225">
        <f>IF([@StageSeconds]="","",[@StageSeconds]-[@BonusSeconds])</f>
      </c>
      <c r="K225" s="3">
        <f>IF([@NetSeconds]="","",[@NetSeconds]/86400)</f>
      </c>
    </row>
    <row r="226" spans="1:11" x14ac:dyDescent="0.25">
      <c r="A226" t="s">
        <v>22</v>
      </c>
      <c r="B226">
        <f>IF([@Bib]="","",XLOOKUP([@Bib],tblReg[Bib],tblReg[Field],""))</f>
      </c>
      <c r="C226">
        <f>IF([@Bib]="","",XLOOKUP([@Bib],tblReg[Bib],tblReg[FirstName],""))</f>
      </c>
      <c r="D226">
        <f>IF([@Bib]="","",XLOOKUP([@Bib],tblReg[Bib],tblReg[LastName],""))</f>
      </c>
      <c r="E226">
        <f>IF([@Bib]="","",XLOOKUP([@Bib],tblReg[Bib],tblReg[Team],""))</f>
      </c>
      <c r="F226" s="3" t="s">
        <v>22</v>
      </c>
      <c r="G226">
        <f>IF([@StageTime]="","",HOUR([@StageTime])*3600 + MINUTE([@StageTime])*60 + SECOND([@StageTime]))</f>
      </c>
      <c r="H226">
        <f>IF([@StageSeconds]="","",RANK([@StageSeconds],tblStage3[StageSeconds],1))</f>
      </c>
      <c r="I226">
        <f>IF([@Position]="",0,XLOOKUP([@Position],Config!tblBonus[Place],Config!tblBonus[Stage3BonusSec],0))</f>
      </c>
      <c r="J226">
        <f>IF([@StageSeconds]="","",[@StageSeconds]-[@BonusSeconds])</f>
      </c>
      <c r="K226" s="3">
        <f>IF([@NetSeconds]="","",[@NetSeconds]/86400)</f>
      </c>
    </row>
    <row r="227" spans="1:11" x14ac:dyDescent="0.25">
      <c r="A227" t="s">
        <v>22</v>
      </c>
      <c r="B227">
        <f>IF([@Bib]="","",XLOOKUP([@Bib],tblReg[Bib],tblReg[Field],""))</f>
      </c>
      <c r="C227">
        <f>IF([@Bib]="","",XLOOKUP([@Bib],tblReg[Bib],tblReg[FirstName],""))</f>
      </c>
      <c r="D227">
        <f>IF([@Bib]="","",XLOOKUP([@Bib],tblReg[Bib],tblReg[LastName],""))</f>
      </c>
      <c r="E227">
        <f>IF([@Bib]="","",XLOOKUP([@Bib],tblReg[Bib],tblReg[Team],""))</f>
      </c>
      <c r="F227" s="3" t="s">
        <v>22</v>
      </c>
      <c r="G227">
        <f>IF([@StageTime]="","",HOUR([@StageTime])*3600 + MINUTE([@StageTime])*60 + SECOND([@StageTime]))</f>
      </c>
      <c r="H227">
        <f>IF([@StageSeconds]="","",RANK([@StageSeconds],tblStage3[StageSeconds],1))</f>
      </c>
      <c r="I227">
        <f>IF([@Position]="",0,XLOOKUP([@Position],Config!tblBonus[Place],Config!tblBonus[Stage3BonusSec],0))</f>
      </c>
      <c r="J227">
        <f>IF([@StageSeconds]="","",[@StageSeconds]-[@BonusSeconds])</f>
      </c>
      <c r="K227" s="3">
        <f>IF([@NetSeconds]="","",[@NetSeconds]/86400)</f>
      </c>
    </row>
    <row r="228" spans="1:11" x14ac:dyDescent="0.25">
      <c r="A228" t="s">
        <v>22</v>
      </c>
      <c r="B228">
        <f>IF([@Bib]="","",XLOOKUP([@Bib],tblReg[Bib],tblReg[Field],""))</f>
      </c>
      <c r="C228">
        <f>IF([@Bib]="","",XLOOKUP([@Bib],tblReg[Bib],tblReg[FirstName],""))</f>
      </c>
      <c r="D228">
        <f>IF([@Bib]="","",XLOOKUP([@Bib],tblReg[Bib],tblReg[LastName],""))</f>
      </c>
      <c r="E228">
        <f>IF([@Bib]="","",XLOOKUP([@Bib],tblReg[Bib],tblReg[Team],""))</f>
      </c>
      <c r="F228" s="3" t="s">
        <v>22</v>
      </c>
      <c r="G228">
        <f>IF([@StageTime]="","",HOUR([@StageTime])*3600 + MINUTE([@StageTime])*60 + SECOND([@StageTime]))</f>
      </c>
      <c r="H228">
        <f>IF([@StageSeconds]="","",RANK([@StageSeconds],tblStage3[StageSeconds],1))</f>
      </c>
      <c r="I228">
        <f>IF([@Position]="",0,XLOOKUP([@Position],Config!tblBonus[Place],Config!tblBonus[Stage3BonusSec],0))</f>
      </c>
      <c r="J228">
        <f>IF([@StageSeconds]="","",[@StageSeconds]-[@BonusSeconds])</f>
      </c>
      <c r="K228" s="3">
        <f>IF([@NetSeconds]="","",[@NetSeconds]/86400)</f>
      </c>
    </row>
    <row r="229" spans="1:11" x14ac:dyDescent="0.25">
      <c r="A229" t="s">
        <v>22</v>
      </c>
      <c r="B229">
        <f>IF([@Bib]="","",XLOOKUP([@Bib],tblReg[Bib],tblReg[Field],""))</f>
      </c>
      <c r="C229">
        <f>IF([@Bib]="","",XLOOKUP([@Bib],tblReg[Bib],tblReg[FirstName],""))</f>
      </c>
      <c r="D229">
        <f>IF([@Bib]="","",XLOOKUP([@Bib],tblReg[Bib],tblReg[LastName],""))</f>
      </c>
      <c r="E229">
        <f>IF([@Bib]="","",XLOOKUP([@Bib],tblReg[Bib],tblReg[Team],""))</f>
      </c>
      <c r="F229" s="3" t="s">
        <v>22</v>
      </c>
      <c r="G229">
        <f>IF([@StageTime]="","",HOUR([@StageTime])*3600 + MINUTE([@StageTime])*60 + SECOND([@StageTime]))</f>
      </c>
      <c r="H229">
        <f>IF([@StageSeconds]="","",RANK([@StageSeconds],tblStage3[StageSeconds],1))</f>
      </c>
      <c r="I229">
        <f>IF([@Position]="",0,XLOOKUP([@Position],Config!tblBonus[Place],Config!tblBonus[Stage3BonusSec],0))</f>
      </c>
      <c r="J229">
        <f>IF([@StageSeconds]="","",[@StageSeconds]-[@BonusSeconds])</f>
      </c>
      <c r="K229" s="3">
        <f>IF([@NetSeconds]="","",[@NetSeconds]/86400)</f>
      </c>
    </row>
    <row r="230" spans="1:11" x14ac:dyDescent="0.25">
      <c r="A230" t="s">
        <v>22</v>
      </c>
      <c r="B230">
        <f>IF([@Bib]="","",XLOOKUP([@Bib],tblReg[Bib],tblReg[Field],""))</f>
      </c>
      <c r="C230">
        <f>IF([@Bib]="","",XLOOKUP([@Bib],tblReg[Bib],tblReg[FirstName],""))</f>
      </c>
      <c r="D230">
        <f>IF([@Bib]="","",XLOOKUP([@Bib],tblReg[Bib],tblReg[LastName],""))</f>
      </c>
      <c r="E230">
        <f>IF([@Bib]="","",XLOOKUP([@Bib],tblReg[Bib],tblReg[Team],""))</f>
      </c>
      <c r="F230" s="3" t="s">
        <v>22</v>
      </c>
      <c r="G230">
        <f>IF([@StageTime]="","",HOUR([@StageTime])*3600 + MINUTE([@StageTime])*60 + SECOND([@StageTime]))</f>
      </c>
      <c r="H230">
        <f>IF([@StageSeconds]="","",RANK([@StageSeconds],tblStage3[StageSeconds],1))</f>
      </c>
      <c r="I230">
        <f>IF([@Position]="",0,XLOOKUP([@Position],Config!tblBonus[Place],Config!tblBonus[Stage3BonusSec],0))</f>
      </c>
      <c r="J230">
        <f>IF([@StageSeconds]="","",[@StageSeconds]-[@BonusSeconds])</f>
      </c>
      <c r="K230" s="3">
        <f>IF([@NetSeconds]="","",[@NetSeconds]/86400)</f>
      </c>
    </row>
    <row r="231" spans="1:11" x14ac:dyDescent="0.25">
      <c r="A231" t="s">
        <v>22</v>
      </c>
      <c r="B231">
        <f>IF([@Bib]="","",XLOOKUP([@Bib],tblReg[Bib],tblReg[Field],""))</f>
      </c>
      <c r="C231">
        <f>IF([@Bib]="","",XLOOKUP([@Bib],tblReg[Bib],tblReg[FirstName],""))</f>
      </c>
      <c r="D231">
        <f>IF([@Bib]="","",XLOOKUP([@Bib],tblReg[Bib],tblReg[LastName],""))</f>
      </c>
      <c r="E231">
        <f>IF([@Bib]="","",XLOOKUP([@Bib],tblReg[Bib],tblReg[Team],""))</f>
      </c>
      <c r="F231" s="3" t="s">
        <v>22</v>
      </c>
      <c r="G231">
        <f>IF([@StageTime]="","",HOUR([@StageTime])*3600 + MINUTE([@StageTime])*60 + SECOND([@StageTime]))</f>
      </c>
      <c r="H231">
        <f>IF([@StageSeconds]="","",RANK([@StageSeconds],tblStage3[StageSeconds],1))</f>
      </c>
      <c r="I231">
        <f>IF([@Position]="",0,XLOOKUP([@Position],Config!tblBonus[Place],Config!tblBonus[Stage3BonusSec],0))</f>
      </c>
      <c r="J231">
        <f>IF([@StageSeconds]="","",[@StageSeconds]-[@BonusSeconds])</f>
      </c>
      <c r="K231" s="3">
        <f>IF([@NetSeconds]="","",[@NetSeconds]/86400)</f>
      </c>
    </row>
    <row r="232" spans="1:11" x14ac:dyDescent="0.25">
      <c r="A232" t="s">
        <v>22</v>
      </c>
      <c r="B232">
        <f>IF([@Bib]="","",XLOOKUP([@Bib],tblReg[Bib],tblReg[Field],""))</f>
      </c>
      <c r="C232">
        <f>IF([@Bib]="","",XLOOKUP([@Bib],tblReg[Bib],tblReg[FirstName],""))</f>
      </c>
      <c r="D232">
        <f>IF([@Bib]="","",XLOOKUP([@Bib],tblReg[Bib],tblReg[LastName],""))</f>
      </c>
      <c r="E232">
        <f>IF([@Bib]="","",XLOOKUP([@Bib],tblReg[Bib],tblReg[Team],""))</f>
      </c>
      <c r="F232" s="3" t="s">
        <v>22</v>
      </c>
      <c r="G232">
        <f>IF([@StageTime]="","",HOUR([@StageTime])*3600 + MINUTE([@StageTime])*60 + SECOND([@StageTime]))</f>
      </c>
      <c r="H232">
        <f>IF([@StageSeconds]="","",RANK([@StageSeconds],tblStage3[StageSeconds],1))</f>
      </c>
      <c r="I232">
        <f>IF([@Position]="",0,XLOOKUP([@Position],Config!tblBonus[Place],Config!tblBonus[Stage3BonusSec],0))</f>
      </c>
      <c r="J232">
        <f>IF([@StageSeconds]="","",[@StageSeconds]-[@BonusSeconds])</f>
      </c>
      <c r="K232" s="3">
        <f>IF([@NetSeconds]="","",[@NetSeconds]/86400)</f>
      </c>
    </row>
    <row r="233" spans="1:11" x14ac:dyDescent="0.25">
      <c r="A233" t="s">
        <v>22</v>
      </c>
      <c r="B233">
        <f>IF([@Bib]="","",XLOOKUP([@Bib],tblReg[Bib],tblReg[Field],""))</f>
      </c>
      <c r="C233">
        <f>IF([@Bib]="","",XLOOKUP([@Bib],tblReg[Bib],tblReg[FirstName],""))</f>
      </c>
      <c r="D233">
        <f>IF([@Bib]="","",XLOOKUP([@Bib],tblReg[Bib],tblReg[LastName],""))</f>
      </c>
      <c r="E233">
        <f>IF([@Bib]="","",XLOOKUP([@Bib],tblReg[Bib],tblReg[Team],""))</f>
      </c>
      <c r="F233" s="3" t="s">
        <v>22</v>
      </c>
      <c r="G233">
        <f>IF([@StageTime]="","",HOUR([@StageTime])*3600 + MINUTE([@StageTime])*60 + SECOND([@StageTime]))</f>
      </c>
      <c r="H233">
        <f>IF([@StageSeconds]="","",RANK([@StageSeconds],tblStage3[StageSeconds],1))</f>
      </c>
      <c r="I233">
        <f>IF([@Position]="",0,XLOOKUP([@Position],Config!tblBonus[Place],Config!tblBonus[Stage3BonusSec],0))</f>
      </c>
      <c r="J233">
        <f>IF([@StageSeconds]="","",[@StageSeconds]-[@BonusSeconds])</f>
      </c>
      <c r="K233" s="3">
        <f>IF([@NetSeconds]="","",[@NetSeconds]/86400)</f>
      </c>
    </row>
    <row r="234" spans="1:11" x14ac:dyDescent="0.25">
      <c r="A234" t="s">
        <v>22</v>
      </c>
      <c r="B234">
        <f>IF([@Bib]="","",XLOOKUP([@Bib],tblReg[Bib],tblReg[Field],""))</f>
      </c>
      <c r="C234">
        <f>IF([@Bib]="","",XLOOKUP([@Bib],tblReg[Bib],tblReg[FirstName],""))</f>
      </c>
      <c r="D234">
        <f>IF([@Bib]="","",XLOOKUP([@Bib],tblReg[Bib],tblReg[LastName],""))</f>
      </c>
      <c r="E234">
        <f>IF([@Bib]="","",XLOOKUP([@Bib],tblReg[Bib],tblReg[Team],""))</f>
      </c>
      <c r="F234" s="3" t="s">
        <v>22</v>
      </c>
      <c r="G234">
        <f>IF([@StageTime]="","",HOUR([@StageTime])*3600 + MINUTE([@StageTime])*60 + SECOND([@StageTime]))</f>
      </c>
      <c r="H234">
        <f>IF([@StageSeconds]="","",RANK([@StageSeconds],tblStage3[StageSeconds],1))</f>
      </c>
      <c r="I234">
        <f>IF([@Position]="",0,XLOOKUP([@Position],Config!tblBonus[Place],Config!tblBonus[Stage3BonusSec],0))</f>
      </c>
      <c r="J234">
        <f>IF([@StageSeconds]="","",[@StageSeconds]-[@BonusSeconds])</f>
      </c>
      <c r="K234" s="3">
        <f>IF([@NetSeconds]="","",[@NetSeconds]/86400)</f>
      </c>
    </row>
    <row r="235" spans="1:11" x14ac:dyDescent="0.25">
      <c r="A235" t="s">
        <v>22</v>
      </c>
      <c r="B235">
        <f>IF([@Bib]="","",XLOOKUP([@Bib],tblReg[Bib],tblReg[Field],""))</f>
      </c>
      <c r="C235">
        <f>IF([@Bib]="","",XLOOKUP([@Bib],tblReg[Bib],tblReg[FirstName],""))</f>
      </c>
      <c r="D235">
        <f>IF([@Bib]="","",XLOOKUP([@Bib],tblReg[Bib],tblReg[LastName],""))</f>
      </c>
      <c r="E235">
        <f>IF([@Bib]="","",XLOOKUP([@Bib],tblReg[Bib],tblReg[Team],""))</f>
      </c>
      <c r="F235" s="3" t="s">
        <v>22</v>
      </c>
      <c r="G235">
        <f>IF([@StageTime]="","",HOUR([@StageTime])*3600 + MINUTE([@StageTime])*60 + SECOND([@StageTime]))</f>
      </c>
      <c r="H235">
        <f>IF([@StageSeconds]="","",RANK([@StageSeconds],tblStage3[StageSeconds],1))</f>
      </c>
      <c r="I235">
        <f>IF([@Position]="",0,XLOOKUP([@Position],Config!tblBonus[Place],Config!tblBonus[Stage3BonusSec],0))</f>
      </c>
      <c r="J235">
        <f>IF([@StageSeconds]="","",[@StageSeconds]-[@BonusSeconds])</f>
      </c>
      <c r="K235" s="3">
        <f>IF([@NetSeconds]="","",[@NetSeconds]/86400)</f>
      </c>
    </row>
    <row r="236" spans="1:11" x14ac:dyDescent="0.25">
      <c r="A236" t="s">
        <v>22</v>
      </c>
      <c r="B236">
        <f>IF([@Bib]="","",XLOOKUP([@Bib],tblReg[Bib],tblReg[Field],""))</f>
      </c>
      <c r="C236">
        <f>IF([@Bib]="","",XLOOKUP([@Bib],tblReg[Bib],tblReg[FirstName],""))</f>
      </c>
      <c r="D236">
        <f>IF([@Bib]="","",XLOOKUP([@Bib],tblReg[Bib],tblReg[LastName],""))</f>
      </c>
      <c r="E236">
        <f>IF([@Bib]="","",XLOOKUP([@Bib],tblReg[Bib],tblReg[Team],""))</f>
      </c>
      <c r="F236" s="3" t="s">
        <v>22</v>
      </c>
      <c r="G236">
        <f>IF([@StageTime]="","",HOUR([@StageTime])*3600 + MINUTE([@StageTime])*60 + SECOND([@StageTime]))</f>
      </c>
      <c r="H236">
        <f>IF([@StageSeconds]="","",RANK([@StageSeconds],tblStage3[StageSeconds],1))</f>
      </c>
      <c r="I236">
        <f>IF([@Position]="",0,XLOOKUP([@Position],Config!tblBonus[Place],Config!tblBonus[Stage3BonusSec],0))</f>
      </c>
      <c r="J236">
        <f>IF([@StageSeconds]="","",[@StageSeconds]-[@BonusSeconds])</f>
      </c>
      <c r="K236" s="3">
        <f>IF([@NetSeconds]="","",[@NetSeconds]/86400)</f>
      </c>
    </row>
    <row r="237" spans="1:11" x14ac:dyDescent="0.25">
      <c r="A237" t="s">
        <v>22</v>
      </c>
      <c r="B237">
        <f>IF([@Bib]="","",XLOOKUP([@Bib],tblReg[Bib],tblReg[Field],""))</f>
      </c>
      <c r="C237">
        <f>IF([@Bib]="","",XLOOKUP([@Bib],tblReg[Bib],tblReg[FirstName],""))</f>
      </c>
      <c r="D237">
        <f>IF([@Bib]="","",XLOOKUP([@Bib],tblReg[Bib],tblReg[LastName],""))</f>
      </c>
      <c r="E237">
        <f>IF([@Bib]="","",XLOOKUP([@Bib],tblReg[Bib],tblReg[Team],""))</f>
      </c>
      <c r="F237" s="3" t="s">
        <v>22</v>
      </c>
      <c r="G237">
        <f>IF([@StageTime]="","",HOUR([@StageTime])*3600 + MINUTE([@StageTime])*60 + SECOND([@StageTime]))</f>
      </c>
      <c r="H237">
        <f>IF([@StageSeconds]="","",RANK([@StageSeconds],tblStage3[StageSeconds],1))</f>
      </c>
      <c r="I237">
        <f>IF([@Position]="",0,XLOOKUP([@Position],Config!tblBonus[Place],Config!tblBonus[Stage3BonusSec],0))</f>
      </c>
      <c r="J237">
        <f>IF([@StageSeconds]="","",[@StageSeconds]-[@BonusSeconds])</f>
      </c>
      <c r="K237" s="3">
        <f>IF([@NetSeconds]="","",[@NetSeconds]/86400)</f>
      </c>
    </row>
    <row r="238" spans="1:11" x14ac:dyDescent="0.25">
      <c r="A238" t="s">
        <v>22</v>
      </c>
      <c r="B238">
        <f>IF([@Bib]="","",XLOOKUP([@Bib],tblReg[Bib],tblReg[Field],""))</f>
      </c>
      <c r="C238">
        <f>IF([@Bib]="","",XLOOKUP([@Bib],tblReg[Bib],tblReg[FirstName],""))</f>
      </c>
      <c r="D238">
        <f>IF([@Bib]="","",XLOOKUP([@Bib],tblReg[Bib],tblReg[LastName],""))</f>
      </c>
      <c r="E238">
        <f>IF([@Bib]="","",XLOOKUP([@Bib],tblReg[Bib],tblReg[Team],""))</f>
      </c>
      <c r="F238" s="3" t="s">
        <v>22</v>
      </c>
      <c r="G238">
        <f>IF([@StageTime]="","",HOUR([@StageTime])*3600 + MINUTE([@StageTime])*60 + SECOND([@StageTime]))</f>
      </c>
      <c r="H238">
        <f>IF([@StageSeconds]="","",RANK([@StageSeconds],tblStage3[StageSeconds],1))</f>
      </c>
      <c r="I238">
        <f>IF([@Position]="",0,XLOOKUP([@Position],Config!tblBonus[Place],Config!tblBonus[Stage3BonusSec],0))</f>
      </c>
      <c r="J238">
        <f>IF([@StageSeconds]="","",[@StageSeconds]-[@BonusSeconds])</f>
      </c>
      <c r="K238" s="3">
        <f>IF([@NetSeconds]="","",[@NetSeconds]/86400)</f>
      </c>
    </row>
    <row r="239" spans="1:11" x14ac:dyDescent="0.25">
      <c r="A239" t="s">
        <v>22</v>
      </c>
      <c r="B239">
        <f>IF([@Bib]="","",XLOOKUP([@Bib],tblReg[Bib],tblReg[Field],""))</f>
      </c>
      <c r="C239">
        <f>IF([@Bib]="","",XLOOKUP([@Bib],tblReg[Bib],tblReg[FirstName],""))</f>
      </c>
      <c r="D239">
        <f>IF([@Bib]="","",XLOOKUP([@Bib],tblReg[Bib],tblReg[LastName],""))</f>
      </c>
      <c r="E239">
        <f>IF([@Bib]="","",XLOOKUP([@Bib],tblReg[Bib],tblReg[Team],""))</f>
      </c>
      <c r="F239" s="3" t="s">
        <v>22</v>
      </c>
      <c r="G239">
        <f>IF([@StageTime]="","",HOUR([@StageTime])*3600 + MINUTE([@StageTime])*60 + SECOND([@StageTime]))</f>
      </c>
      <c r="H239">
        <f>IF([@StageSeconds]="","",RANK([@StageSeconds],tblStage3[StageSeconds],1))</f>
      </c>
      <c r="I239">
        <f>IF([@Position]="",0,XLOOKUP([@Position],Config!tblBonus[Place],Config!tblBonus[Stage3BonusSec],0))</f>
      </c>
      <c r="J239">
        <f>IF([@StageSeconds]="","",[@StageSeconds]-[@BonusSeconds])</f>
      </c>
      <c r="K239" s="3">
        <f>IF([@NetSeconds]="","",[@NetSeconds]/86400)</f>
      </c>
    </row>
    <row r="240" spans="1:11" x14ac:dyDescent="0.25">
      <c r="A240" t="s">
        <v>22</v>
      </c>
      <c r="B240">
        <f>IF([@Bib]="","",XLOOKUP([@Bib],tblReg[Bib],tblReg[Field],""))</f>
      </c>
      <c r="C240">
        <f>IF([@Bib]="","",XLOOKUP([@Bib],tblReg[Bib],tblReg[FirstName],""))</f>
      </c>
      <c r="D240">
        <f>IF([@Bib]="","",XLOOKUP([@Bib],tblReg[Bib],tblReg[LastName],""))</f>
      </c>
      <c r="E240">
        <f>IF([@Bib]="","",XLOOKUP([@Bib],tblReg[Bib],tblReg[Team],""))</f>
      </c>
      <c r="F240" s="3" t="s">
        <v>22</v>
      </c>
      <c r="G240">
        <f>IF([@StageTime]="","",HOUR([@StageTime])*3600 + MINUTE([@StageTime])*60 + SECOND([@StageTime]))</f>
      </c>
      <c r="H240">
        <f>IF([@StageSeconds]="","",RANK([@StageSeconds],tblStage3[StageSeconds],1))</f>
      </c>
      <c r="I240">
        <f>IF([@Position]="",0,XLOOKUP([@Position],Config!tblBonus[Place],Config!tblBonus[Stage3BonusSec],0))</f>
      </c>
      <c r="J240">
        <f>IF([@StageSeconds]="","",[@StageSeconds]-[@BonusSeconds])</f>
      </c>
      <c r="K240" s="3">
        <f>IF([@NetSeconds]="","",[@NetSeconds]/86400)</f>
      </c>
    </row>
    <row r="241" spans="1:11" x14ac:dyDescent="0.25">
      <c r="A241" t="s">
        <v>22</v>
      </c>
      <c r="B241">
        <f>IF([@Bib]="","",XLOOKUP([@Bib],tblReg[Bib],tblReg[Field],""))</f>
      </c>
      <c r="C241">
        <f>IF([@Bib]="","",XLOOKUP([@Bib],tblReg[Bib],tblReg[FirstName],""))</f>
      </c>
      <c r="D241">
        <f>IF([@Bib]="","",XLOOKUP([@Bib],tblReg[Bib],tblReg[LastName],""))</f>
      </c>
      <c r="E241">
        <f>IF([@Bib]="","",XLOOKUP([@Bib],tblReg[Bib],tblReg[Team],""))</f>
      </c>
      <c r="F241" s="3" t="s">
        <v>22</v>
      </c>
      <c r="G241">
        <f>IF([@StageTime]="","",HOUR([@StageTime])*3600 + MINUTE([@StageTime])*60 + SECOND([@StageTime]))</f>
      </c>
      <c r="H241">
        <f>IF([@StageSeconds]="","",RANK([@StageSeconds],tblStage3[StageSeconds],1))</f>
      </c>
      <c r="I241">
        <f>IF([@Position]="",0,XLOOKUP([@Position],Config!tblBonus[Place],Config!tblBonus[Stage3BonusSec],0))</f>
      </c>
      <c r="J241">
        <f>IF([@StageSeconds]="","",[@StageSeconds]-[@BonusSeconds])</f>
      </c>
      <c r="K241" s="3">
        <f>IF([@NetSeconds]="","",[@NetSeconds]/86400)</f>
      </c>
    </row>
    <row r="242" spans="1:11" x14ac:dyDescent="0.25">
      <c r="A242" t="s">
        <v>22</v>
      </c>
      <c r="B242">
        <f>IF([@Bib]="","",XLOOKUP([@Bib],tblReg[Bib],tblReg[Field],""))</f>
      </c>
      <c r="C242">
        <f>IF([@Bib]="","",XLOOKUP([@Bib],tblReg[Bib],tblReg[FirstName],""))</f>
      </c>
      <c r="D242">
        <f>IF([@Bib]="","",XLOOKUP([@Bib],tblReg[Bib],tblReg[LastName],""))</f>
      </c>
      <c r="E242">
        <f>IF([@Bib]="","",XLOOKUP([@Bib],tblReg[Bib],tblReg[Team],""))</f>
      </c>
      <c r="F242" s="3" t="s">
        <v>22</v>
      </c>
      <c r="G242">
        <f>IF([@StageTime]="","",HOUR([@StageTime])*3600 + MINUTE([@StageTime])*60 + SECOND([@StageTime]))</f>
      </c>
      <c r="H242">
        <f>IF([@StageSeconds]="","",RANK([@StageSeconds],tblStage3[StageSeconds],1))</f>
      </c>
      <c r="I242">
        <f>IF([@Position]="",0,XLOOKUP([@Position],Config!tblBonus[Place],Config!tblBonus[Stage3BonusSec],0))</f>
      </c>
      <c r="J242">
        <f>IF([@StageSeconds]="","",[@StageSeconds]-[@BonusSeconds])</f>
      </c>
      <c r="K242" s="3">
        <f>IF([@NetSeconds]="","",[@NetSeconds]/86400)</f>
      </c>
    </row>
    <row r="243" spans="1:11" x14ac:dyDescent="0.25">
      <c r="A243" t="s">
        <v>22</v>
      </c>
      <c r="B243">
        <f>IF([@Bib]="","",XLOOKUP([@Bib],tblReg[Bib],tblReg[Field],""))</f>
      </c>
      <c r="C243">
        <f>IF([@Bib]="","",XLOOKUP([@Bib],tblReg[Bib],tblReg[FirstName],""))</f>
      </c>
      <c r="D243">
        <f>IF([@Bib]="","",XLOOKUP([@Bib],tblReg[Bib],tblReg[LastName],""))</f>
      </c>
      <c r="E243">
        <f>IF([@Bib]="","",XLOOKUP([@Bib],tblReg[Bib],tblReg[Team],""))</f>
      </c>
      <c r="F243" s="3" t="s">
        <v>22</v>
      </c>
      <c r="G243">
        <f>IF([@StageTime]="","",HOUR([@StageTime])*3600 + MINUTE([@StageTime])*60 + SECOND([@StageTime]))</f>
      </c>
      <c r="H243">
        <f>IF([@StageSeconds]="","",RANK([@StageSeconds],tblStage3[StageSeconds],1))</f>
      </c>
      <c r="I243">
        <f>IF([@Position]="",0,XLOOKUP([@Position],Config!tblBonus[Place],Config!tblBonus[Stage3BonusSec],0))</f>
      </c>
      <c r="J243">
        <f>IF([@StageSeconds]="","",[@StageSeconds]-[@BonusSeconds])</f>
      </c>
      <c r="K243" s="3">
        <f>IF([@NetSeconds]="","",[@NetSeconds]/86400)</f>
      </c>
    </row>
    <row r="244" spans="1:11" x14ac:dyDescent="0.25">
      <c r="A244" t="s">
        <v>22</v>
      </c>
      <c r="B244">
        <f>IF([@Bib]="","",XLOOKUP([@Bib],tblReg[Bib],tblReg[Field],""))</f>
      </c>
      <c r="C244">
        <f>IF([@Bib]="","",XLOOKUP([@Bib],tblReg[Bib],tblReg[FirstName],""))</f>
      </c>
      <c r="D244">
        <f>IF([@Bib]="","",XLOOKUP([@Bib],tblReg[Bib],tblReg[LastName],""))</f>
      </c>
      <c r="E244">
        <f>IF([@Bib]="","",XLOOKUP([@Bib],tblReg[Bib],tblReg[Team],""))</f>
      </c>
      <c r="F244" s="3" t="s">
        <v>22</v>
      </c>
      <c r="G244">
        <f>IF([@StageTime]="","",HOUR([@StageTime])*3600 + MINUTE([@StageTime])*60 + SECOND([@StageTime]))</f>
      </c>
      <c r="H244">
        <f>IF([@StageSeconds]="","",RANK([@StageSeconds],tblStage3[StageSeconds],1))</f>
      </c>
      <c r="I244">
        <f>IF([@Position]="",0,XLOOKUP([@Position],Config!tblBonus[Place],Config!tblBonus[Stage3BonusSec],0))</f>
      </c>
      <c r="J244">
        <f>IF([@StageSeconds]="","",[@StageSeconds]-[@BonusSeconds])</f>
      </c>
      <c r="K244" s="3">
        <f>IF([@NetSeconds]="","",[@NetSeconds]/86400)</f>
      </c>
    </row>
    <row r="245" spans="1:11" x14ac:dyDescent="0.25">
      <c r="A245" t="s">
        <v>22</v>
      </c>
      <c r="B245">
        <f>IF([@Bib]="","",XLOOKUP([@Bib],tblReg[Bib],tblReg[Field],""))</f>
      </c>
      <c r="C245">
        <f>IF([@Bib]="","",XLOOKUP([@Bib],tblReg[Bib],tblReg[FirstName],""))</f>
      </c>
      <c r="D245">
        <f>IF([@Bib]="","",XLOOKUP([@Bib],tblReg[Bib],tblReg[LastName],""))</f>
      </c>
      <c r="E245">
        <f>IF([@Bib]="","",XLOOKUP([@Bib],tblReg[Bib],tblReg[Team],""))</f>
      </c>
      <c r="F245" s="3" t="s">
        <v>22</v>
      </c>
      <c r="G245">
        <f>IF([@StageTime]="","",HOUR([@StageTime])*3600 + MINUTE([@StageTime])*60 + SECOND([@StageTime]))</f>
      </c>
      <c r="H245">
        <f>IF([@StageSeconds]="","",RANK([@StageSeconds],tblStage3[StageSeconds],1))</f>
      </c>
      <c r="I245">
        <f>IF([@Position]="",0,XLOOKUP([@Position],Config!tblBonus[Place],Config!tblBonus[Stage3BonusSec],0))</f>
      </c>
      <c r="J245">
        <f>IF([@StageSeconds]="","",[@StageSeconds]-[@BonusSeconds])</f>
      </c>
      <c r="K245" s="3">
        <f>IF([@NetSeconds]="","",[@NetSeconds]/86400)</f>
      </c>
    </row>
    <row r="246" spans="1:11" x14ac:dyDescent="0.25">
      <c r="A246" t="s">
        <v>22</v>
      </c>
      <c r="B246">
        <f>IF([@Bib]="","",XLOOKUP([@Bib],tblReg[Bib],tblReg[Field],""))</f>
      </c>
      <c r="C246">
        <f>IF([@Bib]="","",XLOOKUP([@Bib],tblReg[Bib],tblReg[FirstName],""))</f>
      </c>
      <c r="D246">
        <f>IF([@Bib]="","",XLOOKUP([@Bib],tblReg[Bib],tblReg[LastName],""))</f>
      </c>
      <c r="E246">
        <f>IF([@Bib]="","",XLOOKUP([@Bib],tblReg[Bib],tblReg[Team],""))</f>
      </c>
      <c r="F246" s="3" t="s">
        <v>22</v>
      </c>
      <c r="G246">
        <f>IF([@StageTime]="","",HOUR([@StageTime])*3600 + MINUTE([@StageTime])*60 + SECOND([@StageTime]))</f>
      </c>
      <c r="H246">
        <f>IF([@StageSeconds]="","",RANK([@StageSeconds],tblStage3[StageSeconds],1))</f>
      </c>
      <c r="I246">
        <f>IF([@Position]="",0,XLOOKUP([@Position],Config!tblBonus[Place],Config!tblBonus[Stage3BonusSec],0))</f>
      </c>
      <c r="J246">
        <f>IF([@StageSeconds]="","",[@StageSeconds]-[@BonusSeconds])</f>
      </c>
      <c r="K246" s="3">
        <f>IF([@NetSeconds]="","",[@NetSeconds]/86400)</f>
      </c>
    </row>
    <row r="247" spans="1:11" x14ac:dyDescent="0.25">
      <c r="A247" t="s">
        <v>22</v>
      </c>
      <c r="B247">
        <f>IF([@Bib]="","",XLOOKUP([@Bib],tblReg[Bib],tblReg[Field],""))</f>
      </c>
      <c r="C247">
        <f>IF([@Bib]="","",XLOOKUP([@Bib],tblReg[Bib],tblReg[FirstName],""))</f>
      </c>
      <c r="D247">
        <f>IF([@Bib]="","",XLOOKUP([@Bib],tblReg[Bib],tblReg[LastName],""))</f>
      </c>
      <c r="E247">
        <f>IF([@Bib]="","",XLOOKUP([@Bib],tblReg[Bib],tblReg[Team],""))</f>
      </c>
      <c r="F247" s="3" t="s">
        <v>22</v>
      </c>
      <c r="G247">
        <f>IF([@StageTime]="","",HOUR([@StageTime])*3600 + MINUTE([@StageTime])*60 + SECOND([@StageTime]))</f>
      </c>
      <c r="H247">
        <f>IF([@StageSeconds]="","",RANK([@StageSeconds],tblStage3[StageSeconds],1))</f>
      </c>
      <c r="I247">
        <f>IF([@Position]="",0,XLOOKUP([@Position],Config!tblBonus[Place],Config!tblBonus[Stage3BonusSec],0))</f>
      </c>
      <c r="J247">
        <f>IF([@StageSeconds]="","",[@StageSeconds]-[@BonusSeconds])</f>
      </c>
      <c r="K247" s="3">
        <f>IF([@NetSeconds]="","",[@NetSeconds]/86400)</f>
      </c>
    </row>
    <row r="248" spans="1:11" x14ac:dyDescent="0.25">
      <c r="A248" t="s">
        <v>22</v>
      </c>
      <c r="B248">
        <f>IF([@Bib]="","",XLOOKUP([@Bib],tblReg[Bib],tblReg[Field],""))</f>
      </c>
      <c r="C248">
        <f>IF([@Bib]="","",XLOOKUP([@Bib],tblReg[Bib],tblReg[FirstName],""))</f>
      </c>
      <c r="D248">
        <f>IF([@Bib]="","",XLOOKUP([@Bib],tblReg[Bib],tblReg[LastName],""))</f>
      </c>
      <c r="E248">
        <f>IF([@Bib]="","",XLOOKUP([@Bib],tblReg[Bib],tblReg[Team],""))</f>
      </c>
      <c r="F248" s="3" t="s">
        <v>22</v>
      </c>
      <c r="G248">
        <f>IF([@StageTime]="","",HOUR([@StageTime])*3600 + MINUTE([@StageTime])*60 + SECOND([@StageTime]))</f>
      </c>
      <c r="H248">
        <f>IF([@StageSeconds]="","",RANK([@StageSeconds],tblStage3[StageSeconds],1))</f>
      </c>
      <c r="I248">
        <f>IF([@Position]="",0,XLOOKUP([@Position],Config!tblBonus[Place],Config!tblBonus[Stage3BonusSec],0))</f>
      </c>
      <c r="J248">
        <f>IF([@StageSeconds]="","",[@StageSeconds]-[@BonusSeconds])</f>
      </c>
      <c r="K248" s="3">
        <f>IF([@NetSeconds]="","",[@NetSeconds]/86400)</f>
      </c>
    </row>
    <row r="249" spans="1:11" x14ac:dyDescent="0.25">
      <c r="A249" t="s">
        <v>22</v>
      </c>
      <c r="B249">
        <f>IF([@Bib]="","",XLOOKUP([@Bib],tblReg[Bib],tblReg[Field],""))</f>
      </c>
      <c r="C249">
        <f>IF([@Bib]="","",XLOOKUP([@Bib],tblReg[Bib],tblReg[FirstName],""))</f>
      </c>
      <c r="D249">
        <f>IF([@Bib]="","",XLOOKUP([@Bib],tblReg[Bib],tblReg[LastName],""))</f>
      </c>
      <c r="E249">
        <f>IF([@Bib]="","",XLOOKUP([@Bib],tblReg[Bib],tblReg[Team],""))</f>
      </c>
      <c r="F249" s="3" t="s">
        <v>22</v>
      </c>
      <c r="G249">
        <f>IF([@StageTime]="","",HOUR([@StageTime])*3600 + MINUTE([@StageTime])*60 + SECOND([@StageTime]))</f>
      </c>
      <c r="H249">
        <f>IF([@StageSeconds]="","",RANK([@StageSeconds],tblStage3[StageSeconds],1))</f>
      </c>
      <c r="I249">
        <f>IF([@Position]="",0,XLOOKUP([@Position],Config!tblBonus[Place],Config!tblBonus[Stage3BonusSec],0))</f>
      </c>
      <c r="J249">
        <f>IF([@StageSeconds]="","",[@StageSeconds]-[@BonusSeconds])</f>
      </c>
      <c r="K249" s="3">
        <f>IF([@NetSeconds]="","",[@NetSeconds]/86400)</f>
      </c>
    </row>
    <row r="250" spans="1:11" x14ac:dyDescent="0.25">
      <c r="A250" t="s">
        <v>22</v>
      </c>
      <c r="B250">
        <f>IF([@Bib]="","",XLOOKUP([@Bib],tblReg[Bib],tblReg[Field],""))</f>
      </c>
      <c r="C250">
        <f>IF([@Bib]="","",XLOOKUP([@Bib],tblReg[Bib],tblReg[FirstName],""))</f>
      </c>
      <c r="D250">
        <f>IF([@Bib]="","",XLOOKUP([@Bib],tblReg[Bib],tblReg[LastName],""))</f>
      </c>
      <c r="E250">
        <f>IF([@Bib]="","",XLOOKUP([@Bib],tblReg[Bib],tblReg[Team],""))</f>
      </c>
      <c r="F250" s="3" t="s">
        <v>22</v>
      </c>
      <c r="G250">
        <f>IF([@StageTime]="","",HOUR([@StageTime])*3600 + MINUTE([@StageTime])*60 + SECOND([@StageTime]))</f>
      </c>
      <c r="H250">
        <f>IF([@StageSeconds]="","",RANK([@StageSeconds],tblStage3[StageSeconds],1))</f>
      </c>
      <c r="I250">
        <f>IF([@Position]="",0,XLOOKUP([@Position],Config!tblBonus[Place],Config!tblBonus[Stage3BonusSec],0))</f>
      </c>
      <c r="J250">
        <f>IF([@StageSeconds]="","",[@StageSeconds]-[@BonusSeconds])</f>
      </c>
      <c r="K250" s="3">
        <f>IF([@NetSeconds]="","",[@NetSeconds]/86400)</f>
      </c>
    </row>
    <row r="251" spans="1:11" x14ac:dyDescent="0.25">
      <c r="A251" t="s">
        <v>22</v>
      </c>
      <c r="B251">
        <f>IF([@Bib]="","",XLOOKUP([@Bib],tblReg[Bib],tblReg[Field],""))</f>
      </c>
      <c r="C251">
        <f>IF([@Bib]="","",XLOOKUP([@Bib],tblReg[Bib],tblReg[FirstName],""))</f>
      </c>
      <c r="D251">
        <f>IF([@Bib]="","",XLOOKUP([@Bib],tblReg[Bib],tblReg[LastName],""))</f>
      </c>
      <c r="E251">
        <f>IF([@Bib]="","",XLOOKUP([@Bib],tblReg[Bib],tblReg[Team],""))</f>
      </c>
      <c r="F251" s="3" t="s">
        <v>22</v>
      </c>
      <c r="G251">
        <f>IF([@StageTime]="","",HOUR([@StageTime])*3600 + MINUTE([@StageTime])*60 + SECOND([@StageTime]))</f>
      </c>
      <c r="H251">
        <f>IF([@StageSeconds]="","",RANK([@StageSeconds],tblStage3[StageSeconds],1))</f>
      </c>
      <c r="I251">
        <f>IF([@Position]="",0,XLOOKUP([@Position],Config!tblBonus[Place],Config!tblBonus[Stage3BonusSec],0))</f>
      </c>
      <c r="J251">
        <f>IF([@StageSeconds]="","",[@StageSeconds]-[@BonusSeconds])</f>
      </c>
      <c r="K251" s="3">
        <f>IF([@NetSeconds]="","",[@NetSeconds]/86400)</f>
      </c>
    </row>
    <row r="270" spans="1:4" x14ac:dyDescent="0.25">
      <c r="A270" s="1" t="s">
        <v>30</v>
      </c>
      <c r="B270" s="1"/>
      <c r="C270" s="1"/>
      <c r="D270" s="1"/>
    </row>
    <row r="271" spans="1:1" x14ac:dyDescent="0.25">
      <c r="A271" t="s">
        <v>42</v>
      </c>
    </row>
    <row r="330" spans="1:4" x14ac:dyDescent="0.25">
      <c r="A330" s="1" t="s">
        <v>32</v>
      </c>
      <c r="B330" s="1"/>
      <c r="C330" s="1"/>
      <c r="D330" s="1"/>
    </row>
    <row r="331" spans="1:1" x14ac:dyDescent="0.25">
      <c r="A331" t="s">
        <v>43</v>
      </c>
    </row>
    <row r="390" spans="1:4" x14ac:dyDescent="0.25">
      <c r="A390" s="1" t="s">
        <v>34</v>
      </c>
      <c r="B390" s="1"/>
      <c r="C390" s="1"/>
      <c r="D390" s="1"/>
    </row>
    <row r="391" spans="1:1" x14ac:dyDescent="0.25">
      <c r="A391" t="s">
        <v>44</v>
      </c>
    </row>
    <row r="450" spans="1:4" x14ac:dyDescent="0.25">
      <c r="A450" s="1" t="s">
        <v>36</v>
      </c>
      <c r="B450" s="1"/>
      <c r="C450" s="1"/>
      <c r="D450" s="1"/>
    </row>
    <row r="451" spans="1:1" x14ac:dyDescent="0.25">
      <c r="A451" t="s">
        <v>45</v>
      </c>
    </row>
  </sheetData>
  <mergeCells count="4">
    <mergeCell ref="A270:D270"/>
    <mergeCell ref="A330:D330"/>
    <mergeCell ref="A390:D390"/>
    <mergeCell ref="A450:D450"/>
  </mergeCells>
  <dataValidations count="2">
    <dataValidation type="list" allowBlank="1" sqref="A10:A251">
      <formula1>=tblReg[Bib]</formula1>
    </dataValidation>
    <dataValidation type="list" allowBlank="1" sqref="A2:A251">
      <formula1>=tblReg[Bib]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8" customWidth="1"/>
    <col min="6" max="13" width="14" customWidth="1"/>
  </cols>
  <sheetData>
    <row r="1" spans="1:12" x14ac:dyDescent="0.25">
      <c r="A1" t="s">
        <v>15</v>
      </c>
      <c r="B1" t="s">
        <v>18</v>
      </c>
      <c r="C1" t="s">
        <v>16</v>
      </c>
      <c r="D1" t="s">
        <v>17</v>
      </c>
      <c r="E1" t="s">
        <v>19</v>
      </c>
      <c r="F1" t="s">
        <v>21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</row>
    <row r="2" spans="1:12" x14ac:dyDescent="0.25">
      <c r="A2">
        <f>IFERROR(INDEX(tblReg[Bib],ROW()-ROW(tblGC[#Headers])),"")</f>
      </c>
      <c r="B2">
        <f>IF([@Bib]="","",XLOOKUP([@Bib],tblReg[Bib],tblReg[Field],""))</f>
      </c>
      <c r="C2">
        <f>IF([@Bib]="","",XLOOKUP([@Bib],tblReg[Bib],tblReg[FirstName],""))</f>
      </c>
      <c r="D2">
        <f>IF([@Bib]="","",XLOOKUP([@Bib],tblReg[Bib],tblReg[LastName],""))</f>
      </c>
      <c r="E2">
        <f>IF([@Bib]="","",XLOOKUP([@Bib],tblReg[Bib],tblReg[Team],""))</f>
      </c>
      <c r="F2">
        <f>IF([@Bib]="","",XLOOKUP([@Bib],tblReg[Bib],tblReg[Status],""))</f>
      </c>
      <c r="G2">
        <f>IF([@Bib]="","",XLOOKUP([@Bib],tblStage1[Bib],tblStage1[NetSeconds],""))</f>
      </c>
      <c r="H2">
        <f>IF([@Bib]="","",XLOOKUP([@Bib],tblStage2[Bib],tblStage2[NetSeconds],""))</f>
      </c>
      <c r="I2">
        <f>IF([@Bib]="","",XLOOKUP([@Bib],tblStage3[Bib],tblStage3[NetSeconds],""))</f>
      </c>
      <c r="J2">
        <f>IF(COUNTA([@S1NetSec],[@S2NetSec],[@S3NetSec])=0,"",[@S1NetSec]+[@S2NetSec]+[@S3NetSec])</f>
      </c>
      <c r="K2" s="3">
        <f>IF([@TotalSec]="","",[@TotalSec]/86400)</f>
      </c>
      <c r="L2">
        <f>IF([@Status]&lt;&gt;"Active","",RANK([@TotalSec],FILTER(tblGC[TotalSec],tblGC[Status]="Active"),1))</f>
      </c>
    </row>
    <row r="3" spans="1:12" x14ac:dyDescent="0.25">
      <c r="A3">
        <f>IFERROR(INDEX(tblReg[Bib],ROW()-ROW(tblGC[#Headers])),"")</f>
      </c>
      <c r="B3">
        <f>IF([@Bib]="","",XLOOKUP([@Bib],tblReg[Bib],tblReg[Field],""))</f>
      </c>
      <c r="C3">
        <f>IF([@Bib]="","",XLOOKUP([@Bib],tblReg[Bib],tblReg[FirstName],""))</f>
      </c>
      <c r="D3">
        <f>IF([@Bib]="","",XLOOKUP([@Bib],tblReg[Bib],tblReg[LastName],""))</f>
      </c>
      <c r="E3">
        <f>IF([@Bib]="","",XLOOKUP([@Bib],tblReg[Bib],tblReg[Team],""))</f>
      </c>
      <c r="F3">
        <f>IF([@Bib]="","",XLOOKUP([@Bib],tblReg[Bib],tblReg[Status],""))</f>
      </c>
      <c r="G3">
        <f>IF([@Bib]="","",XLOOKUP([@Bib],tblStage1[Bib],tblStage1[NetSeconds],""))</f>
      </c>
      <c r="H3">
        <f>IF([@Bib]="","",XLOOKUP([@Bib],tblStage2[Bib],tblStage2[NetSeconds],""))</f>
      </c>
      <c r="I3">
        <f>IF([@Bib]="","",XLOOKUP([@Bib],tblStage3[Bib],tblStage3[NetSeconds],""))</f>
      </c>
      <c r="J3">
        <f>IF(COUNTA([@S1NetSec],[@S2NetSec],[@S3NetSec])=0,"",[@S1NetSec]+[@S2NetSec]+[@S3NetSec])</f>
      </c>
      <c r="K3" s="3">
        <f>IF([@TotalSec]="","",[@TotalSec]/86400)</f>
      </c>
      <c r="L3">
        <f>IF([@Status]&lt;&gt;"Active","",RANK([@TotalSec],FILTER(tblGC[TotalSec],tblGC[Status]="Active"),1))</f>
      </c>
    </row>
    <row r="4" spans="1:12" x14ac:dyDescent="0.25">
      <c r="A4">
        <f>IFERROR(INDEX(tblReg[Bib],ROW()-ROW(tblGC[#Headers])),"")</f>
      </c>
      <c r="B4">
        <f>IF([@Bib]="","",XLOOKUP([@Bib],tblReg[Bib],tblReg[Field],""))</f>
      </c>
      <c r="C4">
        <f>IF([@Bib]="","",XLOOKUP([@Bib],tblReg[Bib],tblReg[FirstName],""))</f>
      </c>
      <c r="D4">
        <f>IF([@Bib]="","",XLOOKUP([@Bib],tblReg[Bib],tblReg[LastName],""))</f>
      </c>
      <c r="E4">
        <f>IF([@Bib]="","",XLOOKUP([@Bib],tblReg[Bib],tblReg[Team],""))</f>
      </c>
      <c r="F4">
        <f>IF([@Bib]="","",XLOOKUP([@Bib],tblReg[Bib],tblReg[Status],""))</f>
      </c>
      <c r="G4">
        <f>IF([@Bib]="","",XLOOKUP([@Bib],tblStage1[Bib],tblStage1[NetSeconds],""))</f>
      </c>
      <c r="H4">
        <f>IF([@Bib]="","",XLOOKUP([@Bib],tblStage2[Bib],tblStage2[NetSeconds],""))</f>
      </c>
      <c r="I4">
        <f>IF([@Bib]="","",XLOOKUP([@Bib],tblStage3[Bib],tblStage3[NetSeconds],""))</f>
      </c>
      <c r="J4">
        <f>IF(COUNTA([@S1NetSec],[@S2NetSec],[@S3NetSec])=0,"",[@S1NetSec]+[@S2NetSec]+[@S3NetSec])</f>
      </c>
      <c r="K4" s="3">
        <f>IF([@TotalSec]="","",[@TotalSec]/86400)</f>
      </c>
      <c r="L4">
        <f>IF([@Status]&lt;&gt;"Active","",RANK([@TotalSec],FILTER(tblGC[TotalSec],tblGC[Status]="Active"),1))</f>
      </c>
    </row>
    <row r="5" spans="1:12" x14ac:dyDescent="0.25">
      <c r="A5">
        <f>IFERROR(INDEX(tblReg[Bib],ROW()-ROW(tblGC[#Headers])),"")</f>
      </c>
      <c r="B5">
        <f>IF([@Bib]="","",XLOOKUP([@Bib],tblReg[Bib],tblReg[Field],""))</f>
      </c>
      <c r="C5">
        <f>IF([@Bib]="","",XLOOKUP([@Bib],tblReg[Bib],tblReg[FirstName],""))</f>
      </c>
      <c r="D5">
        <f>IF([@Bib]="","",XLOOKUP([@Bib],tblReg[Bib],tblReg[LastName],""))</f>
      </c>
      <c r="E5">
        <f>IF([@Bib]="","",XLOOKUP([@Bib],tblReg[Bib],tblReg[Team],""))</f>
      </c>
      <c r="F5">
        <f>IF([@Bib]="","",XLOOKUP([@Bib],tblReg[Bib],tblReg[Status],""))</f>
      </c>
      <c r="G5">
        <f>IF([@Bib]="","",XLOOKUP([@Bib],tblStage1[Bib],tblStage1[NetSeconds],""))</f>
      </c>
      <c r="H5">
        <f>IF([@Bib]="","",XLOOKUP([@Bib],tblStage2[Bib],tblStage2[NetSeconds],""))</f>
      </c>
      <c r="I5">
        <f>IF([@Bib]="","",XLOOKUP([@Bib],tblStage3[Bib],tblStage3[NetSeconds],""))</f>
      </c>
      <c r="J5">
        <f>IF(COUNTA([@S1NetSec],[@S2NetSec],[@S3NetSec])=0,"",[@S1NetSec]+[@S2NetSec]+[@S3NetSec])</f>
      </c>
      <c r="K5" s="3">
        <f>IF([@TotalSec]="","",[@TotalSec]/86400)</f>
      </c>
      <c r="L5">
        <f>IF([@Status]&lt;&gt;"Active","",RANK([@TotalSec],FILTER(tblGC[TotalSec],tblGC[Status]="Active"),1))</f>
      </c>
    </row>
    <row r="6" spans="1:12" x14ac:dyDescent="0.25">
      <c r="A6">
        <f>IFERROR(INDEX(tblReg[Bib],ROW()-ROW(tblGC[#Headers])),"")</f>
      </c>
      <c r="B6">
        <f>IF([@Bib]="","",XLOOKUP([@Bib],tblReg[Bib],tblReg[Field],""))</f>
      </c>
      <c r="C6">
        <f>IF([@Bib]="","",XLOOKUP([@Bib],tblReg[Bib],tblReg[FirstName],""))</f>
      </c>
      <c r="D6">
        <f>IF([@Bib]="","",XLOOKUP([@Bib],tblReg[Bib],tblReg[LastName],""))</f>
      </c>
      <c r="E6">
        <f>IF([@Bib]="","",XLOOKUP([@Bib],tblReg[Bib],tblReg[Team],""))</f>
      </c>
      <c r="F6">
        <f>IF([@Bib]="","",XLOOKUP([@Bib],tblReg[Bib],tblReg[Status],""))</f>
      </c>
      <c r="G6">
        <f>IF([@Bib]="","",XLOOKUP([@Bib],tblStage1[Bib],tblStage1[NetSeconds],""))</f>
      </c>
      <c r="H6">
        <f>IF([@Bib]="","",XLOOKUP([@Bib],tblStage2[Bib],tblStage2[NetSeconds],""))</f>
      </c>
      <c r="I6">
        <f>IF([@Bib]="","",XLOOKUP([@Bib],tblStage3[Bib],tblStage3[NetSeconds],""))</f>
      </c>
      <c r="J6">
        <f>IF(COUNTA([@S1NetSec],[@S2NetSec],[@S3NetSec])=0,"",[@S1NetSec]+[@S2NetSec]+[@S3NetSec])</f>
      </c>
      <c r="K6" s="3">
        <f>IF([@TotalSec]="","",[@TotalSec]/86400)</f>
      </c>
      <c r="L6">
        <f>IF([@Status]&lt;&gt;"Active","",RANK([@TotalSec],FILTER(tblGC[TotalSec],tblGC[Status]="Active"),1))</f>
      </c>
    </row>
    <row r="7" spans="1:12" x14ac:dyDescent="0.25">
      <c r="A7">
        <f>IFERROR(INDEX(tblReg[Bib],ROW()-ROW(tblGC[#Headers])),"")</f>
      </c>
      <c r="B7">
        <f>IF([@Bib]="","",XLOOKUP([@Bib],tblReg[Bib],tblReg[Field],""))</f>
      </c>
      <c r="C7">
        <f>IF([@Bib]="","",XLOOKUP([@Bib],tblReg[Bib],tblReg[FirstName],""))</f>
      </c>
      <c r="D7">
        <f>IF([@Bib]="","",XLOOKUP([@Bib],tblReg[Bib],tblReg[LastName],""))</f>
      </c>
      <c r="E7">
        <f>IF([@Bib]="","",XLOOKUP([@Bib],tblReg[Bib],tblReg[Team],""))</f>
      </c>
      <c r="F7">
        <f>IF([@Bib]="","",XLOOKUP([@Bib],tblReg[Bib],tblReg[Status],""))</f>
      </c>
      <c r="G7">
        <f>IF([@Bib]="","",XLOOKUP([@Bib],tblStage1[Bib],tblStage1[NetSeconds],""))</f>
      </c>
      <c r="H7">
        <f>IF([@Bib]="","",XLOOKUP([@Bib],tblStage2[Bib],tblStage2[NetSeconds],""))</f>
      </c>
      <c r="I7">
        <f>IF([@Bib]="","",XLOOKUP([@Bib],tblStage3[Bib],tblStage3[NetSeconds],""))</f>
      </c>
      <c r="J7">
        <f>IF(COUNTA([@S1NetSec],[@S2NetSec],[@S3NetSec])=0,"",[@S1NetSec]+[@S2NetSec]+[@S3NetSec])</f>
      </c>
      <c r="K7" s="3">
        <f>IF([@TotalSec]="","",[@TotalSec]/86400)</f>
      </c>
      <c r="L7">
        <f>IF([@Status]&lt;&gt;"Active","",RANK([@TotalSec],FILTER(tblGC[TotalSec],tblGC[Status]="Active"),1))</f>
      </c>
    </row>
    <row r="8" spans="1:12" x14ac:dyDescent="0.25">
      <c r="A8">
        <f>IFERROR(INDEX(tblReg[Bib],ROW()-ROW(tblGC[#Headers])),"")</f>
      </c>
      <c r="B8">
        <f>IF([@Bib]="","",XLOOKUP([@Bib],tblReg[Bib],tblReg[Field],""))</f>
      </c>
      <c r="C8">
        <f>IF([@Bib]="","",XLOOKUP([@Bib],tblReg[Bib],tblReg[FirstName],""))</f>
      </c>
      <c r="D8">
        <f>IF([@Bib]="","",XLOOKUP([@Bib],tblReg[Bib],tblReg[LastName],""))</f>
      </c>
      <c r="E8">
        <f>IF([@Bib]="","",XLOOKUP([@Bib],tblReg[Bib],tblReg[Team],""))</f>
      </c>
      <c r="F8">
        <f>IF([@Bib]="","",XLOOKUP([@Bib],tblReg[Bib],tblReg[Status],""))</f>
      </c>
      <c r="G8">
        <f>IF([@Bib]="","",XLOOKUP([@Bib],tblStage1[Bib],tblStage1[NetSeconds],""))</f>
      </c>
      <c r="H8">
        <f>IF([@Bib]="","",XLOOKUP([@Bib],tblStage2[Bib],tblStage2[NetSeconds],""))</f>
      </c>
      <c r="I8">
        <f>IF([@Bib]="","",XLOOKUP([@Bib],tblStage3[Bib],tblStage3[NetSeconds],""))</f>
      </c>
      <c r="J8">
        <f>IF(COUNTA([@S1NetSec],[@S2NetSec],[@S3NetSec])=0,"",[@S1NetSec]+[@S2NetSec]+[@S3NetSec])</f>
      </c>
      <c r="K8" s="3">
        <f>IF([@TotalSec]="","",[@TotalSec]/86400)</f>
      </c>
      <c r="L8">
        <f>IF([@Status]&lt;&gt;"Active","",RANK([@TotalSec],FILTER(tblGC[TotalSec],tblGC[Status]="Active"),1))</f>
      </c>
    </row>
    <row r="9" spans="1:12" x14ac:dyDescent="0.25">
      <c r="A9">
        <f>IFERROR(INDEX(tblReg[Bib],ROW()-ROW(tblGC[#Headers])),"")</f>
      </c>
      <c r="B9">
        <f>IF([@Bib]="","",XLOOKUP([@Bib],tblReg[Bib],tblReg[Field],""))</f>
      </c>
      <c r="C9">
        <f>IF([@Bib]="","",XLOOKUP([@Bib],tblReg[Bib],tblReg[FirstName],""))</f>
      </c>
      <c r="D9">
        <f>IF([@Bib]="","",XLOOKUP([@Bib],tblReg[Bib],tblReg[LastName],""))</f>
      </c>
      <c r="E9">
        <f>IF([@Bib]="","",XLOOKUP([@Bib],tblReg[Bib],tblReg[Team],""))</f>
      </c>
      <c r="F9">
        <f>IF([@Bib]="","",XLOOKUP([@Bib],tblReg[Bib],tblReg[Status],""))</f>
      </c>
      <c r="G9">
        <f>IF([@Bib]="","",XLOOKUP([@Bib],tblStage1[Bib],tblStage1[NetSeconds],""))</f>
      </c>
      <c r="H9">
        <f>IF([@Bib]="","",XLOOKUP([@Bib],tblStage2[Bib],tblStage2[NetSeconds],""))</f>
      </c>
      <c r="I9">
        <f>IF([@Bib]="","",XLOOKUP([@Bib],tblStage3[Bib],tblStage3[NetSeconds],""))</f>
      </c>
      <c r="J9">
        <f>IF(COUNTA([@S1NetSec],[@S2NetSec],[@S3NetSec])=0,"",[@S1NetSec]+[@S2NetSec]+[@S3NetSec])</f>
      </c>
      <c r="K9" s="3">
        <f>IF([@TotalSec]="","",[@TotalSec]/86400)</f>
      </c>
      <c r="L9">
        <f>IF([@Status]&lt;&gt;"Active","",RANK([@TotalSec],FILTER(tblGC[TotalSec],tblGC[Status]="Active"),1))</f>
      </c>
    </row>
    <row r="10" spans="1:12" x14ac:dyDescent="0.25">
      <c r="A10">
        <f>IFERROR(INDEX(tblReg[Bib],ROW()-ROW(tblGC[#Headers])),"")</f>
      </c>
      <c r="B10">
        <f>IF([@Bib]="","",XLOOKUP([@Bib],tblReg[Bib],tblReg[Field],""))</f>
      </c>
      <c r="C10">
        <f>IF([@Bib]="","",XLOOKUP([@Bib],tblReg[Bib],tblReg[FirstName],""))</f>
      </c>
      <c r="D10">
        <f>IF([@Bib]="","",XLOOKUP([@Bib],tblReg[Bib],tblReg[LastName],""))</f>
      </c>
      <c r="E10">
        <f>IF([@Bib]="","",XLOOKUP([@Bib],tblReg[Bib],tblReg[Team],""))</f>
      </c>
      <c r="F10">
        <f>IF([@Bib]="","",XLOOKUP([@Bib],tblReg[Bib],tblReg[Status],""))</f>
      </c>
      <c r="G10">
        <f>IF([@Bib]="","",XLOOKUP([@Bib],tblStage1[Bib],tblStage1[NetSeconds],""))</f>
      </c>
      <c r="H10">
        <f>IF([@Bib]="","",XLOOKUP([@Bib],tblStage2[Bib],tblStage2[NetSeconds],""))</f>
      </c>
      <c r="I10">
        <f>IF([@Bib]="","",XLOOKUP([@Bib],tblStage3[Bib],tblStage3[NetSeconds],""))</f>
      </c>
      <c r="J10">
        <f>IF(COUNTA([@S1NetSec],[@S2NetSec],[@S3NetSec])=0,"",[@S1NetSec]+[@S2NetSec]+[@S3NetSec])</f>
      </c>
      <c r="K10" s="3">
        <f>IF([@TotalSec]="","",[@TotalSec]/86400)</f>
      </c>
      <c r="L10">
        <f>IF([@Status]&lt;&gt;"Active","",RANK([@TotalSec],FILTER(tblGC[TotalSec],tblGC[Status]="Active"),1))</f>
      </c>
    </row>
    <row r="11" spans="1:12" x14ac:dyDescent="0.25">
      <c r="A11">
        <f>IFERROR(INDEX(tblReg[Bib],ROW()-ROW(tblGC[#Headers])),"")</f>
      </c>
      <c r="B11">
        <f>IF([@Bib]="","",XLOOKUP([@Bib],tblReg[Bib],tblReg[Field],""))</f>
      </c>
      <c r="C11">
        <f>IF([@Bib]="","",XLOOKUP([@Bib],tblReg[Bib],tblReg[FirstName],""))</f>
      </c>
      <c r="D11">
        <f>IF([@Bib]="","",XLOOKUP([@Bib],tblReg[Bib],tblReg[LastName],""))</f>
      </c>
      <c r="E11">
        <f>IF([@Bib]="","",XLOOKUP([@Bib],tblReg[Bib],tblReg[Team],""))</f>
      </c>
      <c r="F11">
        <f>IF([@Bib]="","",XLOOKUP([@Bib],tblReg[Bib],tblReg[Status],""))</f>
      </c>
      <c r="G11">
        <f>IF([@Bib]="","",XLOOKUP([@Bib],tblStage1[Bib],tblStage1[NetSeconds],""))</f>
      </c>
      <c r="H11">
        <f>IF([@Bib]="","",XLOOKUP([@Bib],tblStage2[Bib],tblStage2[NetSeconds],""))</f>
      </c>
      <c r="I11">
        <f>IF([@Bib]="","",XLOOKUP([@Bib],tblStage3[Bib],tblStage3[NetSeconds],""))</f>
      </c>
      <c r="J11">
        <f>IF(COUNTA([@S1NetSec],[@S2NetSec],[@S3NetSec])=0,"",[@S1NetSec]+[@S2NetSec]+[@S3NetSec])</f>
      </c>
      <c r="K11" s="3">
        <f>IF([@TotalSec]="","",[@TotalSec]/86400)</f>
      </c>
      <c r="L11">
        <f>IF([@Status]&lt;&gt;"Active","",RANK([@TotalSec],FILTER(tblGC[TotalSec],tblGC[Status]="Active"),1))</f>
      </c>
    </row>
    <row r="12" spans="1:12" x14ac:dyDescent="0.25">
      <c r="A12">
        <f>IFERROR(INDEX(tblReg[Bib],ROW()-ROW(tblGC[#Headers])),"")</f>
      </c>
      <c r="B12">
        <f>IF([@Bib]="","",XLOOKUP([@Bib],tblReg[Bib],tblReg[Field],""))</f>
      </c>
      <c r="C12">
        <f>IF([@Bib]="","",XLOOKUP([@Bib],tblReg[Bib],tblReg[FirstName],""))</f>
      </c>
      <c r="D12">
        <f>IF([@Bib]="","",XLOOKUP([@Bib],tblReg[Bib],tblReg[LastName],""))</f>
      </c>
      <c r="E12">
        <f>IF([@Bib]="","",XLOOKUP([@Bib],tblReg[Bib],tblReg[Team],""))</f>
      </c>
      <c r="F12">
        <f>IF([@Bib]="","",XLOOKUP([@Bib],tblReg[Bib],tblReg[Status],""))</f>
      </c>
      <c r="G12">
        <f>IF([@Bib]="","",XLOOKUP([@Bib],tblStage1[Bib],tblStage1[NetSeconds],""))</f>
      </c>
      <c r="H12">
        <f>IF([@Bib]="","",XLOOKUP([@Bib],tblStage2[Bib],tblStage2[NetSeconds],""))</f>
      </c>
      <c r="I12">
        <f>IF([@Bib]="","",XLOOKUP([@Bib],tblStage3[Bib],tblStage3[NetSeconds],""))</f>
      </c>
      <c r="J12">
        <f>IF(COUNTA([@S1NetSec],[@S2NetSec],[@S3NetSec])=0,"",[@S1NetSec]+[@S2NetSec]+[@S3NetSec])</f>
      </c>
      <c r="K12" s="3">
        <f>IF([@TotalSec]="","",[@TotalSec]/86400)</f>
      </c>
      <c r="L12">
        <f>IF([@Status]&lt;&gt;"Active","",RANK([@TotalSec],FILTER(tblGC[TotalSec],tblGC[Status]="Active"),1))</f>
      </c>
    </row>
    <row r="13" spans="1:12" x14ac:dyDescent="0.25">
      <c r="A13">
        <f>IFERROR(INDEX(tblReg[Bib],ROW()-ROW(tblGC[#Headers])),"")</f>
      </c>
      <c r="B13">
        <f>IF([@Bib]="","",XLOOKUP([@Bib],tblReg[Bib],tblReg[Field],""))</f>
      </c>
      <c r="C13">
        <f>IF([@Bib]="","",XLOOKUP([@Bib],tblReg[Bib],tblReg[FirstName],""))</f>
      </c>
      <c r="D13">
        <f>IF([@Bib]="","",XLOOKUP([@Bib],tblReg[Bib],tblReg[LastName],""))</f>
      </c>
      <c r="E13">
        <f>IF([@Bib]="","",XLOOKUP([@Bib],tblReg[Bib],tblReg[Team],""))</f>
      </c>
      <c r="F13">
        <f>IF([@Bib]="","",XLOOKUP([@Bib],tblReg[Bib],tblReg[Status],""))</f>
      </c>
      <c r="G13">
        <f>IF([@Bib]="","",XLOOKUP([@Bib],tblStage1[Bib],tblStage1[NetSeconds],""))</f>
      </c>
      <c r="H13">
        <f>IF([@Bib]="","",XLOOKUP([@Bib],tblStage2[Bib],tblStage2[NetSeconds],""))</f>
      </c>
      <c r="I13">
        <f>IF([@Bib]="","",XLOOKUP([@Bib],tblStage3[Bib],tblStage3[NetSeconds],""))</f>
      </c>
      <c r="J13">
        <f>IF(COUNTA([@S1NetSec],[@S2NetSec],[@S3NetSec])=0,"",[@S1NetSec]+[@S2NetSec]+[@S3NetSec])</f>
      </c>
      <c r="K13" s="3">
        <f>IF([@TotalSec]="","",[@TotalSec]/86400)</f>
      </c>
      <c r="L13">
        <f>IF([@Status]&lt;&gt;"Active","",RANK([@TotalSec],FILTER(tblGC[TotalSec],tblGC[Status]="Active"),1))</f>
      </c>
    </row>
    <row r="14" spans="1:12" x14ac:dyDescent="0.25">
      <c r="A14">
        <f>IFERROR(INDEX(tblReg[Bib],ROW()-ROW(tblGC[#Headers])),"")</f>
      </c>
      <c r="B14">
        <f>IF([@Bib]="","",XLOOKUP([@Bib],tblReg[Bib],tblReg[Field],""))</f>
      </c>
      <c r="C14">
        <f>IF([@Bib]="","",XLOOKUP([@Bib],tblReg[Bib],tblReg[FirstName],""))</f>
      </c>
      <c r="D14">
        <f>IF([@Bib]="","",XLOOKUP([@Bib],tblReg[Bib],tblReg[LastName],""))</f>
      </c>
      <c r="E14">
        <f>IF([@Bib]="","",XLOOKUP([@Bib],tblReg[Bib],tblReg[Team],""))</f>
      </c>
      <c r="F14">
        <f>IF([@Bib]="","",XLOOKUP([@Bib],tblReg[Bib],tblReg[Status],""))</f>
      </c>
      <c r="G14">
        <f>IF([@Bib]="","",XLOOKUP([@Bib],tblStage1[Bib],tblStage1[NetSeconds],""))</f>
      </c>
      <c r="H14">
        <f>IF([@Bib]="","",XLOOKUP([@Bib],tblStage2[Bib],tblStage2[NetSeconds],""))</f>
      </c>
      <c r="I14">
        <f>IF([@Bib]="","",XLOOKUP([@Bib],tblStage3[Bib],tblStage3[NetSeconds],""))</f>
      </c>
      <c r="J14">
        <f>IF(COUNTA([@S1NetSec],[@S2NetSec],[@S3NetSec])=0,"",[@S1NetSec]+[@S2NetSec]+[@S3NetSec])</f>
      </c>
      <c r="K14" s="3">
        <f>IF([@TotalSec]="","",[@TotalSec]/86400)</f>
      </c>
      <c r="L14">
        <f>IF([@Status]&lt;&gt;"Active","",RANK([@TotalSec],FILTER(tblGC[TotalSec],tblGC[Status]="Active"),1))</f>
      </c>
    </row>
    <row r="15" spans="1:12" x14ac:dyDescent="0.25">
      <c r="A15">
        <f>IFERROR(INDEX(tblReg[Bib],ROW()-ROW(tblGC[#Headers])),"")</f>
      </c>
      <c r="B15">
        <f>IF([@Bib]="","",XLOOKUP([@Bib],tblReg[Bib],tblReg[Field],""))</f>
      </c>
      <c r="C15">
        <f>IF([@Bib]="","",XLOOKUP([@Bib],tblReg[Bib],tblReg[FirstName],""))</f>
      </c>
      <c r="D15">
        <f>IF([@Bib]="","",XLOOKUP([@Bib],tblReg[Bib],tblReg[LastName],""))</f>
      </c>
      <c r="E15">
        <f>IF([@Bib]="","",XLOOKUP([@Bib],tblReg[Bib],tblReg[Team],""))</f>
      </c>
      <c r="F15">
        <f>IF([@Bib]="","",XLOOKUP([@Bib],tblReg[Bib],tblReg[Status],""))</f>
      </c>
      <c r="G15">
        <f>IF([@Bib]="","",XLOOKUP([@Bib],tblStage1[Bib],tblStage1[NetSeconds],""))</f>
      </c>
      <c r="H15">
        <f>IF([@Bib]="","",XLOOKUP([@Bib],tblStage2[Bib],tblStage2[NetSeconds],""))</f>
      </c>
      <c r="I15">
        <f>IF([@Bib]="","",XLOOKUP([@Bib],tblStage3[Bib],tblStage3[NetSeconds],""))</f>
      </c>
      <c r="J15">
        <f>IF(COUNTA([@S1NetSec],[@S2NetSec],[@S3NetSec])=0,"",[@S1NetSec]+[@S2NetSec]+[@S3NetSec])</f>
      </c>
      <c r="K15" s="3">
        <f>IF([@TotalSec]="","",[@TotalSec]/86400)</f>
      </c>
      <c r="L15">
        <f>IF([@Status]&lt;&gt;"Active","",RANK([@TotalSec],FILTER(tblGC[TotalSec],tblGC[Status]="Active"),1))</f>
      </c>
    </row>
    <row r="16" spans="1:12" x14ac:dyDescent="0.25">
      <c r="A16">
        <f>IFERROR(INDEX(tblReg[Bib],ROW()-ROW(tblGC[#Headers])),"")</f>
      </c>
      <c r="B16">
        <f>IF([@Bib]="","",XLOOKUP([@Bib],tblReg[Bib],tblReg[Field],""))</f>
      </c>
      <c r="C16">
        <f>IF([@Bib]="","",XLOOKUP([@Bib],tblReg[Bib],tblReg[FirstName],""))</f>
      </c>
      <c r="D16">
        <f>IF([@Bib]="","",XLOOKUP([@Bib],tblReg[Bib],tblReg[LastName],""))</f>
      </c>
      <c r="E16">
        <f>IF([@Bib]="","",XLOOKUP([@Bib],tblReg[Bib],tblReg[Team],""))</f>
      </c>
      <c r="F16">
        <f>IF([@Bib]="","",XLOOKUP([@Bib],tblReg[Bib],tblReg[Status],""))</f>
      </c>
      <c r="G16">
        <f>IF([@Bib]="","",XLOOKUP([@Bib],tblStage1[Bib],tblStage1[NetSeconds],""))</f>
      </c>
      <c r="H16">
        <f>IF([@Bib]="","",XLOOKUP([@Bib],tblStage2[Bib],tblStage2[NetSeconds],""))</f>
      </c>
      <c r="I16">
        <f>IF([@Bib]="","",XLOOKUP([@Bib],tblStage3[Bib],tblStage3[NetSeconds],""))</f>
      </c>
      <c r="J16">
        <f>IF(COUNTA([@S1NetSec],[@S2NetSec],[@S3NetSec])=0,"",[@S1NetSec]+[@S2NetSec]+[@S3NetSec])</f>
      </c>
      <c r="K16" s="3">
        <f>IF([@TotalSec]="","",[@TotalSec]/86400)</f>
      </c>
      <c r="L16">
        <f>IF([@Status]&lt;&gt;"Active","",RANK([@TotalSec],FILTER(tblGC[TotalSec],tblGC[Status]="Active"),1))</f>
      </c>
    </row>
    <row r="17" spans="1:12" x14ac:dyDescent="0.25">
      <c r="A17">
        <f>IFERROR(INDEX(tblReg[Bib],ROW()-ROW(tblGC[#Headers])),"")</f>
      </c>
      <c r="B17">
        <f>IF([@Bib]="","",XLOOKUP([@Bib],tblReg[Bib],tblReg[Field],""))</f>
      </c>
      <c r="C17">
        <f>IF([@Bib]="","",XLOOKUP([@Bib],tblReg[Bib],tblReg[FirstName],""))</f>
      </c>
      <c r="D17">
        <f>IF([@Bib]="","",XLOOKUP([@Bib],tblReg[Bib],tblReg[LastName],""))</f>
      </c>
      <c r="E17">
        <f>IF([@Bib]="","",XLOOKUP([@Bib],tblReg[Bib],tblReg[Team],""))</f>
      </c>
      <c r="F17">
        <f>IF([@Bib]="","",XLOOKUP([@Bib],tblReg[Bib],tblReg[Status],""))</f>
      </c>
      <c r="G17">
        <f>IF([@Bib]="","",XLOOKUP([@Bib],tblStage1[Bib],tblStage1[NetSeconds],""))</f>
      </c>
      <c r="H17">
        <f>IF([@Bib]="","",XLOOKUP([@Bib],tblStage2[Bib],tblStage2[NetSeconds],""))</f>
      </c>
      <c r="I17">
        <f>IF([@Bib]="","",XLOOKUP([@Bib],tblStage3[Bib],tblStage3[NetSeconds],""))</f>
      </c>
      <c r="J17">
        <f>IF(COUNTA([@S1NetSec],[@S2NetSec],[@S3NetSec])=0,"",[@S1NetSec]+[@S2NetSec]+[@S3NetSec])</f>
      </c>
      <c r="K17" s="3">
        <f>IF([@TotalSec]="","",[@TotalSec]/86400)</f>
      </c>
      <c r="L17">
        <f>IF([@Status]&lt;&gt;"Active","",RANK([@TotalSec],FILTER(tblGC[TotalSec],tblGC[Status]="Active"),1))</f>
      </c>
    </row>
    <row r="18" spans="1:12" x14ac:dyDescent="0.25">
      <c r="A18">
        <f>IFERROR(INDEX(tblReg[Bib],ROW()-ROW(tblGC[#Headers])),"")</f>
      </c>
      <c r="B18">
        <f>IF([@Bib]="","",XLOOKUP([@Bib],tblReg[Bib],tblReg[Field],""))</f>
      </c>
      <c r="C18">
        <f>IF([@Bib]="","",XLOOKUP([@Bib],tblReg[Bib],tblReg[FirstName],""))</f>
      </c>
      <c r="D18">
        <f>IF([@Bib]="","",XLOOKUP([@Bib],tblReg[Bib],tblReg[LastName],""))</f>
      </c>
      <c r="E18">
        <f>IF([@Bib]="","",XLOOKUP([@Bib],tblReg[Bib],tblReg[Team],""))</f>
      </c>
      <c r="F18">
        <f>IF([@Bib]="","",XLOOKUP([@Bib],tblReg[Bib],tblReg[Status],""))</f>
      </c>
      <c r="G18">
        <f>IF([@Bib]="","",XLOOKUP([@Bib],tblStage1[Bib],tblStage1[NetSeconds],""))</f>
      </c>
      <c r="H18">
        <f>IF([@Bib]="","",XLOOKUP([@Bib],tblStage2[Bib],tblStage2[NetSeconds],""))</f>
      </c>
      <c r="I18">
        <f>IF([@Bib]="","",XLOOKUP([@Bib],tblStage3[Bib],tblStage3[NetSeconds],""))</f>
      </c>
      <c r="J18">
        <f>IF(COUNTA([@S1NetSec],[@S2NetSec],[@S3NetSec])=0,"",[@S1NetSec]+[@S2NetSec]+[@S3NetSec])</f>
      </c>
      <c r="K18" s="3">
        <f>IF([@TotalSec]="","",[@TotalSec]/86400)</f>
      </c>
      <c r="L18">
        <f>IF([@Status]&lt;&gt;"Active","",RANK([@TotalSec],FILTER(tblGC[TotalSec],tblGC[Status]="Active"),1))</f>
      </c>
    </row>
    <row r="19" spans="1:12" x14ac:dyDescent="0.25">
      <c r="A19">
        <f>IFERROR(INDEX(tblReg[Bib],ROW()-ROW(tblGC[#Headers])),"")</f>
      </c>
      <c r="B19">
        <f>IF([@Bib]="","",XLOOKUP([@Bib],tblReg[Bib],tblReg[Field],""))</f>
      </c>
      <c r="C19">
        <f>IF([@Bib]="","",XLOOKUP([@Bib],tblReg[Bib],tblReg[FirstName],""))</f>
      </c>
      <c r="D19">
        <f>IF([@Bib]="","",XLOOKUP([@Bib],tblReg[Bib],tblReg[LastName],""))</f>
      </c>
      <c r="E19">
        <f>IF([@Bib]="","",XLOOKUP([@Bib],tblReg[Bib],tblReg[Team],""))</f>
      </c>
      <c r="F19">
        <f>IF([@Bib]="","",XLOOKUP([@Bib],tblReg[Bib],tblReg[Status],""))</f>
      </c>
      <c r="G19">
        <f>IF([@Bib]="","",XLOOKUP([@Bib],tblStage1[Bib],tblStage1[NetSeconds],""))</f>
      </c>
      <c r="H19">
        <f>IF([@Bib]="","",XLOOKUP([@Bib],tblStage2[Bib],tblStage2[NetSeconds],""))</f>
      </c>
      <c r="I19">
        <f>IF([@Bib]="","",XLOOKUP([@Bib],tblStage3[Bib],tblStage3[NetSeconds],""))</f>
      </c>
      <c r="J19">
        <f>IF(COUNTA([@S1NetSec],[@S2NetSec],[@S3NetSec])=0,"",[@S1NetSec]+[@S2NetSec]+[@S3NetSec])</f>
      </c>
      <c r="K19" s="3">
        <f>IF([@TotalSec]="","",[@TotalSec]/86400)</f>
      </c>
      <c r="L19">
        <f>IF([@Status]&lt;&gt;"Active","",RANK([@TotalSec],FILTER(tblGC[TotalSec],tblGC[Status]="Active"),1))</f>
      </c>
    </row>
    <row r="20" spans="1:12" x14ac:dyDescent="0.25">
      <c r="A20">
        <f>IFERROR(INDEX(tblReg[Bib],ROW()-ROW(tblGC[#Headers])),"")</f>
      </c>
      <c r="B20">
        <f>IF([@Bib]="","",XLOOKUP([@Bib],tblReg[Bib],tblReg[Field],""))</f>
      </c>
      <c r="C20">
        <f>IF([@Bib]="","",XLOOKUP([@Bib],tblReg[Bib],tblReg[FirstName],""))</f>
      </c>
      <c r="D20">
        <f>IF([@Bib]="","",XLOOKUP([@Bib],tblReg[Bib],tblReg[LastName],""))</f>
      </c>
      <c r="E20">
        <f>IF([@Bib]="","",XLOOKUP([@Bib],tblReg[Bib],tblReg[Team],""))</f>
      </c>
      <c r="F20">
        <f>IF([@Bib]="","",XLOOKUP([@Bib],tblReg[Bib],tblReg[Status],""))</f>
      </c>
      <c r="G20">
        <f>IF([@Bib]="","",XLOOKUP([@Bib],tblStage1[Bib],tblStage1[NetSeconds],""))</f>
      </c>
      <c r="H20">
        <f>IF([@Bib]="","",XLOOKUP([@Bib],tblStage2[Bib],tblStage2[NetSeconds],""))</f>
      </c>
      <c r="I20">
        <f>IF([@Bib]="","",XLOOKUP([@Bib],tblStage3[Bib],tblStage3[NetSeconds],""))</f>
      </c>
      <c r="J20">
        <f>IF(COUNTA([@S1NetSec],[@S2NetSec],[@S3NetSec])=0,"",[@S1NetSec]+[@S2NetSec]+[@S3NetSec])</f>
      </c>
      <c r="K20" s="3">
        <f>IF([@TotalSec]="","",[@TotalSec]/86400)</f>
      </c>
      <c r="L20">
        <f>IF([@Status]&lt;&gt;"Active","",RANK([@TotalSec],FILTER(tblGC[TotalSec],tblGC[Status]="Active"),1))</f>
      </c>
    </row>
    <row r="21" spans="1:12" x14ac:dyDescent="0.25">
      <c r="A21">
        <f>IFERROR(INDEX(tblReg[Bib],ROW()-ROW(tblGC[#Headers])),"")</f>
      </c>
      <c r="B21">
        <f>IF([@Bib]="","",XLOOKUP([@Bib],tblReg[Bib],tblReg[Field],""))</f>
      </c>
      <c r="C21">
        <f>IF([@Bib]="","",XLOOKUP([@Bib],tblReg[Bib],tblReg[FirstName],""))</f>
      </c>
      <c r="D21">
        <f>IF([@Bib]="","",XLOOKUP([@Bib],tblReg[Bib],tblReg[LastName],""))</f>
      </c>
      <c r="E21">
        <f>IF([@Bib]="","",XLOOKUP([@Bib],tblReg[Bib],tblReg[Team],""))</f>
      </c>
      <c r="F21">
        <f>IF([@Bib]="","",XLOOKUP([@Bib],tblReg[Bib],tblReg[Status],""))</f>
      </c>
      <c r="G21">
        <f>IF([@Bib]="","",XLOOKUP([@Bib],tblStage1[Bib],tblStage1[NetSeconds],""))</f>
      </c>
      <c r="H21">
        <f>IF([@Bib]="","",XLOOKUP([@Bib],tblStage2[Bib],tblStage2[NetSeconds],""))</f>
      </c>
      <c r="I21">
        <f>IF([@Bib]="","",XLOOKUP([@Bib],tblStage3[Bib],tblStage3[NetSeconds],""))</f>
      </c>
      <c r="J21">
        <f>IF(COUNTA([@S1NetSec],[@S2NetSec],[@S3NetSec])=0,"",[@S1NetSec]+[@S2NetSec]+[@S3NetSec])</f>
      </c>
      <c r="K21" s="3">
        <f>IF([@TotalSec]="","",[@TotalSec]/86400)</f>
      </c>
      <c r="L21">
        <f>IF([@Status]&lt;&gt;"Active","",RANK([@TotalSec],FILTER(tblGC[TotalSec],tblGC[Status]="Active"),1))</f>
      </c>
    </row>
    <row r="22" spans="1:12" x14ac:dyDescent="0.25">
      <c r="A22">
        <f>IFERROR(INDEX(tblReg[Bib],ROW()-ROW(tblGC[#Headers])),"")</f>
      </c>
      <c r="B22">
        <f>IF([@Bib]="","",XLOOKUP([@Bib],tblReg[Bib],tblReg[Field],""))</f>
      </c>
      <c r="C22">
        <f>IF([@Bib]="","",XLOOKUP([@Bib],tblReg[Bib],tblReg[FirstName],""))</f>
      </c>
      <c r="D22">
        <f>IF([@Bib]="","",XLOOKUP([@Bib],tblReg[Bib],tblReg[LastName],""))</f>
      </c>
      <c r="E22">
        <f>IF([@Bib]="","",XLOOKUP([@Bib],tblReg[Bib],tblReg[Team],""))</f>
      </c>
      <c r="F22">
        <f>IF([@Bib]="","",XLOOKUP([@Bib],tblReg[Bib],tblReg[Status],""))</f>
      </c>
      <c r="G22">
        <f>IF([@Bib]="","",XLOOKUP([@Bib],tblStage1[Bib],tblStage1[NetSeconds],""))</f>
      </c>
      <c r="H22">
        <f>IF([@Bib]="","",XLOOKUP([@Bib],tblStage2[Bib],tblStage2[NetSeconds],""))</f>
      </c>
      <c r="I22">
        <f>IF([@Bib]="","",XLOOKUP([@Bib],tblStage3[Bib],tblStage3[NetSeconds],""))</f>
      </c>
      <c r="J22">
        <f>IF(COUNTA([@S1NetSec],[@S2NetSec],[@S3NetSec])=0,"",[@S1NetSec]+[@S2NetSec]+[@S3NetSec])</f>
      </c>
      <c r="K22" s="3">
        <f>IF([@TotalSec]="","",[@TotalSec]/86400)</f>
      </c>
      <c r="L22">
        <f>IF([@Status]&lt;&gt;"Active","",RANK([@TotalSec],FILTER(tblGC[TotalSec],tblGC[Status]="Active"),1))</f>
      </c>
    </row>
    <row r="23" spans="1:12" x14ac:dyDescent="0.25">
      <c r="A23">
        <f>IFERROR(INDEX(tblReg[Bib],ROW()-ROW(tblGC[#Headers])),"")</f>
      </c>
      <c r="B23">
        <f>IF([@Bib]="","",XLOOKUP([@Bib],tblReg[Bib],tblReg[Field],""))</f>
      </c>
      <c r="C23">
        <f>IF([@Bib]="","",XLOOKUP([@Bib],tblReg[Bib],tblReg[FirstName],""))</f>
      </c>
      <c r="D23">
        <f>IF([@Bib]="","",XLOOKUP([@Bib],tblReg[Bib],tblReg[LastName],""))</f>
      </c>
      <c r="E23">
        <f>IF([@Bib]="","",XLOOKUP([@Bib],tblReg[Bib],tblReg[Team],""))</f>
      </c>
      <c r="F23">
        <f>IF([@Bib]="","",XLOOKUP([@Bib],tblReg[Bib],tblReg[Status],""))</f>
      </c>
      <c r="G23">
        <f>IF([@Bib]="","",XLOOKUP([@Bib],tblStage1[Bib],tblStage1[NetSeconds],""))</f>
      </c>
      <c r="H23">
        <f>IF([@Bib]="","",XLOOKUP([@Bib],tblStage2[Bib],tblStage2[NetSeconds],""))</f>
      </c>
      <c r="I23">
        <f>IF([@Bib]="","",XLOOKUP([@Bib],tblStage3[Bib],tblStage3[NetSeconds],""))</f>
      </c>
      <c r="J23">
        <f>IF(COUNTA([@S1NetSec],[@S2NetSec],[@S3NetSec])=0,"",[@S1NetSec]+[@S2NetSec]+[@S3NetSec])</f>
      </c>
      <c r="K23" s="3">
        <f>IF([@TotalSec]="","",[@TotalSec]/86400)</f>
      </c>
      <c r="L23">
        <f>IF([@Status]&lt;&gt;"Active","",RANK([@TotalSec],FILTER(tblGC[TotalSec],tblGC[Status]="Active"),1))</f>
      </c>
    </row>
    <row r="24" spans="1:12" x14ac:dyDescent="0.25">
      <c r="A24">
        <f>IFERROR(INDEX(tblReg[Bib],ROW()-ROW(tblGC[#Headers])),"")</f>
      </c>
      <c r="B24">
        <f>IF([@Bib]="","",XLOOKUP([@Bib],tblReg[Bib],tblReg[Field],""))</f>
      </c>
      <c r="C24">
        <f>IF([@Bib]="","",XLOOKUP([@Bib],tblReg[Bib],tblReg[FirstName],""))</f>
      </c>
      <c r="D24">
        <f>IF([@Bib]="","",XLOOKUP([@Bib],tblReg[Bib],tblReg[LastName],""))</f>
      </c>
      <c r="E24">
        <f>IF([@Bib]="","",XLOOKUP([@Bib],tblReg[Bib],tblReg[Team],""))</f>
      </c>
      <c r="F24">
        <f>IF([@Bib]="","",XLOOKUP([@Bib],tblReg[Bib],tblReg[Status],""))</f>
      </c>
      <c r="G24">
        <f>IF([@Bib]="","",XLOOKUP([@Bib],tblStage1[Bib],tblStage1[NetSeconds],""))</f>
      </c>
      <c r="H24">
        <f>IF([@Bib]="","",XLOOKUP([@Bib],tblStage2[Bib],tblStage2[NetSeconds],""))</f>
      </c>
      <c r="I24">
        <f>IF([@Bib]="","",XLOOKUP([@Bib],tblStage3[Bib],tblStage3[NetSeconds],""))</f>
      </c>
      <c r="J24">
        <f>IF(COUNTA([@S1NetSec],[@S2NetSec],[@S3NetSec])=0,"",[@S1NetSec]+[@S2NetSec]+[@S3NetSec])</f>
      </c>
      <c r="K24" s="3">
        <f>IF([@TotalSec]="","",[@TotalSec]/86400)</f>
      </c>
      <c r="L24">
        <f>IF([@Status]&lt;&gt;"Active","",RANK([@TotalSec],FILTER(tblGC[TotalSec],tblGC[Status]="Active"),1))</f>
      </c>
    </row>
    <row r="25" spans="1:12" x14ac:dyDescent="0.25">
      <c r="A25">
        <f>IFERROR(INDEX(tblReg[Bib],ROW()-ROW(tblGC[#Headers])),"")</f>
      </c>
      <c r="B25">
        <f>IF([@Bib]="","",XLOOKUP([@Bib],tblReg[Bib],tblReg[Field],""))</f>
      </c>
      <c r="C25">
        <f>IF([@Bib]="","",XLOOKUP([@Bib],tblReg[Bib],tblReg[FirstName],""))</f>
      </c>
      <c r="D25">
        <f>IF([@Bib]="","",XLOOKUP([@Bib],tblReg[Bib],tblReg[LastName],""))</f>
      </c>
      <c r="E25">
        <f>IF([@Bib]="","",XLOOKUP([@Bib],tblReg[Bib],tblReg[Team],""))</f>
      </c>
      <c r="F25">
        <f>IF([@Bib]="","",XLOOKUP([@Bib],tblReg[Bib],tblReg[Status],""))</f>
      </c>
      <c r="G25">
        <f>IF([@Bib]="","",XLOOKUP([@Bib],tblStage1[Bib],tblStage1[NetSeconds],""))</f>
      </c>
      <c r="H25">
        <f>IF([@Bib]="","",XLOOKUP([@Bib],tblStage2[Bib],tblStage2[NetSeconds],""))</f>
      </c>
      <c r="I25">
        <f>IF([@Bib]="","",XLOOKUP([@Bib],tblStage3[Bib],tblStage3[NetSeconds],""))</f>
      </c>
      <c r="J25">
        <f>IF(COUNTA([@S1NetSec],[@S2NetSec],[@S3NetSec])=0,"",[@S1NetSec]+[@S2NetSec]+[@S3NetSec])</f>
      </c>
      <c r="K25" s="3">
        <f>IF([@TotalSec]="","",[@TotalSec]/86400)</f>
      </c>
      <c r="L25">
        <f>IF([@Status]&lt;&gt;"Active","",RANK([@TotalSec],FILTER(tblGC[TotalSec],tblGC[Status]="Active"),1))</f>
      </c>
    </row>
    <row r="26" spans="1:12" x14ac:dyDescent="0.25">
      <c r="A26">
        <f>IFERROR(INDEX(tblReg[Bib],ROW()-ROW(tblGC[#Headers])),"")</f>
      </c>
      <c r="B26">
        <f>IF([@Bib]="","",XLOOKUP([@Bib],tblReg[Bib],tblReg[Field],""))</f>
      </c>
      <c r="C26">
        <f>IF([@Bib]="","",XLOOKUP([@Bib],tblReg[Bib],tblReg[FirstName],""))</f>
      </c>
      <c r="D26">
        <f>IF([@Bib]="","",XLOOKUP([@Bib],tblReg[Bib],tblReg[LastName],""))</f>
      </c>
      <c r="E26">
        <f>IF([@Bib]="","",XLOOKUP([@Bib],tblReg[Bib],tblReg[Team],""))</f>
      </c>
      <c r="F26">
        <f>IF([@Bib]="","",XLOOKUP([@Bib],tblReg[Bib],tblReg[Status],""))</f>
      </c>
      <c r="G26">
        <f>IF([@Bib]="","",XLOOKUP([@Bib],tblStage1[Bib],tblStage1[NetSeconds],""))</f>
      </c>
      <c r="H26">
        <f>IF([@Bib]="","",XLOOKUP([@Bib],tblStage2[Bib],tblStage2[NetSeconds],""))</f>
      </c>
      <c r="I26">
        <f>IF([@Bib]="","",XLOOKUP([@Bib],tblStage3[Bib],tblStage3[NetSeconds],""))</f>
      </c>
      <c r="J26">
        <f>IF(COUNTA([@S1NetSec],[@S2NetSec],[@S3NetSec])=0,"",[@S1NetSec]+[@S2NetSec]+[@S3NetSec])</f>
      </c>
      <c r="K26" s="3">
        <f>IF([@TotalSec]="","",[@TotalSec]/86400)</f>
      </c>
      <c r="L26">
        <f>IF([@Status]&lt;&gt;"Active","",RANK([@TotalSec],FILTER(tblGC[TotalSec],tblGC[Status]="Active"),1))</f>
      </c>
    </row>
    <row r="27" spans="1:12" x14ac:dyDescent="0.25">
      <c r="A27">
        <f>IFERROR(INDEX(tblReg[Bib],ROW()-ROW(tblGC[#Headers])),"")</f>
      </c>
      <c r="B27">
        <f>IF([@Bib]="","",XLOOKUP([@Bib],tblReg[Bib],tblReg[Field],""))</f>
      </c>
      <c r="C27">
        <f>IF([@Bib]="","",XLOOKUP([@Bib],tblReg[Bib],tblReg[FirstName],""))</f>
      </c>
      <c r="D27">
        <f>IF([@Bib]="","",XLOOKUP([@Bib],tblReg[Bib],tblReg[LastName],""))</f>
      </c>
      <c r="E27">
        <f>IF([@Bib]="","",XLOOKUP([@Bib],tblReg[Bib],tblReg[Team],""))</f>
      </c>
      <c r="F27">
        <f>IF([@Bib]="","",XLOOKUP([@Bib],tblReg[Bib],tblReg[Status],""))</f>
      </c>
      <c r="G27">
        <f>IF([@Bib]="","",XLOOKUP([@Bib],tblStage1[Bib],tblStage1[NetSeconds],""))</f>
      </c>
      <c r="H27">
        <f>IF([@Bib]="","",XLOOKUP([@Bib],tblStage2[Bib],tblStage2[NetSeconds],""))</f>
      </c>
      <c r="I27">
        <f>IF([@Bib]="","",XLOOKUP([@Bib],tblStage3[Bib],tblStage3[NetSeconds],""))</f>
      </c>
      <c r="J27">
        <f>IF(COUNTA([@S1NetSec],[@S2NetSec],[@S3NetSec])=0,"",[@S1NetSec]+[@S2NetSec]+[@S3NetSec])</f>
      </c>
      <c r="K27" s="3">
        <f>IF([@TotalSec]="","",[@TotalSec]/86400)</f>
      </c>
      <c r="L27">
        <f>IF([@Status]&lt;&gt;"Active","",RANK([@TotalSec],FILTER(tblGC[TotalSec],tblGC[Status]="Active"),1))</f>
      </c>
    </row>
    <row r="28" spans="1:12" x14ac:dyDescent="0.25">
      <c r="A28">
        <f>IFERROR(INDEX(tblReg[Bib],ROW()-ROW(tblGC[#Headers])),"")</f>
      </c>
      <c r="B28">
        <f>IF([@Bib]="","",XLOOKUP([@Bib],tblReg[Bib],tblReg[Field],""))</f>
      </c>
      <c r="C28">
        <f>IF([@Bib]="","",XLOOKUP([@Bib],tblReg[Bib],tblReg[FirstName],""))</f>
      </c>
      <c r="D28">
        <f>IF([@Bib]="","",XLOOKUP([@Bib],tblReg[Bib],tblReg[LastName],""))</f>
      </c>
      <c r="E28">
        <f>IF([@Bib]="","",XLOOKUP([@Bib],tblReg[Bib],tblReg[Team],""))</f>
      </c>
      <c r="F28">
        <f>IF([@Bib]="","",XLOOKUP([@Bib],tblReg[Bib],tblReg[Status],""))</f>
      </c>
      <c r="G28">
        <f>IF([@Bib]="","",XLOOKUP([@Bib],tblStage1[Bib],tblStage1[NetSeconds],""))</f>
      </c>
      <c r="H28">
        <f>IF([@Bib]="","",XLOOKUP([@Bib],tblStage2[Bib],tblStage2[NetSeconds],""))</f>
      </c>
      <c r="I28">
        <f>IF([@Bib]="","",XLOOKUP([@Bib],tblStage3[Bib],tblStage3[NetSeconds],""))</f>
      </c>
      <c r="J28">
        <f>IF(COUNTA([@S1NetSec],[@S2NetSec],[@S3NetSec])=0,"",[@S1NetSec]+[@S2NetSec]+[@S3NetSec])</f>
      </c>
      <c r="K28" s="3">
        <f>IF([@TotalSec]="","",[@TotalSec]/86400)</f>
      </c>
      <c r="L28">
        <f>IF([@Status]&lt;&gt;"Active","",RANK([@TotalSec],FILTER(tblGC[TotalSec],tblGC[Status]="Active"),1))</f>
      </c>
    </row>
    <row r="29" spans="1:12" x14ac:dyDescent="0.25">
      <c r="A29">
        <f>IFERROR(INDEX(tblReg[Bib],ROW()-ROW(tblGC[#Headers])),"")</f>
      </c>
      <c r="B29">
        <f>IF([@Bib]="","",XLOOKUP([@Bib],tblReg[Bib],tblReg[Field],""))</f>
      </c>
      <c r="C29">
        <f>IF([@Bib]="","",XLOOKUP([@Bib],tblReg[Bib],tblReg[FirstName],""))</f>
      </c>
      <c r="D29">
        <f>IF([@Bib]="","",XLOOKUP([@Bib],tblReg[Bib],tblReg[LastName],""))</f>
      </c>
      <c r="E29">
        <f>IF([@Bib]="","",XLOOKUP([@Bib],tblReg[Bib],tblReg[Team],""))</f>
      </c>
      <c r="F29">
        <f>IF([@Bib]="","",XLOOKUP([@Bib],tblReg[Bib],tblReg[Status],""))</f>
      </c>
      <c r="G29">
        <f>IF([@Bib]="","",XLOOKUP([@Bib],tblStage1[Bib],tblStage1[NetSeconds],""))</f>
      </c>
      <c r="H29">
        <f>IF([@Bib]="","",XLOOKUP([@Bib],tblStage2[Bib],tblStage2[NetSeconds],""))</f>
      </c>
      <c r="I29">
        <f>IF([@Bib]="","",XLOOKUP([@Bib],tblStage3[Bib],tblStage3[NetSeconds],""))</f>
      </c>
      <c r="J29">
        <f>IF(COUNTA([@S1NetSec],[@S2NetSec],[@S3NetSec])=0,"",[@S1NetSec]+[@S2NetSec]+[@S3NetSec])</f>
      </c>
      <c r="K29" s="3">
        <f>IF([@TotalSec]="","",[@TotalSec]/86400)</f>
      </c>
      <c r="L29">
        <f>IF([@Status]&lt;&gt;"Active","",RANK([@TotalSec],FILTER(tblGC[TotalSec],tblGC[Status]="Active"),1))</f>
      </c>
    </row>
    <row r="30" spans="1:12" x14ac:dyDescent="0.25">
      <c r="A30">
        <f>IFERROR(INDEX(tblReg[Bib],ROW()-ROW(tblGC[#Headers])),"")</f>
      </c>
      <c r="B30">
        <f>IF([@Bib]="","",XLOOKUP([@Bib],tblReg[Bib],tblReg[Field],""))</f>
      </c>
      <c r="C30">
        <f>IF([@Bib]="","",XLOOKUP([@Bib],tblReg[Bib],tblReg[FirstName],""))</f>
      </c>
      <c r="D30">
        <f>IF([@Bib]="","",XLOOKUP([@Bib],tblReg[Bib],tblReg[LastName],""))</f>
      </c>
      <c r="E30">
        <f>IF([@Bib]="","",XLOOKUP([@Bib],tblReg[Bib],tblReg[Team],""))</f>
      </c>
      <c r="F30">
        <f>IF([@Bib]="","",XLOOKUP([@Bib],tblReg[Bib],tblReg[Status],""))</f>
      </c>
      <c r="G30">
        <f>IF([@Bib]="","",XLOOKUP([@Bib],tblStage1[Bib],tblStage1[NetSeconds],""))</f>
      </c>
      <c r="H30">
        <f>IF([@Bib]="","",XLOOKUP([@Bib],tblStage2[Bib],tblStage2[NetSeconds],""))</f>
      </c>
      <c r="I30">
        <f>IF([@Bib]="","",XLOOKUP([@Bib],tblStage3[Bib],tblStage3[NetSeconds],""))</f>
      </c>
      <c r="J30">
        <f>IF(COUNTA([@S1NetSec],[@S2NetSec],[@S3NetSec])=0,"",[@S1NetSec]+[@S2NetSec]+[@S3NetSec])</f>
      </c>
      <c r="K30" s="3">
        <f>IF([@TotalSec]="","",[@TotalSec]/86400)</f>
      </c>
      <c r="L30">
        <f>IF([@Status]&lt;&gt;"Active","",RANK([@TotalSec],FILTER(tblGC[TotalSec],tblGC[Status]="Active"),1))</f>
      </c>
    </row>
    <row r="31" spans="1:12" x14ac:dyDescent="0.25">
      <c r="A31">
        <f>IFERROR(INDEX(tblReg[Bib],ROW()-ROW(tblGC[#Headers])),"")</f>
      </c>
      <c r="B31">
        <f>IF([@Bib]="","",XLOOKUP([@Bib],tblReg[Bib],tblReg[Field],""))</f>
      </c>
      <c r="C31">
        <f>IF([@Bib]="","",XLOOKUP([@Bib],tblReg[Bib],tblReg[FirstName],""))</f>
      </c>
      <c r="D31">
        <f>IF([@Bib]="","",XLOOKUP([@Bib],tblReg[Bib],tblReg[LastName],""))</f>
      </c>
      <c r="E31">
        <f>IF([@Bib]="","",XLOOKUP([@Bib],tblReg[Bib],tblReg[Team],""))</f>
      </c>
      <c r="F31">
        <f>IF([@Bib]="","",XLOOKUP([@Bib],tblReg[Bib],tblReg[Status],""))</f>
      </c>
      <c r="G31">
        <f>IF([@Bib]="","",XLOOKUP([@Bib],tblStage1[Bib],tblStage1[NetSeconds],""))</f>
      </c>
      <c r="H31">
        <f>IF([@Bib]="","",XLOOKUP([@Bib],tblStage2[Bib],tblStage2[NetSeconds],""))</f>
      </c>
      <c r="I31">
        <f>IF([@Bib]="","",XLOOKUP([@Bib],tblStage3[Bib],tblStage3[NetSeconds],""))</f>
      </c>
      <c r="J31">
        <f>IF(COUNTA([@S1NetSec],[@S2NetSec],[@S3NetSec])=0,"",[@S1NetSec]+[@S2NetSec]+[@S3NetSec])</f>
      </c>
      <c r="K31" s="3">
        <f>IF([@TotalSec]="","",[@TotalSec]/86400)</f>
      </c>
      <c r="L31">
        <f>IF([@Status]&lt;&gt;"Active","",RANK([@TotalSec],FILTER(tblGC[TotalSec],tblGC[Status]="Active"),1))</f>
      </c>
    </row>
    <row r="32" spans="1:12" x14ac:dyDescent="0.25">
      <c r="A32">
        <f>IFERROR(INDEX(tblReg[Bib],ROW()-ROW(tblGC[#Headers])),"")</f>
      </c>
      <c r="B32">
        <f>IF([@Bib]="","",XLOOKUP([@Bib],tblReg[Bib],tblReg[Field],""))</f>
      </c>
      <c r="C32">
        <f>IF([@Bib]="","",XLOOKUP([@Bib],tblReg[Bib],tblReg[FirstName],""))</f>
      </c>
      <c r="D32">
        <f>IF([@Bib]="","",XLOOKUP([@Bib],tblReg[Bib],tblReg[LastName],""))</f>
      </c>
      <c r="E32">
        <f>IF([@Bib]="","",XLOOKUP([@Bib],tblReg[Bib],tblReg[Team],""))</f>
      </c>
      <c r="F32">
        <f>IF([@Bib]="","",XLOOKUP([@Bib],tblReg[Bib],tblReg[Status],""))</f>
      </c>
      <c r="G32">
        <f>IF([@Bib]="","",XLOOKUP([@Bib],tblStage1[Bib],tblStage1[NetSeconds],""))</f>
      </c>
      <c r="H32">
        <f>IF([@Bib]="","",XLOOKUP([@Bib],tblStage2[Bib],tblStage2[NetSeconds],""))</f>
      </c>
      <c r="I32">
        <f>IF([@Bib]="","",XLOOKUP([@Bib],tblStage3[Bib],tblStage3[NetSeconds],""))</f>
      </c>
      <c r="J32">
        <f>IF(COUNTA([@S1NetSec],[@S2NetSec],[@S3NetSec])=0,"",[@S1NetSec]+[@S2NetSec]+[@S3NetSec])</f>
      </c>
      <c r="K32" s="3">
        <f>IF([@TotalSec]="","",[@TotalSec]/86400)</f>
      </c>
      <c r="L32">
        <f>IF([@Status]&lt;&gt;"Active","",RANK([@TotalSec],FILTER(tblGC[TotalSec],tblGC[Status]="Active"),1))</f>
      </c>
    </row>
    <row r="33" spans="1:12" x14ac:dyDescent="0.25">
      <c r="A33">
        <f>IFERROR(INDEX(tblReg[Bib],ROW()-ROW(tblGC[#Headers])),"")</f>
      </c>
      <c r="B33">
        <f>IF([@Bib]="","",XLOOKUP([@Bib],tblReg[Bib],tblReg[Field],""))</f>
      </c>
      <c r="C33">
        <f>IF([@Bib]="","",XLOOKUP([@Bib],tblReg[Bib],tblReg[FirstName],""))</f>
      </c>
      <c r="D33">
        <f>IF([@Bib]="","",XLOOKUP([@Bib],tblReg[Bib],tblReg[LastName],""))</f>
      </c>
      <c r="E33">
        <f>IF([@Bib]="","",XLOOKUP([@Bib],tblReg[Bib],tblReg[Team],""))</f>
      </c>
      <c r="F33">
        <f>IF([@Bib]="","",XLOOKUP([@Bib],tblReg[Bib],tblReg[Status],""))</f>
      </c>
      <c r="G33">
        <f>IF([@Bib]="","",XLOOKUP([@Bib],tblStage1[Bib],tblStage1[NetSeconds],""))</f>
      </c>
      <c r="H33">
        <f>IF([@Bib]="","",XLOOKUP([@Bib],tblStage2[Bib],tblStage2[NetSeconds],""))</f>
      </c>
      <c r="I33">
        <f>IF([@Bib]="","",XLOOKUP([@Bib],tblStage3[Bib],tblStage3[NetSeconds],""))</f>
      </c>
      <c r="J33">
        <f>IF(COUNTA([@S1NetSec],[@S2NetSec],[@S3NetSec])=0,"",[@S1NetSec]+[@S2NetSec]+[@S3NetSec])</f>
      </c>
      <c r="K33" s="3">
        <f>IF([@TotalSec]="","",[@TotalSec]/86400)</f>
      </c>
      <c r="L33">
        <f>IF([@Status]&lt;&gt;"Active","",RANK([@TotalSec],FILTER(tblGC[TotalSec],tblGC[Status]="Active"),1))</f>
      </c>
    </row>
    <row r="34" spans="1:12" x14ac:dyDescent="0.25">
      <c r="A34">
        <f>IFERROR(INDEX(tblReg[Bib],ROW()-ROW(tblGC[#Headers])),"")</f>
      </c>
      <c r="B34">
        <f>IF([@Bib]="","",XLOOKUP([@Bib],tblReg[Bib],tblReg[Field],""))</f>
      </c>
      <c r="C34">
        <f>IF([@Bib]="","",XLOOKUP([@Bib],tblReg[Bib],tblReg[FirstName],""))</f>
      </c>
      <c r="D34">
        <f>IF([@Bib]="","",XLOOKUP([@Bib],tblReg[Bib],tblReg[LastName],""))</f>
      </c>
      <c r="E34">
        <f>IF([@Bib]="","",XLOOKUP([@Bib],tblReg[Bib],tblReg[Team],""))</f>
      </c>
      <c r="F34">
        <f>IF([@Bib]="","",XLOOKUP([@Bib],tblReg[Bib],tblReg[Status],""))</f>
      </c>
      <c r="G34">
        <f>IF([@Bib]="","",XLOOKUP([@Bib],tblStage1[Bib],tblStage1[NetSeconds],""))</f>
      </c>
      <c r="H34">
        <f>IF([@Bib]="","",XLOOKUP([@Bib],tblStage2[Bib],tblStage2[NetSeconds],""))</f>
      </c>
      <c r="I34">
        <f>IF([@Bib]="","",XLOOKUP([@Bib],tblStage3[Bib],tblStage3[NetSeconds],""))</f>
      </c>
      <c r="J34">
        <f>IF(COUNTA([@S1NetSec],[@S2NetSec],[@S3NetSec])=0,"",[@S1NetSec]+[@S2NetSec]+[@S3NetSec])</f>
      </c>
      <c r="K34" s="3">
        <f>IF([@TotalSec]="","",[@TotalSec]/86400)</f>
      </c>
      <c r="L34">
        <f>IF([@Status]&lt;&gt;"Active","",RANK([@TotalSec],FILTER(tblGC[TotalSec],tblGC[Status]="Active"),1))</f>
      </c>
    </row>
    <row r="35" spans="1:12" x14ac:dyDescent="0.25">
      <c r="A35">
        <f>IFERROR(INDEX(tblReg[Bib],ROW()-ROW(tblGC[#Headers])),"")</f>
      </c>
      <c r="B35">
        <f>IF([@Bib]="","",XLOOKUP([@Bib],tblReg[Bib],tblReg[Field],""))</f>
      </c>
      <c r="C35">
        <f>IF([@Bib]="","",XLOOKUP([@Bib],tblReg[Bib],tblReg[FirstName],""))</f>
      </c>
      <c r="D35">
        <f>IF([@Bib]="","",XLOOKUP([@Bib],tblReg[Bib],tblReg[LastName],""))</f>
      </c>
      <c r="E35">
        <f>IF([@Bib]="","",XLOOKUP([@Bib],tblReg[Bib],tblReg[Team],""))</f>
      </c>
      <c r="F35">
        <f>IF([@Bib]="","",XLOOKUP([@Bib],tblReg[Bib],tblReg[Status],""))</f>
      </c>
      <c r="G35">
        <f>IF([@Bib]="","",XLOOKUP([@Bib],tblStage1[Bib],tblStage1[NetSeconds],""))</f>
      </c>
      <c r="H35">
        <f>IF([@Bib]="","",XLOOKUP([@Bib],tblStage2[Bib],tblStage2[NetSeconds],""))</f>
      </c>
      <c r="I35">
        <f>IF([@Bib]="","",XLOOKUP([@Bib],tblStage3[Bib],tblStage3[NetSeconds],""))</f>
      </c>
      <c r="J35">
        <f>IF(COUNTA([@S1NetSec],[@S2NetSec],[@S3NetSec])=0,"",[@S1NetSec]+[@S2NetSec]+[@S3NetSec])</f>
      </c>
      <c r="K35" s="3">
        <f>IF([@TotalSec]="","",[@TotalSec]/86400)</f>
      </c>
      <c r="L35">
        <f>IF([@Status]&lt;&gt;"Active","",RANK([@TotalSec],FILTER(tblGC[TotalSec],tblGC[Status]="Active"),1))</f>
      </c>
    </row>
    <row r="36" spans="1:12" x14ac:dyDescent="0.25">
      <c r="A36">
        <f>IFERROR(INDEX(tblReg[Bib],ROW()-ROW(tblGC[#Headers])),"")</f>
      </c>
      <c r="B36">
        <f>IF([@Bib]="","",XLOOKUP([@Bib],tblReg[Bib],tblReg[Field],""))</f>
      </c>
      <c r="C36">
        <f>IF([@Bib]="","",XLOOKUP([@Bib],tblReg[Bib],tblReg[FirstName],""))</f>
      </c>
      <c r="D36">
        <f>IF([@Bib]="","",XLOOKUP([@Bib],tblReg[Bib],tblReg[LastName],""))</f>
      </c>
      <c r="E36">
        <f>IF([@Bib]="","",XLOOKUP([@Bib],tblReg[Bib],tblReg[Team],""))</f>
      </c>
      <c r="F36">
        <f>IF([@Bib]="","",XLOOKUP([@Bib],tblReg[Bib],tblReg[Status],""))</f>
      </c>
      <c r="G36">
        <f>IF([@Bib]="","",XLOOKUP([@Bib],tblStage1[Bib],tblStage1[NetSeconds],""))</f>
      </c>
      <c r="H36">
        <f>IF([@Bib]="","",XLOOKUP([@Bib],tblStage2[Bib],tblStage2[NetSeconds],""))</f>
      </c>
      <c r="I36">
        <f>IF([@Bib]="","",XLOOKUP([@Bib],tblStage3[Bib],tblStage3[NetSeconds],""))</f>
      </c>
      <c r="J36">
        <f>IF(COUNTA([@S1NetSec],[@S2NetSec],[@S3NetSec])=0,"",[@S1NetSec]+[@S2NetSec]+[@S3NetSec])</f>
      </c>
      <c r="K36" s="3">
        <f>IF([@TotalSec]="","",[@TotalSec]/86400)</f>
      </c>
      <c r="L36">
        <f>IF([@Status]&lt;&gt;"Active","",RANK([@TotalSec],FILTER(tblGC[TotalSec],tblGC[Status]="Active"),1))</f>
      </c>
    </row>
    <row r="37" spans="1:12" x14ac:dyDescent="0.25">
      <c r="A37">
        <f>IFERROR(INDEX(tblReg[Bib],ROW()-ROW(tblGC[#Headers])),"")</f>
      </c>
      <c r="B37">
        <f>IF([@Bib]="","",XLOOKUP([@Bib],tblReg[Bib],tblReg[Field],""))</f>
      </c>
      <c r="C37">
        <f>IF([@Bib]="","",XLOOKUP([@Bib],tblReg[Bib],tblReg[FirstName],""))</f>
      </c>
      <c r="D37">
        <f>IF([@Bib]="","",XLOOKUP([@Bib],tblReg[Bib],tblReg[LastName],""))</f>
      </c>
      <c r="E37">
        <f>IF([@Bib]="","",XLOOKUP([@Bib],tblReg[Bib],tblReg[Team],""))</f>
      </c>
      <c r="F37">
        <f>IF([@Bib]="","",XLOOKUP([@Bib],tblReg[Bib],tblReg[Status],""))</f>
      </c>
      <c r="G37">
        <f>IF([@Bib]="","",XLOOKUP([@Bib],tblStage1[Bib],tblStage1[NetSeconds],""))</f>
      </c>
      <c r="H37">
        <f>IF([@Bib]="","",XLOOKUP([@Bib],tblStage2[Bib],tblStage2[NetSeconds],""))</f>
      </c>
      <c r="I37">
        <f>IF([@Bib]="","",XLOOKUP([@Bib],tblStage3[Bib],tblStage3[NetSeconds],""))</f>
      </c>
      <c r="J37">
        <f>IF(COUNTA([@S1NetSec],[@S2NetSec],[@S3NetSec])=0,"",[@S1NetSec]+[@S2NetSec]+[@S3NetSec])</f>
      </c>
      <c r="K37" s="3">
        <f>IF([@TotalSec]="","",[@TotalSec]/86400)</f>
      </c>
      <c r="L37">
        <f>IF([@Status]&lt;&gt;"Active","",RANK([@TotalSec],FILTER(tblGC[TotalSec],tblGC[Status]="Active"),1))</f>
      </c>
    </row>
    <row r="38" spans="1:12" x14ac:dyDescent="0.25">
      <c r="A38">
        <f>IFERROR(INDEX(tblReg[Bib],ROW()-ROW(tblGC[#Headers])),"")</f>
      </c>
      <c r="B38">
        <f>IF([@Bib]="","",XLOOKUP([@Bib],tblReg[Bib],tblReg[Field],""))</f>
      </c>
      <c r="C38">
        <f>IF([@Bib]="","",XLOOKUP([@Bib],tblReg[Bib],tblReg[FirstName],""))</f>
      </c>
      <c r="D38">
        <f>IF([@Bib]="","",XLOOKUP([@Bib],tblReg[Bib],tblReg[LastName],""))</f>
      </c>
      <c r="E38">
        <f>IF([@Bib]="","",XLOOKUP([@Bib],tblReg[Bib],tblReg[Team],""))</f>
      </c>
      <c r="F38">
        <f>IF([@Bib]="","",XLOOKUP([@Bib],tblReg[Bib],tblReg[Status],""))</f>
      </c>
      <c r="G38">
        <f>IF([@Bib]="","",XLOOKUP([@Bib],tblStage1[Bib],tblStage1[NetSeconds],""))</f>
      </c>
      <c r="H38">
        <f>IF([@Bib]="","",XLOOKUP([@Bib],tblStage2[Bib],tblStage2[NetSeconds],""))</f>
      </c>
      <c r="I38">
        <f>IF([@Bib]="","",XLOOKUP([@Bib],tblStage3[Bib],tblStage3[NetSeconds],""))</f>
      </c>
      <c r="J38">
        <f>IF(COUNTA([@S1NetSec],[@S2NetSec],[@S3NetSec])=0,"",[@S1NetSec]+[@S2NetSec]+[@S3NetSec])</f>
      </c>
      <c r="K38" s="3">
        <f>IF([@TotalSec]="","",[@TotalSec]/86400)</f>
      </c>
      <c r="L38">
        <f>IF([@Status]&lt;&gt;"Active","",RANK([@TotalSec],FILTER(tblGC[TotalSec],tblGC[Status]="Active"),1))</f>
      </c>
    </row>
    <row r="39" spans="1:12" x14ac:dyDescent="0.25">
      <c r="A39">
        <f>IFERROR(INDEX(tblReg[Bib],ROW()-ROW(tblGC[#Headers])),"")</f>
      </c>
      <c r="B39">
        <f>IF([@Bib]="","",XLOOKUP([@Bib],tblReg[Bib],tblReg[Field],""))</f>
      </c>
      <c r="C39">
        <f>IF([@Bib]="","",XLOOKUP([@Bib],tblReg[Bib],tblReg[FirstName],""))</f>
      </c>
      <c r="D39">
        <f>IF([@Bib]="","",XLOOKUP([@Bib],tblReg[Bib],tblReg[LastName],""))</f>
      </c>
      <c r="E39">
        <f>IF([@Bib]="","",XLOOKUP([@Bib],tblReg[Bib],tblReg[Team],""))</f>
      </c>
      <c r="F39">
        <f>IF([@Bib]="","",XLOOKUP([@Bib],tblReg[Bib],tblReg[Status],""))</f>
      </c>
      <c r="G39">
        <f>IF([@Bib]="","",XLOOKUP([@Bib],tblStage1[Bib],tblStage1[NetSeconds],""))</f>
      </c>
      <c r="H39">
        <f>IF([@Bib]="","",XLOOKUP([@Bib],tblStage2[Bib],tblStage2[NetSeconds],""))</f>
      </c>
      <c r="I39">
        <f>IF([@Bib]="","",XLOOKUP([@Bib],tblStage3[Bib],tblStage3[NetSeconds],""))</f>
      </c>
      <c r="J39">
        <f>IF(COUNTA([@S1NetSec],[@S2NetSec],[@S3NetSec])=0,"",[@S1NetSec]+[@S2NetSec]+[@S3NetSec])</f>
      </c>
      <c r="K39" s="3">
        <f>IF([@TotalSec]="","",[@TotalSec]/86400)</f>
      </c>
      <c r="L39">
        <f>IF([@Status]&lt;&gt;"Active","",RANK([@TotalSec],FILTER(tblGC[TotalSec],tblGC[Status]="Active"),1))</f>
      </c>
    </row>
    <row r="40" spans="1:12" x14ac:dyDescent="0.25">
      <c r="A40">
        <f>IFERROR(INDEX(tblReg[Bib],ROW()-ROW(tblGC[#Headers])),"")</f>
      </c>
      <c r="B40">
        <f>IF([@Bib]="","",XLOOKUP([@Bib],tblReg[Bib],tblReg[Field],""))</f>
      </c>
      <c r="C40">
        <f>IF([@Bib]="","",XLOOKUP([@Bib],tblReg[Bib],tblReg[FirstName],""))</f>
      </c>
      <c r="D40">
        <f>IF([@Bib]="","",XLOOKUP([@Bib],tblReg[Bib],tblReg[LastName],""))</f>
      </c>
      <c r="E40">
        <f>IF([@Bib]="","",XLOOKUP([@Bib],tblReg[Bib],tblReg[Team],""))</f>
      </c>
      <c r="F40">
        <f>IF([@Bib]="","",XLOOKUP([@Bib],tblReg[Bib],tblReg[Status],""))</f>
      </c>
      <c r="G40">
        <f>IF([@Bib]="","",XLOOKUP([@Bib],tblStage1[Bib],tblStage1[NetSeconds],""))</f>
      </c>
      <c r="H40">
        <f>IF([@Bib]="","",XLOOKUP([@Bib],tblStage2[Bib],tblStage2[NetSeconds],""))</f>
      </c>
      <c r="I40">
        <f>IF([@Bib]="","",XLOOKUP([@Bib],tblStage3[Bib],tblStage3[NetSeconds],""))</f>
      </c>
      <c r="J40">
        <f>IF(COUNTA([@S1NetSec],[@S2NetSec],[@S3NetSec])=0,"",[@S1NetSec]+[@S2NetSec]+[@S3NetSec])</f>
      </c>
      <c r="K40" s="3">
        <f>IF([@TotalSec]="","",[@TotalSec]/86400)</f>
      </c>
      <c r="L40">
        <f>IF([@Status]&lt;&gt;"Active","",RANK([@TotalSec],FILTER(tblGC[TotalSec],tblGC[Status]="Active"),1))</f>
      </c>
    </row>
    <row r="41" spans="1:12" x14ac:dyDescent="0.25">
      <c r="A41">
        <f>IFERROR(INDEX(tblReg[Bib],ROW()-ROW(tblGC[#Headers])),"")</f>
      </c>
      <c r="B41">
        <f>IF([@Bib]="","",XLOOKUP([@Bib],tblReg[Bib],tblReg[Field],""))</f>
      </c>
      <c r="C41">
        <f>IF([@Bib]="","",XLOOKUP([@Bib],tblReg[Bib],tblReg[FirstName],""))</f>
      </c>
      <c r="D41">
        <f>IF([@Bib]="","",XLOOKUP([@Bib],tblReg[Bib],tblReg[LastName],""))</f>
      </c>
      <c r="E41">
        <f>IF([@Bib]="","",XLOOKUP([@Bib],tblReg[Bib],tblReg[Team],""))</f>
      </c>
      <c r="F41">
        <f>IF([@Bib]="","",XLOOKUP([@Bib],tblReg[Bib],tblReg[Status],""))</f>
      </c>
      <c r="G41">
        <f>IF([@Bib]="","",XLOOKUP([@Bib],tblStage1[Bib],tblStage1[NetSeconds],""))</f>
      </c>
      <c r="H41">
        <f>IF([@Bib]="","",XLOOKUP([@Bib],tblStage2[Bib],tblStage2[NetSeconds],""))</f>
      </c>
      <c r="I41">
        <f>IF([@Bib]="","",XLOOKUP([@Bib],tblStage3[Bib],tblStage3[NetSeconds],""))</f>
      </c>
      <c r="J41">
        <f>IF(COUNTA([@S1NetSec],[@S2NetSec],[@S3NetSec])=0,"",[@S1NetSec]+[@S2NetSec]+[@S3NetSec])</f>
      </c>
      <c r="K41" s="3">
        <f>IF([@TotalSec]="","",[@TotalSec]/86400)</f>
      </c>
      <c r="L41">
        <f>IF([@Status]&lt;&gt;"Active","",RANK([@TotalSec],FILTER(tblGC[TotalSec],tblGC[Status]="Active"),1))</f>
      </c>
    </row>
    <row r="42" spans="1:12" x14ac:dyDescent="0.25">
      <c r="A42">
        <f>IFERROR(INDEX(tblReg[Bib],ROW()-ROW(tblGC[#Headers])),"")</f>
      </c>
      <c r="B42">
        <f>IF([@Bib]="","",XLOOKUP([@Bib],tblReg[Bib],tblReg[Field],""))</f>
      </c>
      <c r="C42">
        <f>IF([@Bib]="","",XLOOKUP([@Bib],tblReg[Bib],tblReg[FirstName],""))</f>
      </c>
      <c r="D42">
        <f>IF([@Bib]="","",XLOOKUP([@Bib],tblReg[Bib],tblReg[LastName],""))</f>
      </c>
      <c r="E42">
        <f>IF([@Bib]="","",XLOOKUP([@Bib],tblReg[Bib],tblReg[Team],""))</f>
      </c>
      <c r="F42">
        <f>IF([@Bib]="","",XLOOKUP([@Bib],tblReg[Bib],tblReg[Status],""))</f>
      </c>
      <c r="G42">
        <f>IF([@Bib]="","",XLOOKUP([@Bib],tblStage1[Bib],tblStage1[NetSeconds],""))</f>
      </c>
      <c r="H42">
        <f>IF([@Bib]="","",XLOOKUP([@Bib],tblStage2[Bib],tblStage2[NetSeconds],""))</f>
      </c>
      <c r="I42">
        <f>IF([@Bib]="","",XLOOKUP([@Bib],tblStage3[Bib],tblStage3[NetSeconds],""))</f>
      </c>
      <c r="J42">
        <f>IF(COUNTA([@S1NetSec],[@S2NetSec],[@S3NetSec])=0,"",[@S1NetSec]+[@S2NetSec]+[@S3NetSec])</f>
      </c>
      <c r="K42" s="3">
        <f>IF([@TotalSec]="","",[@TotalSec]/86400)</f>
      </c>
      <c r="L42">
        <f>IF([@Status]&lt;&gt;"Active","",RANK([@TotalSec],FILTER(tblGC[TotalSec],tblGC[Status]="Active"),1))</f>
      </c>
    </row>
    <row r="43" spans="1:12" x14ac:dyDescent="0.25">
      <c r="A43">
        <f>IFERROR(INDEX(tblReg[Bib],ROW()-ROW(tblGC[#Headers])),"")</f>
      </c>
      <c r="B43">
        <f>IF([@Bib]="","",XLOOKUP([@Bib],tblReg[Bib],tblReg[Field],""))</f>
      </c>
      <c r="C43">
        <f>IF([@Bib]="","",XLOOKUP([@Bib],tblReg[Bib],tblReg[FirstName],""))</f>
      </c>
      <c r="D43">
        <f>IF([@Bib]="","",XLOOKUP([@Bib],tblReg[Bib],tblReg[LastName],""))</f>
      </c>
      <c r="E43">
        <f>IF([@Bib]="","",XLOOKUP([@Bib],tblReg[Bib],tblReg[Team],""))</f>
      </c>
      <c r="F43">
        <f>IF([@Bib]="","",XLOOKUP([@Bib],tblReg[Bib],tblReg[Status],""))</f>
      </c>
      <c r="G43">
        <f>IF([@Bib]="","",XLOOKUP([@Bib],tblStage1[Bib],tblStage1[NetSeconds],""))</f>
      </c>
      <c r="H43">
        <f>IF([@Bib]="","",XLOOKUP([@Bib],tblStage2[Bib],tblStage2[NetSeconds],""))</f>
      </c>
      <c r="I43">
        <f>IF([@Bib]="","",XLOOKUP([@Bib],tblStage3[Bib],tblStage3[NetSeconds],""))</f>
      </c>
      <c r="J43">
        <f>IF(COUNTA([@S1NetSec],[@S2NetSec],[@S3NetSec])=0,"",[@S1NetSec]+[@S2NetSec]+[@S3NetSec])</f>
      </c>
      <c r="K43" s="3">
        <f>IF([@TotalSec]="","",[@TotalSec]/86400)</f>
      </c>
      <c r="L43">
        <f>IF([@Status]&lt;&gt;"Active","",RANK([@TotalSec],FILTER(tblGC[TotalSec],tblGC[Status]="Active"),1))</f>
      </c>
    </row>
    <row r="44" spans="1:12" x14ac:dyDescent="0.25">
      <c r="A44">
        <f>IFERROR(INDEX(tblReg[Bib],ROW()-ROW(tblGC[#Headers])),"")</f>
      </c>
      <c r="B44">
        <f>IF([@Bib]="","",XLOOKUP([@Bib],tblReg[Bib],tblReg[Field],""))</f>
      </c>
      <c r="C44">
        <f>IF([@Bib]="","",XLOOKUP([@Bib],tblReg[Bib],tblReg[FirstName],""))</f>
      </c>
      <c r="D44">
        <f>IF([@Bib]="","",XLOOKUP([@Bib],tblReg[Bib],tblReg[LastName],""))</f>
      </c>
      <c r="E44">
        <f>IF([@Bib]="","",XLOOKUP([@Bib],tblReg[Bib],tblReg[Team],""))</f>
      </c>
      <c r="F44">
        <f>IF([@Bib]="","",XLOOKUP([@Bib],tblReg[Bib],tblReg[Status],""))</f>
      </c>
      <c r="G44">
        <f>IF([@Bib]="","",XLOOKUP([@Bib],tblStage1[Bib],tblStage1[NetSeconds],""))</f>
      </c>
      <c r="H44">
        <f>IF([@Bib]="","",XLOOKUP([@Bib],tblStage2[Bib],tblStage2[NetSeconds],""))</f>
      </c>
      <c r="I44">
        <f>IF([@Bib]="","",XLOOKUP([@Bib],tblStage3[Bib],tblStage3[NetSeconds],""))</f>
      </c>
      <c r="J44">
        <f>IF(COUNTA([@S1NetSec],[@S2NetSec],[@S3NetSec])=0,"",[@S1NetSec]+[@S2NetSec]+[@S3NetSec])</f>
      </c>
      <c r="K44" s="3">
        <f>IF([@TotalSec]="","",[@TotalSec]/86400)</f>
      </c>
      <c r="L44">
        <f>IF([@Status]&lt;&gt;"Active","",RANK([@TotalSec],FILTER(tblGC[TotalSec],tblGC[Status]="Active"),1))</f>
      </c>
    </row>
    <row r="45" spans="1:12" x14ac:dyDescent="0.25">
      <c r="A45">
        <f>IFERROR(INDEX(tblReg[Bib],ROW()-ROW(tblGC[#Headers])),"")</f>
      </c>
      <c r="B45">
        <f>IF([@Bib]="","",XLOOKUP([@Bib],tblReg[Bib],tblReg[Field],""))</f>
      </c>
      <c r="C45">
        <f>IF([@Bib]="","",XLOOKUP([@Bib],tblReg[Bib],tblReg[FirstName],""))</f>
      </c>
      <c r="D45">
        <f>IF([@Bib]="","",XLOOKUP([@Bib],tblReg[Bib],tblReg[LastName],""))</f>
      </c>
      <c r="E45">
        <f>IF([@Bib]="","",XLOOKUP([@Bib],tblReg[Bib],tblReg[Team],""))</f>
      </c>
      <c r="F45">
        <f>IF([@Bib]="","",XLOOKUP([@Bib],tblReg[Bib],tblReg[Status],""))</f>
      </c>
      <c r="G45">
        <f>IF([@Bib]="","",XLOOKUP([@Bib],tblStage1[Bib],tblStage1[NetSeconds],""))</f>
      </c>
      <c r="H45">
        <f>IF([@Bib]="","",XLOOKUP([@Bib],tblStage2[Bib],tblStage2[NetSeconds],""))</f>
      </c>
      <c r="I45">
        <f>IF([@Bib]="","",XLOOKUP([@Bib],tblStage3[Bib],tblStage3[NetSeconds],""))</f>
      </c>
      <c r="J45">
        <f>IF(COUNTA([@S1NetSec],[@S2NetSec],[@S3NetSec])=0,"",[@S1NetSec]+[@S2NetSec]+[@S3NetSec])</f>
      </c>
      <c r="K45" s="3">
        <f>IF([@TotalSec]="","",[@TotalSec]/86400)</f>
      </c>
      <c r="L45">
        <f>IF([@Status]&lt;&gt;"Active","",RANK([@TotalSec],FILTER(tblGC[TotalSec],tblGC[Status]="Active"),1))</f>
      </c>
    </row>
    <row r="46" spans="1:12" x14ac:dyDescent="0.25">
      <c r="A46">
        <f>IFERROR(INDEX(tblReg[Bib],ROW()-ROW(tblGC[#Headers])),"")</f>
      </c>
      <c r="B46">
        <f>IF([@Bib]="","",XLOOKUP([@Bib],tblReg[Bib],tblReg[Field],""))</f>
      </c>
      <c r="C46">
        <f>IF([@Bib]="","",XLOOKUP([@Bib],tblReg[Bib],tblReg[FirstName],""))</f>
      </c>
      <c r="D46">
        <f>IF([@Bib]="","",XLOOKUP([@Bib],tblReg[Bib],tblReg[LastName],""))</f>
      </c>
      <c r="E46">
        <f>IF([@Bib]="","",XLOOKUP([@Bib],tblReg[Bib],tblReg[Team],""))</f>
      </c>
      <c r="F46">
        <f>IF([@Bib]="","",XLOOKUP([@Bib],tblReg[Bib],tblReg[Status],""))</f>
      </c>
      <c r="G46">
        <f>IF([@Bib]="","",XLOOKUP([@Bib],tblStage1[Bib],tblStage1[NetSeconds],""))</f>
      </c>
      <c r="H46">
        <f>IF([@Bib]="","",XLOOKUP([@Bib],tblStage2[Bib],tblStage2[NetSeconds],""))</f>
      </c>
      <c r="I46">
        <f>IF([@Bib]="","",XLOOKUP([@Bib],tblStage3[Bib],tblStage3[NetSeconds],""))</f>
      </c>
      <c r="J46">
        <f>IF(COUNTA([@S1NetSec],[@S2NetSec],[@S3NetSec])=0,"",[@S1NetSec]+[@S2NetSec]+[@S3NetSec])</f>
      </c>
      <c r="K46" s="3">
        <f>IF([@TotalSec]="","",[@TotalSec]/86400)</f>
      </c>
      <c r="L46">
        <f>IF([@Status]&lt;&gt;"Active","",RANK([@TotalSec],FILTER(tblGC[TotalSec],tblGC[Status]="Active"),1))</f>
      </c>
    </row>
    <row r="47" spans="1:12" x14ac:dyDescent="0.25">
      <c r="A47">
        <f>IFERROR(INDEX(tblReg[Bib],ROW()-ROW(tblGC[#Headers])),"")</f>
      </c>
      <c r="B47">
        <f>IF([@Bib]="","",XLOOKUP([@Bib],tblReg[Bib],tblReg[Field],""))</f>
      </c>
      <c r="C47">
        <f>IF([@Bib]="","",XLOOKUP([@Bib],tblReg[Bib],tblReg[FirstName],""))</f>
      </c>
      <c r="D47">
        <f>IF([@Bib]="","",XLOOKUP([@Bib],tblReg[Bib],tblReg[LastName],""))</f>
      </c>
      <c r="E47">
        <f>IF([@Bib]="","",XLOOKUP([@Bib],tblReg[Bib],tblReg[Team],""))</f>
      </c>
      <c r="F47">
        <f>IF([@Bib]="","",XLOOKUP([@Bib],tblReg[Bib],tblReg[Status],""))</f>
      </c>
      <c r="G47">
        <f>IF([@Bib]="","",XLOOKUP([@Bib],tblStage1[Bib],tblStage1[NetSeconds],""))</f>
      </c>
      <c r="H47">
        <f>IF([@Bib]="","",XLOOKUP([@Bib],tblStage2[Bib],tblStage2[NetSeconds],""))</f>
      </c>
      <c r="I47">
        <f>IF([@Bib]="","",XLOOKUP([@Bib],tblStage3[Bib],tblStage3[NetSeconds],""))</f>
      </c>
      <c r="J47">
        <f>IF(COUNTA([@S1NetSec],[@S2NetSec],[@S3NetSec])=0,"",[@S1NetSec]+[@S2NetSec]+[@S3NetSec])</f>
      </c>
      <c r="K47" s="3">
        <f>IF([@TotalSec]="","",[@TotalSec]/86400)</f>
      </c>
      <c r="L47">
        <f>IF([@Status]&lt;&gt;"Active","",RANK([@TotalSec],FILTER(tblGC[TotalSec],tblGC[Status]="Active"),1))</f>
      </c>
    </row>
    <row r="48" spans="1:12" x14ac:dyDescent="0.25">
      <c r="A48">
        <f>IFERROR(INDEX(tblReg[Bib],ROW()-ROW(tblGC[#Headers])),"")</f>
      </c>
      <c r="B48">
        <f>IF([@Bib]="","",XLOOKUP([@Bib],tblReg[Bib],tblReg[Field],""))</f>
      </c>
      <c r="C48">
        <f>IF([@Bib]="","",XLOOKUP([@Bib],tblReg[Bib],tblReg[FirstName],""))</f>
      </c>
      <c r="D48">
        <f>IF([@Bib]="","",XLOOKUP([@Bib],tblReg[Bib],tblReg[LastName],""))</f>
      </c>
      <c r="E48">
        <f>IF([@Bib]="","",XLOOKUP([@Bib],tblReg[Bib],tblReg[Team],""))</f>
      </c>
      <c r="F48">
        <f>IF([@Bib]="","",XLOOKUP([@Bib],tblReg[Bib],tblReg[Status],""))</f>
      </c>
      <c r="G48">
        <f>IF([@Bib]="","",XLOOKUP([@Bib],tblStage1[Bib],tblStage1[NetSeconds],""))</f>
      </c>
      <c r="H48">
        <f>IF([@Bib]="","",XLOOKUP([@Bib],tblStage2[Bib],tblStage2[NetSeconds],""))</f>
      </c>
      <c r="I48">
        <f>IF([@Bib]="","",XLOOKUP([@Bib],tblStage3[Bib],tblStage3[NetSeconds],""))</f>
      </c>
      <c r="J48">
        <f>IF(COUNTA([@S1NetSec],[@S2NetSec],[@S3NetSec])=0,"",[@S1NetSec]+[@S2NetSec]+[@S3NetSec])</f>
      </c>
      <c r="K48" s="3">
        <f>IF([@TotalSec]="","",[@TotalSec]/86400)</f>
      </c>
      <c r="L48">
        <f>IF([@Status]&lt;&gt;"Active","",RANK([@TotalSec],FILTER(tblGC[TotalSec],tblGC[Status]="Active"),1))</f>
      </c>
    </row>
    <row r="49" spans="1:12" x14ac:dyDescent="0.25">
      <c r="A49">
        <f>IFERROR(INDEX(tblReg[Bib],ROW()-ROW(tblGC[#Headers])),"")</f>
      </c>
      <c r="B49">
        <f>IF([@Bib]="","",XLOOKUP([@Bib],tblReg[Bib],tblReg[Field],""))</f>
      </c>
      <c r="C49">
        <f>IF([@Bib]="","",XLOOKUP([@Bib],tblReg[Bib],tblReg[FirstName],""))</f>
      </c>
      <c r="D49">
        <f>IF([@Bib]="","",XLOOKUP([@Bib],tblReg[Bib],tblReg[LastName],""))</f>
      </c>
      <c r="E49">
        <f>IF([@Bib]="","",XLOOKUP([@Bib],tblReg[Bib],tblReg[Team],""))</f>
      </c>
      <c r="F49">
        <f>IF([@Bib]="","",XLOOKUP([@Bib],tblReg[Bib],tblReg[Status],""))</f>
      </c>
      <c r="G49">
        <f>IF([@Bib]="","",XLOOKUP([@Bib],tblStage1[Bib],tblStage1[NetSeconds],""))</f>
      </c>
      <c r="H49">
        <f>IF([@Bib]="","",XLOOKUP([@Bib],tblStage2[Bib],tblStage2[NetSeconds],""))</f>
      </c>
      <c r="I49">
        <f>IF([@Bib]="","",XLOOKUP([@Bib],tblStage3[Bib],tblStage3[NetSeconds],""))</f>
      </c>
      <c r="J49">
        <f>IF(COUNTA([@S1NetSec],[@S2NetSec],[@S3NetSec])=0,"",[@S1NetSec]+[@S2NetSec]+[@S3NetSec])</f>
      </c>
      <c r="K49" s="3">
        <f>IF([@TotalSec]="","",[@TotalSec]/86400)</f>
      </c>
      <c r="L49">
        <f>IF([@Status]&lt;&gt;"Active","",RANK([@TotalSec],FILTER(tblGC[TotalSec],tblGC[Status]="Active"),1))</f>
      </c>
    </row>
    <row r="50" spans="1:12" x14ac:dyDescent="0.25">
      <c r="A50">
        <f>IFERROR(INDEX(tblReg[Bib],ROW()-ROW(tblGC[#Headers])),"")</f>
      </c>
      <c r="B50">
        <f>IF([@Bib]="","",XLOOKUP([@Bib],tblReg[Bib],tblReg[Field],""))</f>
      </c>
      <c r="C50">
        <f>IF([@Bib]="","",XLOOKUP([@Bib],tblReg[Bib],tblReg[FirstName],""))</f>
      </c>
      <c r="D50">
        <f>IF([@Bib]="","",XLOOKUP([@Bib],tblReg[Bib],tblReg[LastName],""))</f>
      </c>
      <c r="E50">
        <f>IF([@Bib]="","",XLOOKUP([@Bib],tblReg[Bib],tblReg[Team],""))</f>
      </c>
      <c r="F50">
        <f>IF([@Bib]="","",XLOOKUP([@Bib],tblReg[Bib],tblReg[Status],""))</f>
      </c>
      <c r="G50">
        <f>IF([@Bib]="","",XLOOKUP([@Bib],tblStage1[Bib],tblStage1[NetSeconds],""))</f>
      </c>
      <c r="H50">
        <f>IF([@Bib]="","",XLOOKUP([@Bib],tblStage2[Bib],tblStage2[NetSeconds],""))</f>
      </c>
      <c r="I50">
        <f>IF([@Bib]="","",XLOOKUP([@Bib],tblStage3[Bib],tblStage3[NetSeconds],""))</f>
      </c>
      <c r="J50">
        <f>IF(COUNTA([@S1NetSec],[@S2NetSec],[@S3NetSec])=0,"",[@S1NetSec]+[@S2NetSec]+[@S3NetSec])</f>
      </c>
      <c r="K50" s="3">
        <f>IF([@TotalSec]="","",[@TotalSec]/86400)</f>
      </c>
      <c r="L50">
        <f>IF([@Status]&lt;&gt;"Active","",RANK([@TotalSec],FILTER(tblGC[TotalSec],tblGC[Status]="Active"),1))</f>
      </c>
    </row>
    <row r="51" spans="1:12" x14ac:dyDescent="0.25">
      <c r="A51">
        <f>IFERROR(INDEX(tblReg[Bib],ROW()-ROW(tblGC[#Headers])),"")</f>
      </c>
      <c r="B51">
        <f>IF([@Bib]="","",XLOOKUP([@Bib],tblReg[Bib],tblReg[Field],""))</f>
      </c>
      <c r="C51">
        <f>IF([@Bib]="","",XLOOKUP([@Bib],tblReg[Bib],tblReg[FirstName],""))</f>
      </c>
      <c r="D51">
        <f>IF([@Bib]="","",XLOOKUP([@Bib],tblReg[Bib],tblReg[LastName],""))</f>
      </c>
      <c r="E51">
        <f>IF([@Bib]="","",XLOOKUP([@Bib],tblReg[Bib],tblReg[Team],""))</f>
      </c>
      <c r="F51">
        <f>IF([@Bib]="","",XLOOKUP([@Bib],tblReg[Bib],tblReg[Status],""))</f>
      </c>
      <c r="G51">
        <f>IF([@Bib]="","",XLOOKUP([@Bib],tblStage1[Bib],tblStage1[NetSeconds],""))</f>
      </c>
      <c r="H51">
        <f>IF([@Bib]="","",XLOOKUP([@Bib],tblStage2[Bib],tblStage2[NetSeconds],""))</f>
      </c>
      <c r="I51">
        <f>IF([@Bib]="","",XLOOKUP([@Bib],tblStage3[Bib],tblStage3[NetSeconds],""))</f>
      </c>
      <c r="J51">
        <f>IF(COUNTA([@S1NetSec],[@S2NetSec],[@S3NetSec])=0,"",[@S1NetSec]+[@S2NetSec]+[@S3NetSec])</f>
      </c>
      <c r="K51" s="3">
        <f>IF([@TotalSec]="","",[@TotalSec]/86400)</f>
      </c>
      <c r="L51">
        <f>IF([@Status]&lt;&gt;"Active","",RANK([@TotalSec],FILTER(tblGC[TotalSec],tblGC[Status]="Active"),1))</f>
      </c>
    </row>
    <row r="52" spans="1:12" x14ac:dyDescent="0.25">
      <c r="A52">
        <f>IFERROR(INDEX(tblReg[Bib],ROW()-ROW(tblGC[#Headers])),"")</f>
      </c>
      <c r="B52">
        <f>IF([@Bib]="","",XLOOKUP([@Bib],tblReg[Bib],tblReg[Field],""))</f>
      </c>
      <c r="C52">
        <f>IF([@Bib]="","",XLOOKUP([@Bib],tblReg[Bib],tblReg[FirstName],""))</f>
      </c>
      <c r="D52">
        <f>IF([@Bib]="","",XLOOKUP([@Bib],tblReg[Bib],tblReg[LastName],""))</f>
      </c>
      <c r="E52">
        <f>IF([@Bib]="","",XLOOKUP([@Bib],tblReg[Bib],tblReg[Team],""))</f>
      </c>
      <c r="F52">
        <f>IF([@Bib]="","",XLOOKUP([@Bib],tblReg[Bib],tblReg[Status],""))</f>
      </c>
      <c r="G52">
        <f>IF([@Bib]="","",XLOOKUP([@Bib],tblStage1[Bib],tblStage1[NetSeconds],""))</f>
      </c>
      <c r="H52">
        <f>IF([@Bib]="","",XLOOKUP([@Bib],tblStage2[Bib],tblStage2[NetSeconds],""))</f>
      </c>
      <c r="I52">
        <f>IF([@Bib]="","",XLOOKUP([@Bib],tblStage3[Bib],tblStage3[NetSeconds],""))</f>
      </c>
      <c r="J52">
        <f>IF(COUNTA([@S1NetSec],[@S2NetSec],[@S3NetSec])=0,"",[@S1NetSec]+[@S2NetSec]+[@S3NetSec])</f>
      </c>
      <c r="K52" s="3">
        <f>IF([@TotalSec]="","",[@TotalSec]/86400)</f>
      </c>
      <c r="L52">
        <f>IF([@Status]&lt;&gt;"Active","",RANK([@TotalSec],FILTER(tblGC[TotalSec],tblGC[Status]="Active"),1))</f>
      </c>
    </row>
    <row r="53" spans="1:12" x14ac:dyDescent="0.25">
      <c r="A53">
        <f>IFERROR(INDEX(tblReg[Bib],ROW()-ROW(tblGC[#Headers])),"")</f>
      </c>
      <c r="B53">
        <f>IF([@Bib]="","",XLOOKUP([@Bib],tblReg[Bib],tblReg[Field],""))</f>
      </c>
      <c r="C53">
        <f>IF([@Bib]="","",XLOOKUP([@Bib],tblReg[Bib],tblReg[FirstName],""))</f>
      </c>
      <c r="D53">
        <f>IF([@Bib]="","",XLOOKUP([@Bib],tblReg[Bib],tblReg[LastName],""))</f>
      </c>
      <c r="E53">
        <f>IF([@Bib]="","",XLOOKUP([@Bib],tblReg[Bib],tblReg[Team],""))</f>
      </c>
      <c r="F53">
        <f>IF([@Bib]="","",XLOOKUP([@Bib],tblReg[Bib],tblReg[Status],""))</f>
      </c>
      <c r="G53">
        <f>IF([@Bib]="","",XLOOKUP([@Bib],tblStage1[Bib],tblStage1[NetSeconds],""))</f>
      </c>
      <c r="H53">
        <f>IF([@Bib]="","",XLOOKUP([@Bib],tblStage2[Bib],tblStage2[NetSeconds],""))</f>
      </c>
      <c r="I53">
        <f>IF([@Bib]="","",XLOOKUP([@Bib],tblStage3[Bib],tblStage3[NetSeconds],""))</f>
      </c>
      <c r="J53">
        <f>IF(COUNTA([@S1NetSec],[@S2NetSec],[@S3NetSec])=0,"",[@S1NetSec]+[@S2NetSec]+[@S3NetSec])</f>
      </c>
      <c r="K53" s="3">
        <f>IF([@TotalSec]="","",[@TotalSec]/86400)</f>
      </c>
      <c r="L53">
        <f>IF([@Status]&lt;&gt;"Active","",RANK([@TotalSec],FILTER(tblGC[TotalSec],tblGC[Status]="Active"),1))</f>
      </c>
    </row>
    <row r="54" spans="1:12" x14ac:dyDescent="0.25">
      <c r="A54">
        <f>IFERROR(INDEX(tblReg[Bib],ROW()-ROW(tblGC[#Headers])),"")</f>
      </c>
      <c r="B54">
        <f>IF([@Bib]="","",XLOOKUP([@Bib],tblReg[Bib],tblReg[Field],""))</f>
      </c>
      <c r="C54">
        <f>IF([@Bib]="","",XLOOKUP([@Bib],tblReg[Bib],tblReg[FirstName],""))</f>
      </c>
      <c r="D54">
        <f>IF([@Bib]="","",XLOOKUP([@Bib],tblReg[Bib],tblReg[LastName],""))</f>
      </c>
      <c r="E54">
        <f>IF([@Bib]="","",XLOOKUP([@Bib],tblReg[Bib],tblReg[Team],""))</f>
      </c>
      <c r="F54">
        <f>IF([@Bib]="","",XLOOKUP([@Bib],tblReg[Bib],tblReg[Status],""))</f>
      </c>
      <c r="G54">
        <f>IF([@Bib]="","",XLOOKUP([@Bib],tblStage1[Bib],tblStage1[NetSeconds],""))</f>
      </c>
      <c r="H54">
        <f>IF([@Bib]="","",XLOOKUP([@Bib],tblStage2[Bib],tblStage2[NetSeconds],""))</f>
      </c>
      <c r="I54">
        <f>IF([@Bib]="","",XLOOKUP([@Bib],tblStage3[Bib],tblStage3[NetSeconds],""))</f>
      </c>
      <c r="J54">
        <f>IF(COUNTA([@S1NetSec],[@S2NetSec],[@S3NetSec])=0,"",[@S1NetSec]+[@S2NetSec]+[@S3NetSec])</f>
      </c>
      <c r="K54" s="3">
        <f>IF([@TotalSec]="","",[@TotalSec]/86400)</f>
      </c>
      <c r="L54">
        <f>IF([@Status]&lt;&gt;"Active","",RANK([@TotalSec],FILTER(tblGC[TotalSec],tblGC[Status]="Active"),1))</f>
      </c>
    </row>
    <row r="55" spans="1:12" x14ac:dyDescent="0.25">
      <c r="A55">
        <f>IFERROR(INDEX(tblReg[Bib],ROW()-ROW(tblGC[#Headers])),"")</f>
      </c>
      <c r="B55">
        <f>IF([@Bib]="","",XLOOKUP([@Bib],tblReg[Bib],tblReg[Field],""))</f>
      </c>
      <c r="C55">
        <f>IF([@Bib]="","",XLOOKUP([@Bib],tblReg[Bib],tblReg[FirstName],""))</f>
      </c>
      <c r="D55">
        <f>IF([@Bib]="","",XLOOKUP([@Bib],tblReg[Bib],tblReg[LastName],""))</f>
      </c>
      <c r="E55">
        <f>IF([@Bib]="","",XLOOKUP([@Bib],tblReg[Bib],tblReg[Team],""))</f>
      </c>
      <c r="F55">
        <f>IF([@Bib]="","",XLOOKUP([@Bib],tblReg[Bib],tblReg[Status],""))</f>
      </c>
      <c r="G55">
        <f>IF([@Bib]="","",XLOOKUP([@Bib],tblStage1[Bib],tblStage1[NetSeconds],""))</f>
      </c>
      <c r="H55">
        <f>IF([@Bib]="","",XLOOKUP([@Bib],tblStage2[Bib],tblStage2[NetSeconds],""))</f>
      </c>
      <c r="I55">
        <f>IF([@Bib]="","",XLOOKUP([@Bib],tblStage3[Bib],tblStage3[NetSeconds],""))</f>
      </c>
      <c r="J55">
        <f>IF(COUNTA([@S1NetSec],[@S2NetSec],[@S3NetSec])=0,"",[@S1NetSec]+[@S2NetSec]+[@S3NetSec])</f>
      </c>
      <c r="K55" s="3">
        <f>IF([@TotalSec]="","",[@TotalSec]/86400)</f>
      </c>
      <c r="L55">
        <f>IF([@Status]&lt;&gt;"Active","",RANK([@TotalSec],FILTER(tblGC[TotalSec],tblGC[Status]="Active"),1))</f>
      </c>
    </row>
    <row r="56" spans="1:12" x14ac:dyDescent="0.25">
      <c r="A56">
        <f>IFERROR(INDEX(tblReg[Bib],ROW()-ROW(tblGC[#Headers])),"")</f>
      </c>
      <c r="B56">
        <f>IF([@Bib]="","",XLOOKUP([@Bib],tblReg[Bib],tblReg[Field],""))</f>
      </c>
      <c r="C56">
        <f>IF([@Bib]="","",XLOOKUP([@Bib],tblReg[Bib],tblReg[FirstName],""))</f>
      </c>
      <c r="D56">
        <f>IF([@Bib]="","",XLOOKUP([@Bib],tblReg[Bib],tblReg[LastName],""))</f>
      </c>
      <c r="E56">
        <f>IF([@Bib]="","",XLOOKUP([@Bib],tblReg[Bib],tblReg[Team],""))</f>
      </c>
      <c r="F56">
        <f>IF([@Bib]="","",XLOOKUP([@Bib],tblReg[Bib],tblReg[Status],""))</f>
      </c>
      <c r="G56">
        <f>IF([@Bib]="","",XLOOKUP([@Bib],tblStage1[Bib],tblStage1[NetSeconds],""))</f>
      </c>
      <c r="H56">
        <f>IF([@Bib]="","",XLOOKUP([@Bib],tblStage2[Bib],tblStage2[NetSeconds],""))</f>
      </c>
      <c r="I56">
        <f>IF([@Bib]="","",XLOOKUP([@Bib],tblStage3[Bib],tblStage3[NetSeconds],""))</f>
      </c>
      <c r="J56">
        <f>IF(COUNTA([@S1NetSec],[@S2NetSec],[@S3NetSec])=0,"",[@S1NetSec]+[@S2NetSec]+[@S3NetSec])</f>
      </c>
      <c r="K56" s="3">
        <f>IF([@TotalSec]="","",[@TotalSec]/86400)</f>
      </c>
      <c r="L56">
        <f>IF([@Status]&lt;&gt;"Active","",RANK([@TotalSec],FILTER(tblGC[TotalSec],tblGC[Status]="Active"),1))</f>
      </c>
    </row>
    <row r="57" spans="1:12" x14ac:dyDescent="0.25">
      <c r="A57">
        <f>IFERROR(INDEX(tblReg[Bib],ROW()-ROW(tblGC[#Headers])),"")</f>
      </c>
      <c r="B57">
        <f>IF([@Bib]="","",XLOOKUP([@Bib],tblReg[Bib],tblReg[Field],""))</f>
      </c>
      <c r="C57">
        <f>IF([@Bib]="","",XLOOKUP([@Bib],tblReg[Bib],tblReg[FirstName],""))</f>
      </c>
      <c r="D57">
        <f>IF([@Bib]="","",XLOOKUP([@Bib],tblReg[Bib],tblReg[LastName],""))</f>
      </c>
      <c r="E57">
        <f>IF([@Bib]="","",XLOOKUP([@Bib],tblReg[Bib],tblReg[Team],""))</f>
      </c>
      <c r="F57">
        <f>IF([@Bib]="","",XLOOKUP([@Bib],tblReg[Bib],tblReg[Status],""))</f>
      </c>
      <c r="G57">
        <f>IF([@Bib]="","",XLOOKUP([@Bib],tblStage1[Bib],tblStage1[NetSeconds],""))</f>
      </c>
      <c r="H57">
        <f>IF([@Bib]="","",XLOOKUP([@Bib],tblStage2[Bib],tblStage2[NetSeconds],""))</f>
      </c>
      <c r="I57">
        <f>IF([@Bib]="","",XLOOKUP([@Bib],tblStage3[Bib],tblStage3[NetSeconds],""))</f>
      </c>
      <c r="J57">
        <f>IF(COUNTA([@S1NetSec],[@S2NetSec],[@S3NetSec])=0,"",[@S1NetSec]+[@S2NetSec]+[@S3NetSec])</f>
      </c>
      <c r="K57" s="3">
        <f>IF([@TotalSec]="","",[@TotalSec]/86400)</f>
      </c>
      <c r="L57">
        <f>IF([@Status]&lt;&gt;"Active","",RANK([@TotalSec],FILTER(tblGC[TotalSec],tblGC[Status]="Active"),1))</f>
      </c>
    </row>
    <row r="58" spans="1:12" x14ac:dyDescent="0.25">
      <c r="A58">
        <f>IFERROR(INDEX(tblReg[Bib],ROW()-ROW(tblGC[#Headers])),"")</f>
      </c>
      <c r="B58">
        <f>IF([@Bib]="","",XLOOKUP([@Bib],tblReg[Bib],tblReg[Field],""))</f>
      </c>
      <c r="C58">
        <f>IF([@Bib]="","",XLOOKUP([@Bib],tblReg[Bib],tblReg[FirstName],""))</f>
      </c>
      <c r="D58">
        <f>IF([@Bib]="","",XLOOKUP([@Bib],tblReg[Bib],tblReg[LastName],""))</f>
      </c>
      <c r="E58">
        <f>IF([@Bib]="","",XLOOKUP([@Bib],tblReg[Bib],tblReg[Team],""))</f>
      </c>
      <c r="F58">
        <f>IF([@Bib]="","",XLOOKUP([@Bib],tblReg[Bib],tblReg[Status],""))</f>
      </c>
      <c r="G58">
        <f>IF([@Bib]="","",XLOOKUP([@Bib],tblStage1[Bib],tblStage1[NetSeconds],""))</f>
      </c>
      <c r="H58">
        <f>IF([@Bib]="","",XLOOKUP([@Bib],tblStage2[Bib],tblStage2[NetSeconds],""))</f>
      </c>
      <c r="I58">
        <f>IF([@Bib]="","",XLOOKUP([@Bib],tblStage3[Bib],tblStage3[NetSeconds],""))</f>
      </c>
      <c r="J58">
        <f>IF(COUNTA([@S1NetSec],[@S2NetSec],[@S3NetSec])=0,"",[@S1NetSec]+[@S2NetSec]+[@S3NetSec])</f>
      </c>
      <c r="K58" s="3">
        <f>IF([@TotalSec]="","",[@TotalSec]/86400)</f>
      </c>
      <c r="L58">
        <f>IF([@Status]&lt;&gt;"Active","",RANK([@TotalSec],FILTER(tblGC[TotalSec],tblGC[Status]="Active"),1))</f>
      </c>
    </row>
    <row r="59" spans="1:12" x14ac:dyDescent="0.25">
      <c r="A59">
        <f>IFERROR(INDEX(tblReg[Bib],ROW()-ROW(tblGC[#Headers])),"")</f>
      </c>
      <c r="B59">
        <f>IF([@Bib]="","",XLOOKUP([@Bib],tblReg[Bib],tblReg[Field],""))</f>
      </c>
      <c r="C59">
        <f>IF([@Bib]="","",XLOOKUP([@Bib],tblReg[Bib],tblReg[FirstName],""))</f>
      </c>
      <c r="D59">
        <f>IF([@Bib]="","",XLOOKUP([@Bib],tblReg[Bib],tblReg[LastName],""))</f>
      </c>
      <c r="E59">
        <f>IF([@Bib]="","",XLOOKUP([@Bib],tblReg[Bib],tblReg[Team],""))</f>
      </c>
      <c r="F59">
        <f>IF([@Bib]="","",XLOOKUP([@Bib],tblReg[Bib],tblReg[Status],""))</f>
      </c>
      <c r="G59">
        <f>IF([@Bib]="","",XLOOKUP([@Bib],tblStage1[Bib],tblStage1[NetSeconds],""))</f>
      </c>
      <c r="H59">
        <f>IF([@Bib]="","",XLOOKUP([@Bib],tblStage2[Bib],tblStage2[NetSeconds],""))</f>
      </c>
      <c r="I59">
        <f>IF([@Bib]="","",XLOOKUP([@Bib],tblStage3[Bib],tblStage3[NetSeconds],""))</f>
      </c>
      <c r="J59">
        <f>IF(COUNTA([@S1NetSec],[@S2NetSec],[@S3NetSec])=0,"",[@S1NetSec]+[@S2NetSec]+[@S3NetSec])</f>
      </c>
      <c r="K59" s="3">
        <f>IF([@TotalSec]="","",[@TotalSec]/86400)</f>
      </c>
      <c r="L59">
        <f>IF([@Status]&lt;&gt;"Active","",RANK([@TotalSec],FILTER(tblGC[TotalSec],tblGC[Status]="Active"),1))</f>
      </c>
    </row>
    <row r="60" spans="1:12" x14ac:dyDescent="0.25">
      <c r="A60">
        <f>IFERROR(INDEX(tblReg[Bib],ROW()-ROW(tblGC[#Headers])),"")</f>
      </c>
      <c r="B60">
        <f>IF([@Bib]="","",XLOOKUP([@Bib],tblReg[Bib],tblReg[Field],""))</f>
      </c>
      <c r="C60">
        <f>IF([@Bib]="","",XLOOKUP([@Bib],tblReg[Bib],tblReg[FirstName],""))</f>
      </c>
      <c r="D60">
        <f>IF([@Bib]="","",XLOOKUP([@Bib],tblReg[Bib],tblReg[LastName],""))</f>
      </c>
      <c r="E60">
        <f>IF([@Bib]="","",XLOOKUP([@Bib],tblReg[Bib],tblReg[Team],""))</f>
      </c>
      <c r="F60">
        <f>IF([@Bib]="","",XLOOKUP([@Bib],tblReg[Bib],tblReg[Status],""))</f>
      </c>
      <c r="G60">
        <f>IF([@Bib]="","",XLOOKUP([@Bib],tblStage1[Bib],tblStage1[NetSeconds],""))</f>
      </c>
      <c r="H60">
        <f>IF([@Bib]="","",XLOOKUP([@Bib],tblStage2[Bib],tblStage2[NetSeconds],""))</f>
      </c>
      <c r="I60">
        <f>IF([@Bib]="","",XLOOKUP([@Bib],tblStage3[Bib],tblStage3[NetSeconds],""))</f>
      </c>
      <c r="J60">
        <f>IF(COUNTA([@S1NetSec],[@S2NetSec],[@S3NetSec])=0,"",[@S1NetSec]+[@S2NetSec]+[@S3NetSec])</f>
      </c>
      <c r="K60" s="3">
        <f>IF([@TotalSec]="","",[@TotalSec]/86400)</f>
      </c>
      <c r="L60">
        <f>IF([@Status]&lt;&gt;"Active","",RANK([@TotalSec],FILTER(tblGC[TotalSec],tblGC[Status]="Active"),1))</f>
      </c>
    </row>
    <row r="61" spans="1:12" x14ac:dyDescent="0.25">
      <c r="A61">
        <f>IFERROR(INDEX(tblReg[Bib],ROW()-ROW(tblGC[#Headers])),"")</f>
      </c>
      <c r="B61">
        <f>IF([@Bib]="","",XLOOKUP([@Bib],tblReg[Bib],tblReg[Field],""))</f>
      </c>
      <c r="C61">
        <f>IF([@Bib]="","",XLOOKUP([@Bib],tblReg[Bib],tblReg[FirstName],""))</f>
      </c>
      <c r="D61">
        <f>IF([@Bib]="","",XLOOKUP([@Bib],tblReg[Bib],tblReg[LastName],""))</f>
      </c>
      <c r="E61">
        <f>IF([@Bib]="","",XLOOKUP([@Bib],tblReg[Bib],tblReg[Team],""))</f>
      </c>
      <c r="F61">
        <f>IF([@Bib]="","",XLOOKUP([@Bib],tblReg[Bib],tblReg[Status],""))</f>
      </c>
      <c r="G61">
        <f>IF([@Bib]="","",XLOOKUP([@Bib],tblStage1[Bib],tblStage1[NetSeconds],""))</f>
      </c>
      <c r="H61">
        <f>IF([@Bib]="","",XLOOKUP([@Bib],tblStage2[Bib],tblStage2[NetSeconds],""))</f>
      </c>
      <c r="I61">
        <f>IF([@Bib]="","",XLOOKUP([@Bib],tblStage3[Bib],tblStage3[NetSeconds],""))</f>
      </c>
      <c r="J61">
        <f>IF(COUNTA([@S1NetSec],[@S2NetSec],[@S3NetSec])=0,"",[@S1NetSec]+[@S2NetSec]+[@S3NetSec])</f>
      </c>
      <c r="K61" s="3">
        <f>IF([@TotalSec]="","",[@TotalSec]/86400)</f>
      </c>
      <c r="L61">
        <f>IF([@Status]&lt;&gt;"Active","",RANK([@TotalSec],FILTER(tblGC[TotalSec],tblGC[Status]="Active"),1))</f>
      </c>
    </row>
    <row r="62" spans="1:12" x14ac:dyDescent="0.25">
      <c r="A62">
        <f>IFERROR(INDEX(tblReg[Bib],ROW()-ROW(tblGC[#Headers])),"")</f>
      </c>
      <c r="B62">
        <f>IF([@Bib]="","",XLOOKUP([@Bib],tblReg[Bib],tblReg[Field],""))</f>
      </c>
      <c r="C62">
        <f>IF([@Bib]="","",XLOOKUP([@Bib],tblReg[Bib],tblReg[FirstName],""))</f>
      </c>
      <c r="D62">
        <f>IF([@Bib]="","",XLOOKUP([@Bib],tblReg[Bib],tblReg[LastName],""))</f>
      </c>
      <c r="E62">
        <f>IF([@Bib]="","",XLOOKUP([@Bib],tblReg[Bib],tblReg[Team],""))</f>
      </c>
      <c r="F62">
        <f>IF([@Bib]="","",XLOOKUP([@Bib],tblReg[Bib],tblReg[Status],""))</f>
      </c>
      <c r="G62">
        <f>IF([@Bib]="","",XLOOKUP([@Bib],tblStage1[Bib],tblStage1[NetSeconds],""))</f>
      </c>
      <c r="H62">
        <f>IF([@Bib]="","",XLOOKUP([@Bib],tblStage2[Bib],tblStage2[NetSeconds],""))</f>
      </c>
      <c r="I62">
        <f>IF([@Bib]="","",XLOOKUP([@Bib],tblStage3[Bib],tblStage3[NetSeconds],""))</f>
      </c>
      <c r="J62">
        <f>IF(COUNTA([@S1NetSec],[@S2NetSec],[@S3NetSec])=0,"",[@S1NetSec]+[@S2NetSec]+[@S3NetSec])</f>
      </c>
      <c r="K62" s="3">
        <f>IF([@TotalSec]="","",[@TotalSec]/86400)</f>
      </c>
      <c r="L62">
        <f>IF([@Status]&lt;&gt;"Active","",RANK([@TotalSec],FILTER(tblGC[TotalSec],tblGC[Status]="Active"),1))</f>
      </c>
    </row>
    <row r="63" spans="1:12" x14ac:dyDescent="0.25">
      <c r="A63">
        <f>IFERROR(INDEX(tblReg[Bib],ROW()-ROW(tblGC[#Headers])),"")</f>
      </c>
      <c r="B63">
        <f>IF([@Bib]="","",XLOOKUP([@Bib],tblReg[Bib],tblReg[Field],""))</f>
      </c>
      <c r="C63">
        <f>IF([@Bib]="","",XLOOKUP([@Bib],tblReg[Bib],tblReg[FirstName],""))</f>
      </c>
      <c r="D63">
        <f>IF([@Bib]="","",XLOOKUP([@Bib],tblReg[Bib],tblReg[LastName],""))</f>
      </c>
      <c r="E63">
        <f>IF([@Bib]="","",XLOOKUP([@Bib],tblReg[Bib],tblReg[Team],""))</f>
      </c>
      <c r="F63">
        <f>IF([@Bib]="","",XLOOKUP([@Bib],tblReg[Bib],tblReg[Status],""))</f>
      </c>
      <c r="G63">
        <f>IF([@Bib]="","",XLOOKUP([@Bib],tblStage1[Bib],tblStage1[NetSeconds],""))</f>
      </c>
      <c r="H63">
        <f>IF([@Bib]="","",XLOOKUP([@Bib],tblStage2[Bib],tblStage2[NetSeconds],""))</f>
      </c>
      <c r="I63">
        <f>IF([@Bib]="","",XLOOKUP([@Bib],tblStage3[Bib],tblStage3[NetSeconds],""))</f>
      </c>
      <c r="J63">
        <f>IF(COUNTA([@S1NetSec],[@S2NetSec],[@S3NetSec])=0,"",[@S1NetSec]+[@S2NetSec]+[@S3NetSec])</f>
      </c>
      <c r="K63" s="3">
        <f>IF([@TotalSec]="","",[@TotalSec]/86400)</f>
      </c>
      <c r="L63">
        <f>IF([@Status]&lt;&gt;"Active","",RANK([@TotalSec],FILTER(tblGC[TotalSec],tblGC[Status]="Active"),1))</f>
      </c>
    </row>
    <row r="64" spans="1:12" x14ac:dyDescent="0.25">
      <c r="A64">
        <f>IFERROR(INDEX(tblReg[Bib],ROW()-ROW(tblGC[#Headers])),"")</f>
      </c>
      <c r="B64">
        <f>IF([@Bib]="","",XLOOKUP([@Bib],tblReg[Bib],tblReg[Field],""))</f>
      </c>
      <c r="C64">
        <f>IF([@Bib]="","",XLOOKUP([@Bib],tblReg[Bib],tblReg[FirstName],""))</f>
      </c>
      <c r="D64">
        <f>IF([@Bib]="","",XLOOKUP([@Bib],tblReg[Bib],tblReg[LastName],""))</f>
      </c>
      <c r="E64">
        <f>IF([@Bib]="","",XLOOKUP([@Bib],tblReg[Bib],tblReg[Team],""))</f>
      </c>
      <c r="F64">
        <f>IF([@Bib]="","",XLOOKUP([@Bib],tblReg[Bib],tblReg[Status],""))</f>
      </c>
      <c r="G64">
        <f>IF([@Bib]="","",XLOOKUP([@Bib],tblStage1[Bib],tblStage1[NetSeconds],""))</f>
      </c>
      <c r="H64">
        <f>IF([@Bib]="","",XLOOKUP([@Bib],tblStage2[Bib],tblStage2[NetSeconds],""))</f>
      </c>
      <c r="I64">
        <f>IF([@Bib]="","",XLOOKUP([@Bib],tblStage3[Bib],tblStage3[NetSeconds],""))</f>
      </c>
      <c r="J64">
        <f>IF(COUNTA([@S1NetSec],[@S2NetSec],[@S3NetSec])=0,"",[@S1NetSec]+[@S2NetSec]+[@S3NetSec])</f>
      </c>
      <c r="K64" s="3">
        <f>IF([@TotalSec]="","",[@TotalSec]/86400)</f>
      </c>
      <c r="L64">
        <f>IF([@Status]&lt;&gt;"Active","",RANK([@TotalSec],FILTER(tblGC[TotalSec],tblGC[Status]="Active"),1))</f>
      </c>
    </row>
    <row r="65" spans="1:12" x14ac:dyDescent="0.25">
      <c r="A65">
        <f>IFERROR(INDEX(tblReg[Bib],ROW()-ROW(tblGC[#Headers])),"")</f>
      </c>
      <c r="B65">
        <f>IF([@Bib]="","",XLOOKUP([@Bib],tblReg[Bib],tblReg[Field],""))</f>
      </c>
      <c r="C65">
        <f>IF([@Bib]="","",XLOOKUP([@Bib],tblReg[Bib],tblReg[FirstName],""))</f>
      </c>
      <c r="D65">
        <f>IF([@Bib]="","",XLOOKUP([@Bib],tblReg[Bib],tblReg[LastName],""))</f>
      </c>
      <c r="E65">
        <f>IF([@Bib]="","",XLOOKUP([@Bib],tblReg[Bib],tblReg[Team],""))</f>
      </c>
      <c r="F65">
        <f>IF([@Bib]="","",XLOOKUP([@Bib],tblReg[Bib],tblReg[Status],""))</f>
      </c>
      <c r="G65">
        <f>IF([@Bib]="","",XLOOKUP([@Bib],tblStage1[Bib],tblStage1[NetSeconds],""))</f>
      </c>
      <c r="H65">
        <f>IF([@Bib]="","",XLOOKUP([@Bib],tblStage2[Bib],tblStage2[NetSeconds],""))</f>
      </c>
      <c r="I65">
        <f>IF([@Bib]="","",XLOOKUP([@Bib],tblStage3[Bib],tblStage3[NetSeconds],""))</f>
      </c>
      <c r="J65">
        <f>IF(COUNTA([@S1NetSec],[@S2NetSec],[@S3NetSec])=0,"",[@S1NetSec]+[@S2NetSec]+[@S3NetSec])</f>
      </c>
      <c r="K65" s="3">
        <f>IF([@TotalSec]="","",[@TotalSec]/86400)</f>
      </c>
      <c r="L65">
        <f>IF([@Status]&lt;&gt;"Active","",RANK([@TotalSec],FILTER(tblGC[TotalSec],tblGC[Status]="Active"),1))</f>
      </c>
    </row>
    <row r="66" spans="1:12" x14ac:dyDescent="0.25">
      <c r="A66">
        <f>IFERROR(INDEX(tblReg[Bib],ROW()-ROW(tblGC[#Headers])),"")</f>
      </c>
      <c r="B66">
        <f>IF([@Bib]="","",XLOOKUP([@Bib],tblReg[Bib],tblReg[Field],""))</f>
      </c>
      <c r="C66">
        <f>IF([@Bib]="","",XLOOKUP([@Bib],tblReg[Bib],tblReg[FirstName],""))</f>
      </c>
      <c r="D66">
        <f>IF([@Bib]="","",XLOOKUP([@Bib],tblReg[Bib],tblReg[LastName],""))</f>
      </c>
      <c r="E66">
        <f>IF([@Bib]="","",XLOOKUP([@Bib],tblReg[Bib],tblReg[Team],""))</f>
      </c>
      <c r="F66">
        <f>IF([@Bib]="","",XLOOKUP([@Bib],tblReg[Bib],tblReg[Status],""))</f>
      </c>
      <c r="G66">
        <f>IF([@Bib]="","",XLOOKUP([@Bib],tblStage1[Bib],tblStage1[NetSeconds],""))</f>
      </c>
      <c r="H66">
        <f>IF([@Bib]="","",XLOOKUP([@Bib],tblStage2[Bib],tblStage2[NetSeconds],""))</f>
      </c>
      <c r="I66">
        <f>IF([@Bib]="","",XLOOKUP([@Bib],tblStage3[Bib],tblStage3[NetSeconds],""))</f>
      </c>
      <c r="J66">
        <f>IF(COUNTA([@S1NetSec],[@S2NetSec],[@S3NetSec])=0,"",[@S1NetSec]+[@S2NetSec]+[@S3NetSec])</f>
      </c>
      <c r="K66" s="3">
        <f>IF([@TotalSec]="","",[@TotalSec]/86400)</f>
      </c>
      <c r="L66">
        <f>IF([@Status]&lt;&gt;"Active","",RANK([@TotalSec],FILTER(tblGC[TotalSec],tblGC[Status]="Active"),1))</f>
      </c>
    </row>
    <row r="67" spans="1:12" x14ac:dyDescent="0.25">
      <c r="A67">
        <f>IFERROR(INDEX(tblReg[Bib],ROW()-ROW(tblGC[#Headers])),"")</f>
      </c>
      <c r="B67">
        <f>IF([@Bib]="","",XLOOKUP([@Bib],tblReg[Bib],tblReg[Field],""))</f>
      </c>
      <c r="C67">
        <f>IF([@Bib]="","",XLOOKUP([@Bib],tblReg[Bib],tblReg[FirstName],""))</f>
      </c>
      <c r="D67">
        <f>IF([@Bib]="","",XLOOKUP([@Bib],tblReg[Bib],tblReg[LastName],""))</f>
      </c>
      <c r="E67">
        <f>IF([@Bib]="","",XLOOKUP([@Bib],tblReg[Bib],tblReg[Team],""))</f>
      </c>
      <c r="F67">
        <f>IF([@Bib]="","",XLOOKUP([@Bib],tblReg[Bib],tblReg[Status],""))</f>
      </c>
      <c r="G67">
        <f>IF([@Bib]="","",XLOOKUP([@Bib],tblStage1[Bib],tblStage1[NetSeconds],""))</f>
      </c>
      <c r="H67">
        <f>IF([@Bib]="","",XLOOKUP([@Bib],tblStage2[Bib],tblStage2[NetSeconds],""))</f>
      </c>
      <c r="I67">
        <f>IF([@Bib]="","",XLOOKUP([@Bib],tblStage3[Bib],tblStage3[NetSeconds],""))</f>
      </c>
      <c r="J67">
        <f>IF(COUNTA([@S1NetSec],[@S2NetSec],[@S3NetSec])=0,"",[@S1NetSec]+[@S2NetSec]+[@S3NetSec])</f>
      </c>
      <c r="K67" s="3">
        <f>IF([@TotalSec]="","",[@TotalSec]/86400)</f>
      </c>
      <c r="L67">
        <f>IF([@Status]&lt;&gt;"Active","",RANK([@TotalSec],FILTER(tblGC[TotalSec],tblGC[Status]="Active"),1))</f>
      </c>
    </row>
    <row r="68" spans="1:12" x14ac:dyDescent="0.25">
      <c r="A68">
        <f>IFERROR(INDEX(tblReg[Bib],ROW()-ROW(tblGC[#Headers])),"")</f>
      </c>
      <c r="B68">
        <f>IF([@Bib]="","",XLOOKUP([@Bib],tblReg[Bib],tblReg[Field],""))</f>
      </c>
      <c r="C68">
        <f>IF([@Bib]="","",XLOOKUP([@Bib],tblReg[Bib],tblReg[FirstName],""))</f>
      </c>
      <c r="D68">
        <f>IF([@Bib]="","",XLOOKUP([@Bib],tblReg[Bib],tblReg[LastName],""))</f>
      </c>
      <c r="E68">
        <f>IF([@Bib]="","",XLOOKUP([@Bib],tblReg[Bib],tblReg[Team],""))</f>
      </c>
      <c r="F68">
        <f>IF([@Bib]="","",XLOOKUP([@Bib],tblReg[Bib],tblReg[Status],""))</f>
      </c>
      <c r="G68">
        <f>IF([@Bib]="","",XLOOKUP([@Bib],tblStage1[Bib],tblStage1[NetSeconds],""))</f>
      </c>
      <c r="H68">
        <f>IF([@Bib]="","",XLOOKUP([@Bib],tblStage2[Bib],tblStage2[NetSeconds],""))</f>
      </c>
      <c r="I68">
        <f>IF([@Bib]="","",XLOOKUP([@Bib],tblStage3[Bib],tblStage3[NetSeconds],""))</f>
      </c>
      <c r="J68">
        <f>IF(COUNTA([@S1NetSec],[@S2NetSec],[@S3NetSec])=0,"",[@S1NetSec]+[@S2NetSec]+[@S3NetSec])</f>
      </c>
      <c r="K68" s="3">
        <f>IF([@TotalSec]="","",[@TotalSec]/86400)</f>
      </c>
      <c r="L68">
        <f>IF([@Status]&lt;&gt;"Active","",RANK([@TotalSec],FILTER(tblGC[TotalSec],tblGC[Status]="Active"),1))</f>
      </c>
    </row>
    <row r="69" spans="1:12" x14ac:dyDescent="0.25">
      <c r="A69">
        <f>IFERROR(INDEX(tblReg[Bib],ROW()-ROW(tblGC[#Headers])),"")</f>
      </c>
      <c r="B69">
        <f>IF([@Bib]="","",XLOOKUP([@Bib],tblReg[Bib],tblReg[Field],""))</f>
      </c>
      <c r="C69">
        <f>IF([@Bib]="","",XLOOKUP([@Bib],tblReg[Bib],tblReg[FirstName],""))</f>
      </c>
      <c r="D69">
        <f>IF([@Bib]="","",XLOOKUP([@Bib],tblReg[Bib],tblReg[LastName],""))</f>
      </c>
      <c r="E69">
        <f>IF([@Bib]="","",XLOOKUP([@Bib],tblReg[Bib],tblReg[Team],""))</f>
      </c>
      <c r="F69">
        <f>IF([@Bib]="","",XLOOKUP([@Bib],tblReg[Bib],tblReg[Status],""))</f>
      </c>
      <c r="G69">
        <f>IF([@Bib]="","",XLOOKUP([@Bib],tblStage1[Bib],tblStage1[NetSeconds],""))</f>
      </c>
      <c r="H69">
        <f>IF([@Bib]="","",XLOOKUP([@Bib],tblStage2[Bib],tblStage2[NetSeconds],""))</f>
      </c>
      <c r="I69">
        <f>IF([@Bib]="","",XLOOKUP([@Bib],tblStage3[Bib],tblStage3[NetSeconds],""))</f>
      </c>
      <c r="J69">
        <f>IF(COUNTA([@S1NetSec],[@S2NetSec],[@S3NetSec])=0,"",[@S1NetSec]+[@S2NetSec]+[@S3NetSec])</f>
      </c>
      <c r="K69" s="3">
        <f>IF([@TotalSec]="","",[@TotalSec]/86400)</f>
      </c>
      <c r="L69">
        <f>IF([@Status]&lt;&gt;"Active","",RANK([@TotalSec],FILTER(tblGC[TotalSec],tblGC[Status]="Active"),1))</f>
      </c>
    </row>
    <row r="70" spans="1:12" x14ac:dyDescent="0.25">
      <c r="A70">
        <f>IFERROR(INDEX(tblReg[Bib],ROW()-ROW(tblGC[#Headers])),"")</f>
      </c>
      <c r="B70">
        <f>IF([@Bib]="","",XLOOKUP([@Bib],tblReg[Bib],tblReg[Field],""))</f>
      </c>
      <c r="C70">
        <f>IF([@Bib]="","",XLOOKUP([@Bib],tblReg[Bib],tblReg[FirstName],""))</f>
      </c>
      <c r="D70">
        <f>IF([@Bib]="","",XLOOKUP([@Bib],tblReg[Bib],tblReg[LastName],""))</f>
      </c>
      <c r="E70">
        <f>IF([@Bib]="","",XLOOKUP([@Bib],tblReg[Bib],tblReg[Team],""))</f>
      </c>
      <c r="F70">
        <f>IF([@Bib]="","",XLOOKUP([@Bib],tblReg[Bib],tblReg[Status],""))</f>
      </c>
      <c r="G70">
        <f>IF([@Bib]="","",XLOOKUP([@Bib],tblStage1[Bib],tblStage1[NetSeconds],""))</f>
      </c>
      <c r="H70">
        <f>IF([@Bib]="","",XLOOKUP([@Bib],tblStage2[Bib],tblStage2[NetSeconds],""))</f>
      </c>
      <c r="I70">
        <f>IF([@Bib]="","",XLOOKUP([@Bib],tblStage3[Bib],tblStage3[NetSeconds],""))</f>
      </c>
      <c r="J70">
        <f>IF(COUNTA([@S1NetSec],[@S2NetSec],[@S3NetSec])=0,"",[@S1NetSec]+[@S2NetSec]+[@S3NetSec])</f>
      </c>
      <c r="K70" s="3">
        <f>IF([@TotalSec]="","",[@TotalSec]/86400)</f>
      </c>
      <c r="L70">
        <f>IF([@Status]&lt;&gt;"Active","",RANK([@TotalSec],FILTER(tblGC[TotalSec],tblGC[Status]="Active"),1))</f>
      </c>
    </row>
    <row r="71" spans="1:12" x14ac:dyDescent="0.25">
      <c r="A71">
        <f>IFERROR(INDEX(tblReg[Bib],ROW()-ROW(tblGC[#Headers])),"")</f>
      </c>
      <c r="B71">
        <f>IF([@Bib]="","",XLOOKUP([@Bib],tblReg[Bib],tblReg[Field],""))</f>
      </c>
      <c r="C71">
        <f>IF([@Bib]="","",XLOOKUP([@Bib],tblReg[Bib],tblReg[FirstName],""))</f>
      </c>
      <c r="D71">
        <f>IF([@Bib]="","",XLOOKUP([@Bib],tblReg[Bib],tblReg[LastName],""))</f>
      </c>
      <c r="E71">
        <f>IF([@Bib]="","",XLOOKUP([@Bib],tblReg[Bib],tblReg[Team],""))</f>
      </c>
      <c r="F71">
        <f>IF([@Bib]="","",XLOOKUP([@Bib],tblReg[Bib],tblReg[Status],""))</f>
      </c>
      <c r="G71">
        <f>IF([@Bib]="","",XLOOKUP([@Bib],tblStage1[Bib],tblStage1[NetSeconds],""))</f>
      </c>
      <c r="H71">
        <f>IF([@Bib]="","",XLOOKUP([@Bib],tblStage2[Bib],tblStage2[NetSeconds],""))</f>
      </c>
      <c r="I71">
        <f>IF([@Bib]="","",XLOOKUP([@Bib],tblStage3[Bib],tblStage3[NetSeconds],""))</f>
      </c>
      <c r="J71">
        <f>IF(COUNTA([@S1NetSec],[@S2NetSec],[@S3NetSec])=0,"",[@S1NetSec]+[@S2NetSec]+[@S3NetSec])</f>
      </c>
      <c r="K71" s="3">
        <f>IF([@TotalSec]="","",[@TotalSec]/86400)</f>
      </c>
      <c r="L71">
        <f>IF([@Status]&lt;&gt;"Active","",RANK([@TotalSec],FILTER(tblGC[TotalSec],tblGC[Status]="Active"),1))</f>
      </c>
    </row>
    <row r="72" spans="1:12" x14ac:dyDescent="0.25">
      <c r="A72">
        <f>IFERROR(INDEX(tblReg[Bib],ROW()-ROW(tblGC[#Headers])),"")</f>
      </c>
      <c r="B72">
        <f>IF([@Bib]="","",XLOOKUP([@Bib],tblReg[Bib],tblReg[Field],""))</f>
      </c>
      <c r="C72">
        <f>IF([@Bib]="","",XLOOKUP([@Bib],tblReg[Bib],tblReg[FirstName],""))</f>
      </c>
      <c r="D72">
        <f>IF([@Bib]="","",XLOOKUP([@Bib],tblReg[Bib],tblReg[LastName],""))</f>
      </c>
      <c r="E72">
        <f>IF([@Bib]="","",XLOOKUP([@Bib],tblReg[Bib],tblReg[Team],""))</f>
      </c>
      <c r="F72">
        <f>IF([@Bib]="","",XLOOKUP([@Bib],tblReg[Bib],tblReg[Status],""))</f>
      </c>
      <c r="G72">
        <f>IF([@Bib]="","",XLOOKUP([@Bib],tblStage1[Bib],tblStage1[NetSeconds],""))</f>
      </c>
      <c r="H72">
        <f>IF([@Bib]="","",XLOOKUP([@Bib],tblStage2[Bib],tblStage2[NetSeconds],""))</f>
      </c>
      <c r="I72">
        <f>IF([@Bib]="","",XLOOKUP([@Bib],tblStage3[Bib],tblStage3[NetSeconds],""))</f>
      </c>
      <c r="J72">
        <f>IF(COUNTA([@S1NetSec],[@S2NetSec],[@S3NetSec])=0,"",[@S1NetSec]+[@S2NetSec]+[@S3NetSec])</f>
      </c>
      <c r="K72" s="3">
        <f>IF([@TotalSec]="","",[@TotalSec]/86400)</f>
      </c>
      <c r="L72">
        <f>IF([@Status]&lt;&gt;"Active","",RANK([@TotalSec],FILTER(tblGC[TotalSec],tblGC[Status]="Active"),1))</f>
      </c>
    </row>
    <row r="73" spans="1:12" x14ac:dyDescent="0.25">
      <c r="A73">
        <f>IFERROR(INDEX(tblReg[Bib],ROW()-ROW(tblGC[#Headers])),"")</f>
      </c>
      <c r="B73">
        <f>IF([@Bib]="","",XLOOKUP([@Bib],tblReg[Bib],tblReg[Field],""))</f>
      </c>
      <c r="C73">
        <f>IF([@Bib]="","",XLOOKUP([@Bib],tblReg[Bib],tblReg[FirstName],""))</f>
      </c>
      <c r="D73">
        <f>IF([@Bib]="","",XLOOKUP([@Bib],tblReg[Bib],tblReg[LastName],""))</f>
      </c>
      <c r="E73">
        <f>IF([@Bib]="","",XLOOKUP([@Bib],tblReg[Bib],tblReg[Team],""))</f>
      </c>
      <c r="F73">
        <f>IF([@Bib]="","",XLOOKUP([@Bib],tblReg[Bib],tblReg[Status],""))</f>
      </c>
      <c r="G73">
        <f>IF([@Bib]="","",XLOOKUP([@Bib],tblStage1[Bib],tblStage1[NetSeconds],""))</f>
      </c>
      <c r="H73">
        <f>IF([@Bib]="","",XLOOKUP([@Bib],tblStage2[Bib],tblStage2[NetSeconds],""))</f>
      </c>
      <c r="I73">
        <f>IF([@Bib]="","",XLOOKUP([@Bib],tblStage3[Bib],tblStage3[NetSeconds],""))</f>
      </c>
      <c r="J73">
        <f>IF(COUNTA([@S1NetSec],[@S2NetSec],[@S3NetSec])=0,"",[@S1NetSec]+[@S2NetSec]+[@S3NetSec])</f>
      </c>
      <c r="K73" s="3">
        <f>IF([@TotalSec]="","",[@TotalSec]/86400)</f>
      </c>
      <c r="L73">
        <f>IF([@Status]&lt;&gt;"Active","",RANK([@TotalSec],FILTER(tblGC[TotalSec],tblGC[Status]="Active"),1))</f>
      </c>
    </row>
    <row r="74" spans="1:12" x14ac:dyDescent="0.25">
      <c r="A74">
        <f>IFERROR(INDEX(tblReg[Bib],ROW()-ROW(tblGC[#Headers])),"")</f>
      </c>
      <c r="B74">
        <f>IF([@Bib]="","",XLOOKUP([@Bib],tblReg[Bib],tblReg[Field],""))</f>
      </c>
      <c r="C74">
        <f>IF([@Bib]="","",XLOOKUP([@Bib],tblReg[Bib],tblReg[FirstName],""))</f>
      </c>
      <c r="D74">
        <f>IF([@Bib]="","",XLOOKUP([@Bib],tblReg[Bib],tblReg[LastName],""))</f>
      </c>
      <c r="E74">
        <f>IF([@Bib]="","",XLOOKUP([@Bib],tblReg[Bib],tblReg[Team],""))</f>
      </c>
      <c r="F74">
        <f>IF([@Bib]="","",XLOOKUP([@Bib],tblReg[Bib],tblReg[Status],""))</f>
      </c>
      <c r="G74">
        <f>IF([@Bib]="","",XLOOKUP([@Bib],tblStage1[Bib],tblStage1[NetSeconds],""))</f>
      </c>
      <c r="H74">
        <f>IF([@Bib]="","",XLOOKUP([@Bib],tblStage2[Bib],tblStage2[NetSeconds],""))</f>
      </c>
      <c r="I74">
        <f>IF([@Bib]="","",XLOOKUP([@Bib],tblStage3[Bib],tblStage3[NetSeconds],""))</f>
      </c>
      <c r="J74">
        <f>IF(COUNTA([@S1NetSec],[@S2NetSec],[@S3NetSec])=0,"",[@S1NetSec]+[@S2NetSec]+[@S3NetSec])</f>
      </c>
      <c r="K74" s="3">
        <f>IF([@TotalSec]="","",[@TotalSec]/86400)</f>
      </c>
      <c r="L74">
        <f>IF([@Status]&lt;&gt;"Active","",RANK([@TotalSec],FILTER(tblGC[TotalSec],tblGC[Status]="Active"),1))</f>
      </c>
    </row>
    <row r="75" spans="1:12" x14ac:dyDescent="0.25">
      <c r="A75">
        <f>IFERROR(INDEX(tblReg[Bib],ROW()-ROW(tblGC[#Headers])),"")</f>
      </c>
      <c r="B75">
        <f>IF([@Bib]="","",XLOOKUP([@Bib],tblReg[Bib],tblReg[Field],""))</f>
      </c>
      <c r="C75">
        <f>IF([@Bib]="","",XLOOKUP([@Bib],tblReg[Bib],tblReg[FirstName],""))</f>
      </c>
      <c r="D75">
        <f>IF([@Bib]="","",XLOOKUP([@Bib],tblReg[Bib],tblReg[LastName],""))</f>
      </c>
      <c r="E75">
        <f>IF([@Bib]="","",XLOOKUP([@Bib],tblReg[Bib],tblReg[Team],""))</f>
      </c>
      <c r="F75">
        <f>IF([@Bib]="","",XLOOKUP([@Bib],tblReg[Bib],tblReg[Status],""))</f>
      </c>
      <c r="G75">
        <f>IF([@Bib]="","",XLOOKUP([@Bib],tblStage1[Bib],tblStage1[NetSeconds],""))</f>
      </c>
      <c r="H75">
        <f>IF([@Bib]="","",XLOOKUP([@Bib],tblStage2[Bib],tblStage2[NetSeconds],""))</f>
      </c>
      <c r="I75">
        <f>IF([@Bib]="","",XLOOKUP([@Bib],tblStage3[Bib],tblStage3[NetSeconds],""))</f>
      </c>
      <c r="J75">
        <f>IF(COUNTA([@S1NetSec],[@S2NetSec],[@S3NetSec])=0,"",[@S1NetSec]+[@S2NetSec]+[@S3NetSec])</f>
      </c>
      <c r="K75" s="3">
        <f>IF([@TotalSec]="","",[@TotalSec]/86400)</f>
      </c>
      <c r="L75">
        <f>IF([@Status]&lt;&gt;"Active","",RANK([@TotalSec],FILTER(tblGC[TotalSec],tblGC[Status]="Active"),1))</f>
      </c>
    </row>
    <row r="76" spans="1:12" x14ac:dyDescent="0.25">
      <c r="A76">
        <f>IFERROR(INDEX(tblReg[Bib],ROW()-ROW(tblGC[#Headers])),"")</f>
      </c>
      <c r="B76">
        <f>IF([@Bib]="","",XLOOKUP([@Bib],tblReg[Bib],tblReg[Field],""))</f>
      </c>
      <c r="C76">
        <f>IF([@Bib]="","",XLOOKUP([@Bib],tblReg[Bib],tblReg[FirstName],""))</f>
      </c>
      <c r="D76">
        <f>IF([@Bib]="","",XLOOKUP([@Bib],tblReg[Bib],tblReg[LastName],""))</f>
      </c>
      <c r="E76">
        <f>IF([@Bib]="","",XLOOKUP([@Bib],tblReg[Bib],tblReg[Team],""))</f>
      </c>
      <c r="F76">
        <f>IF([@Bib]="","",XLOOKUP([@Bib],tblReg[Bib],tblReg[Status],""))</f>
      </c>
      <c r="G76">
        <f>IF([@Bib]="","",XLOOKUP([@Bib],tblStage1[Bib],tblStage1[NetSeconds],""))</f>
      </c>
      <c r="H76">
        <f>IF([@Bib]="","",XLOOKUP([@Bib],tblStage2[Bib],tblStage2[NetSeconds],""))</f>
      </c>
      <c r="I76">
        <f>IF([@Bib]="","",XLOOKUP([@Bib],tblStage3[Bib],tblStage3[NetSeconds],""))</f>
      </c>
      <c r="J76">
        <f>IF(COUNTA([@S1NetSec],[@S2NetSec],[@S3NetSec])=0,"",[@S1NetSec]+[@S2NetSec]+[@S3NetSec])</f>
      </c>
      <c r="K76" s="3">
        <f>IF([@TotalSec]="","",[@TotalSec]/86400)</f>
      </c>
      <c r="L76">
        <f>IF([@Status]&lt;&gt;"Active","",RANK([@TotalSec],FILTER(tblGC[TotalSec],tblGC[Status]="Active"),1))</f>
      </c>
    </row>
    <row r="77" spans="1:12" x14ac:dyDescent="0.25">
      <c r="A77">
        <f>IFERROR(INDEX(tblReg[Bib],ROW()-ROW(tblGC[#Headers])),"")</f>
      </c>
      <c r="B77">
        <f>IF([@Bib]="","",XLOOKUP([@Bib],tblReg[Bib],tblReg[Field],""))</f>
      </c>
      <c r="C77">
        <f>IF([@Bib]="","",XLOOKUP([@Bib],tblReg[Bib],tblReg[FirstName],""))</f>
      </c>
      <c r="D77">
        <f>IF([@Bib]="","",XLOOKUP([@Bib],tblReg[Bib],tblReg[LastName],""))</f>
      </c>
      <c r="E77">
        <f>IF([@Bib]="","",XLOOKUP([@Bib],tblReg[Bib],tblReg[Team],""))</f>
      </c>
      <c r="F77">
        <f>IF([@Bib]="","",XLOOKUP([@Bib],tblReg[Bib],tblReg[Status],""))</f>
      </c>
      <c r="G77">
        <f>IF([@Bib]="","",XLOOKUP([@Bib],tblStage1[Bib],tblStage1[NetSeconds],""))</f>
      </c>
      <c r="H77">
        <f>IF([@Bib]="","",XLOOKUP([@Bib],tblStage2[Bib],tblStage2[NetSeconds],""))</f>
      </c>
      <c r="I77">
        <f>IF([@Bib]="","",XLOOKUP([@Bib],tblStage3[Bib],tblStage3[NetSeconds],""))</f>
      </c>
      <c r="J77">
        <f>IF(COUNTA([@S1NetSec],[@S2NetSec],[@S3NetSec])=0,"",[@S1NetSec]+[@S2NetSec]+[@S3NetSec])</f>
      </c>
      <c r="K77" s="3">
        <f>IF([@TotalSec]="","",[@TotalSec]/86400)</f>
      </c>
      <c r="L77">
        <f>IF([@Status]&lt;&gt;"Active","",RANK([@TotalSec],FILTER(tblGC[TotalSec],tblGC[Status]="Active"),1))</f>
      </c>
    </row>
    <row r="78" spans="1:12" x14ac:dyDescent="0.25">
      <c r="A78">
        <f>IFERROR(INDEX(tblReg[Bib],ROW()-ROW(tblGC[#Headers])),"")</f>
      </c>
      <c r="B78">
        <f>IF([@Bib]="","",XLOOKUP([@Bib],tblReg[Bib],tblReg[Field],""))</f>
      </c>
      <c r="C78">
        <f>IF([@Bib]="","",XLOOKUP([@Bib],tblReg[Bib],tblReg[FirstName],""))</f>
      </c>
      <c r="D78">
        <f>IF([@Bib]="","",XLOOKUP([@Bib],tblReg[Bib],tblReg[LastName],""))</f>
      </c>
      <c r="E78">
        <f>IF([@Bib]="","",XLOOKUP([@Bib],tblReg[Bib],tblReg[Team],""))</f>
      </c>
      <c r="F78">
        <f>IF([@Bib]="","",XLOOKUP([@Bib],tblReg[Bib],tblReg[Status],""))</f>
      </c>
      <c r="G78">
        <f>IF([@Bib]="","",XLOOKUP([@Bib],tblStage1[Bib],tblStage1[NetSeconds],""))</f>
      </c>
      <c r="H78">
        <f>IF([@Bib]="","",XLOOKUP([@Bib],tblStage2[Bib],tblStage2[NetSeconds],""))</f>
      </c>
      <c r="I78">
        <f>IF([@Bib]="","",XLOOKUP([@Bib],tblStage3[Bib],tblStage3[NetSeconds],""))</f>
      </c>
      <c r="J78">
        <f>IF(COUNTA([@S1NetSec],[@S2NetSec],[@S3NetSec])=0,"",[@S1NetSec]+[@S2NetSec]+[@S3NetSec])</f>
      </c>
      <c r="K78" s="3">
        <f>IF([@TotalSec]="","",[@TotalSec]/86400)</f>
      </c>
      <c r="L78">
        <f>IF([@Status]&lt;&gt;"Active","",RANK([@TotalSec],FILTER(tblGC[TotalSec],tblGC[Status]="Active"),1))</f>
      </c>
    </row>
    <row r="79" spans="1:12" x14ac:dyDescent="0.25">
      <c r="A79">
        <f>IFERROR(INDEX(tblReg[Bib],ROW()-ROW(tblGC[#Headers])),"")</f>
      </c>
      <c r="B79">
        <f>IF([@Bib]="","",XLOOKUP([@Bib],tblReg[Bib],tblReg[Field],""))</f>
      </c>
      <c r="C79">
        <f>IF([@Bib]="","",XLOOKUP([@Bib],tblReg[Bib],tblReg[FirstName],""))</f>
      </c>
      <c r="D79">
        <f>IF([@Bib]="","",XLOOKUP([@Bib],tblReg[Bib],tblReg[LastName],""))</f>
      </c>
      <c r="E79">
        <f>IF([@Bib]="","",XLOOKUP([@Bib],tblReg[Bib],tblReg[Team],""))</f>
      </c>
      <c r="F79">
        <f>IF([@Bib]="","",XLOOKUP([@Bib],tblReg[Bib],tblReg[Status],""))</f>
      </c>
      <c r="G79">
        <f>IF([@Bib]="","",XLOOKUP([@Bib],tblStage1[Bib],tblStage1[NetSeconds],""))</f>
      </c>
      <c r="H79">
        <f>IF([@Bib]="","",XLOOKUP([@Bib],tblStage2[Bib],tblStage2[NetSeconds],""))</f>
      </c>
      <c r="I79">
        <f>IF([@Bib]="","",XLOOKUP([@Bib],tblStage3[Bib],tblStage3[NetSeconds],""))</f>
      </c>
      <c r="J79">
        <f>IF(COUNTA([@S1NetSec],[@S2NetSec],[@S3NetSec])=0,"",[@S1NetSec]+[@S2NetSec]+[@S3NetSec])</f>
      </c>
      <c r="K79" s="3">
        <f>IF([@TotalSec]="","",[@TotalSec]/86400)</f>
      </c>
      <c r="L79">
        <f>IF([@Status]&lt;&gt;"Active","",RANK([@TotalSec],FILTER(tblGC[TotalSec],tblGC[Status]="Active"),1))</f>
      </c>
    </row>
    <row r="80" spans="1:12" x14ac:dyDescent="0.25">
      <c r="A80">
        <f>IFERROR(INDEX(tblReg[Bib],ROW()-ROW(tblGC[#Headers])),"")</f>
      </c>
      <c r="B80">
        <f>IF([@Bib]="","",XLOOKUP([@Bib],tblReg[Bib],tblReg[Field],""))</f>
      </c>
      <c r="C80">
        <f>IF([@Bib]="","",XLOOKUP([@Bib],tblReg[Bib],tblReg[FirstName],""))</f>
      </c>
      <c r="D80">
        <f>IF([@Bib]="","",XLOOKUP([@Bib],tblReg[Bib],tblReg[LastName],""))</f>
      </c>
      <c r="E80">
        <f>IF([@Bib]="","",XLOOKUP([@Bib],tblReg[Bib],tblReg[Team],""))</f>
      </c>
      <c r="F80">
        <f>IF([@Bib]="","",XLOOKUP([@Bib],tblReg[Bib],tblReg[Status],""))</f>
      </c>
      <c r="G80">
        <f>IF([@Bib]="","",XLOOKUP([@Bib],tblStage1[Bib],tblStage1[NetSeconds],""))</f>
      </c>
      <c r="H80">
        <f>IF([@Bib]="","",XLOOKUP([@Bib],tblStage2[Bib],tblStage2[NetSeconds],""))</f>
      </c>
      <c r="I80">
        <f>IF([@Bib]="","",XLOOKUP([@Bib],tblStage3[Bib],tblStage3[NetSeconds],""))</f>
      </c>
      <c r="J80">
        <f>IF(COUNTA([@S1NetSec],[@S2NetSec],[@S3NetSec])=0,"",[@S1NetSec]+[@S2NetSec]+[@S3NetSec])</f>
      </c>
      <c r="K80" s="3">
        <f>IF([@TotalSec]="","",[@TotalSec]/86400)</f>
      </c>
      <c r="L80">
        <f>IF([@Status]&lt;&gt;"Active","",RANK([@TotalSec],FILTER(tblGC[TotalSec],tblGC[Status]="Active"),1))</f>
      </c>
    </row>
    <row r="81" spans="1:12" x14ac:dyDescent="0.25">
      <c r="A81">
        <f>IFERROR(INDEX(tblReg[Bib],ROW()-ROW(tblGC[#Headers])),"")</f>
      </c>
      <c r="B81">
        <f>IF([@Bib]="","",XLOOKUP([@Bib],tblReg[Bib],tblReg[Field],""))</f>
      </c>
      <c r="C81">
        <f>IF([@Bib]="","",XLOOKUP([@Bib],tblReg[Bib],tblReg[FirstName],""))</f>
      </c>
      <c r="D81">
        <f>IF([@Bib]="","",XLOOKUP([@Bib],tblReg[Bib],tblReg[LastName],""))</f>
      </c>
      <c r="E81">
        <f>IF([@Bib]="","",XLOOKUP([@Bib],tblReg[Bib],tblReg[Team],""))</f>
      </c>
      <c r="F81">
        <f>IF([@Bib]="","",XLOOKUP([@Bib],tblReg[Bib],tblReg[Status],""))</f>
      </c>
      <c r="G81">
        <f>IF([@Bib]="","",XLOOKUP([@Bib],tblStage1[Bib],tblStage1[NetSeconds],""))</f>
      </c>
      <c r="H81">
        <f>IF([@Bib]="","",XLOOKUP([@Bib],tblStage2[Bib],tblStage2[NetSeconds],""))</f>
      </c>
      <c r="I81">
        <f>IF([@Bib]="","",XLOOKUP([@Bib],tblStage3[Bib],tblStage3[NetSeconds],""))</f>
      </c>
      <c r="J81">
        <f>IF(COUNTA([@S1NetSec],[@S2NetSec],[@S3NetSec])=0,"",[@S1NetSec]+[@S2NetSec]+[@S3NetSec])</f>
      </c>
      <c r="K81" s="3">
        <f>IF([@TotalSec]="","",[@TotalSec]/86400)</f>
      </c>
      <c r="L81">
        <f>IF([@Status]&lt;&gt;"Active","",RANK([@TotalSec],FILTER(tblGC[TotalSec],tblGC[Status]="Active"),1))</f>
      </c>
    </row>
    <row r="82" spans="1:12" x14ac:dyDescent="0.25">
      <c r="A82">
        <f>IFERROR(INDEX(tblReg[Bib],ROW()-ROW(tblGC[#Headers])),"")</f>
      </c>
      <c r="B82">
        <f>IF([@Bib]="","",XLOOKUP([@Bib],tblReg[Bib],tblReg[Field],""))</f>
      </c>
      <c r="C82">
        <f>IF([@Bib]="","",XLOOKUP([@Bib],tblReg[Bib],tblReg[FirstName],""))</f>
      </c>
      <c r="D82">
        <f>IF([@Bib]="","",XLOOKUP([@Bib],tblReg[Bib],tblReg[LastName],""))</f>
      </c>
      <c r="E82">
        <f>IF([@Bib]="","",XLOOKUP([@Bib],tblReg[Bib],tblReg[Team],""))</f>
      </c>
      <c r="F82">
        <f>IF([@Bib]="","",XLOOKUP([@Bib],tblReg[Bib],tblReg[Status],""))</f>
      </c>
      <c r="G82">
        <f>IF([@Bib]="","",XLOOKUP([@Bib],tblStage1[Bib],tblStage1[NetSeconds],""))</f>
      </c>
      <c r="H82">
        <f>IF([@Bib]="","",XLOOKUP([@Bib],tblStage2[Bib],tblStage2[NetSeconds],""))</f>
      </c>
      <c r="I82">
        <f>IF([@Bib]="","",XLOOKUP([@Bib],tblStage3[Bib],tblStage3[NetSeconds],""))</f>
      </c>
      <c r="J82">
        <f>IF(COUNTA([@S1NetSec],[@S2NetSec],[@S3NetSec])=0,"",[@S1NetSec]+[@S2NetSec]+[@S3NetSec])</f>
      </c>
      <c r="K82" s="3">
        <f>IF([@TotalSec]="","",[@TotalSec]/86400)</f>
      </c>
      <c r="L82">
        <f>IF([@Status]&lt;&gt;"Active","",RANK([@TotalSec],FILTER(tblGC[TotalSec],tblGC[Status]="Active"),1))</f>
      </c>
    </row>
    <row r="83" spans="1:12" x14ac:dyDescent="0.25">
      <c r="A83">
        <f>IFERROR(INDEX(tblReg[Bib],ROW()-ROW(tblGC[#Headers])),"")</f>
      </c>
      <c r="B83">
        <f>IF([@Bib]="","",XLOOKUP([@Bib],tblReg[Bib],tblReg[Field],""))</f>
      </c>
      <c r="C83">
        <f>IF([@Bib]="","",XLOOKUP([@Bib],tblReg[Bib],tblReg[FirstName],""))</f>
      </c>
      <c r="D83">
        <f>IF([@Bib]="","",XLOOKUP([@Bib],tblReg[Bib],tblReg[LastName],""))</f>
      </c>
      <c r="E83">
        <f>IF([@Bib]="","",XLOOKUP([@Bib],tblReg[Bib],tblReg[Team],""))</f>
      </c>
      <c r="F83">
        <f>IF([@Bib]="","",XLOOKUP([@Bib],tblReg[Bib],tblReg[Status],""))</f>
      </c>
      <c r="G83">
        <f>IF([@Bib]="","",XLOOKUP([@Bib],tblStage1[Bib],tblStage1[NetSeconds],""))</f>
      </c>
      <c r="H83">
        <f>IF([@Bib]="","",XLOOKUP([@Bib],tblStage2[Bib],tblStage2[NetSeconds],""))</f>
      </c>
      <c r="I83">
        <f>IF([@Bib]="","",XLOOKUP([@Bib],tblStage3[Bib],tblStage3[NetSeconds],""))</f>
      </c>
      <c r="J83">
        <f>IF(COUNTA([@S1NetSec],[@S2NetSec],[@S3NetSec])=0,"",[@S1NetSec]+[@S2NetSec]+[@S3NetSec])</f>
      </c>
      <c r="K83" s="3">
        <f>IF([@TotalSec]="","",[@TotalSec]/86400)</f>
      </c>
      <c r="L83">
        <f>IF([@Status]&lt;&gt;"Active","",RANK([@TotalSec],FILTER(tblGC[TotalSec],tblGC[Status]="Active"),1))</f>
      </c>
    </row>
    <row r="84" spans="1:12" x14ac:dyDescent="0.25">
      <c r="A84">
        <f>IFERROR(INDEX(tblReg[Bib],ROW()-ROW(tblGC[#Headers])),"")</f>
      </c>
      <c r="B84">
        <f>IF([@Bib]="","",XLOOKUP([@Bib],tblReg[Bib],tblReg[Field],""))</f>
      </c>
      <c r="C84">
        <f>IF([@Bib]="","",XLOOKUP([@Bib],tblReg[Bib],tblReg[FirstName],""))</f>
      </c>
      <c r="D84">
        <f>IF([@Bib]="","",XLOOKUP([@Bib],tblReg[Bib],tblReg[LastName],""))</f>
      </c>
      <c r="E84">
        <f>IF([@Bib]="","",XLOOKUP([@Bib],tblReg[Bib],tblReg[Team],""))</f>
      </c>
      <c r="F84">
        <f>IF([@Bib]="","",XLOOKUP([@Bib],tblReg[Bib],tblReg[Status],""))</f>
      </c>
      <c r="G84">
        <f>IF([@Bib]="","",XLOOKUP([@Bib],tblStage1[Bib],tblStage1[NetSeconds],""))</f>
      </c>
      <c r="H84">
        <f>IF([@Bib]="","",XLOOKUP([@Bib],tblStage2[Bib],tblStage2[NetSeconds],""))</f>
      </c>
      <c r="I84">
        <f>IF([@Bib]="","",XLOOKUP([@Bib],tblStage3[Bib],tblStage3[NetSeconds],""))</f>
      </c>
      <c r="J84">
        <f>IF(COUNTA([@S1NetSec],[@S2NetSec],[@S3NetSec])=0,"",[@S1NetSec]+[@S2NetSec]+[@S3NetSec])</f>
      </c>
      <c r="K84" s="3">
        <f>IF([@TotalSec]="","",[@TotalSec]/86400)</f>
      </c>
      <c r="L84">
        <f>IF([@Status]&lt;&gt;"Active","",RANK([@TotalSec],FILTER(tblGC[TotalSec],tblGC[Status]="Active"),1))</f>
      </c>
    </row>
    <row r="85" spans="1:12" x14ac:dyDescent="0.25">
      <c r="A85">
        <f>IFERROR(INDEX(tblReg[Bib],ROW()-ROW(tblGC[#Headers])),"")</f>
      </c>
      <c r="B85">
        <f>IF([@Bib]="","",XLOOKUP([@Bib],tblReg[Bib],tblReg[Field],""))</f>
      </c>
      <c r="C85">
        <f>IF([@Bib]="","",XLOOKUP([@Bib],tblReg[Bib],tblReg[FirstName],""))</f>
      </c>
      <c r="D85">
        <f>IF([@Bib]="","",XLOOKUP([@Bib],tblReg[Bib],tblReg[LastName],""))</f>
      </c>
      <c r="E85">
        <f>IF([@Bib]="","",XLOOKUP([@Bib],tblReg[Bib],tblReg[Team],""))</f>
      </c>
      <c r="F85">
        <f>IF([@Bib]="","",XLOOKUP([@Bib],tblReg[Bib],tblReg[Status],""))</f>
      </c>
      <c r="G85">
        <f>IF([@Bib]="","",XLOOKUP([@Bib],tblStage1[Bib],tblStage1[NetSeconds],""))</f>
      </c>
      <c r="H85">
        <f>IF([@Bib]="","",XLOOKUP([@Bib],tblStage2[Bib],tblStage2[NetSeconds],""))</f>
      </c>
      <c r="I85">
        <f>IF([@Bib]="","",XLOOKUP([@Bib],tblStage3[Bib],tblStage3[NetSeconds],""))</f>
      </c>
      <c r="J85">
        <f>IF(COUNTA([@S1NetSec],[@S2NetSec],[@S3NetSec])=0,"",[@S1NetSec]+[@S2NetSec]+[@S3NetSec])</f>
      </c>
      <c r="K85" s="3">
        <f>IF([@TotalSec]="","",[@TotalSec]/86400)</f>
      </c>
      <c r="L85">
        <f>IF([@Status]&lt;&gt;"Active","",RANK([@TotalSec],FILTER(tblGC[TotalSec],tblGC[Status]="Active"),1))</f>
      </c>
    </row>
    <row r="86" spans="1:12" x14ac:dyDescent="0.25">
      <c r="A86">
        <f>IFERROR(INDEX(tblReg[Bib],ROW()-ROW(tblGC[#Headers])),"")</f>
      </c>
      <c r="B86">
        <f>IF([@Bib]="","",XLOOKUP([@Bib],tblReg[Bib],tblReg[Field],""))</f>
      </c>
      <c r="C86">
        <f>IF([@Bib]="","",XLOOKUP([@Bib],tblReg[Bib],tblReg[FirstName],""))</f>
      </c>
      <c r="D86">
        <f>IF([@Bib]="","",XLOOKUP([@Bib],tblReg[Bib],tblReg[LastName],""))</f>
      </c>
      <c r="E86">
        <f>IF([@Bib]="","",XLOOKUP([@Bib],tblReg[Bib],tblReg[Team],""))</f>
      </c>
      <c r="F86">
        <f>IF([@Bib]="","",XLOOKUP([@Bib],tblReg[Bib],tblReg[Status],""))</f>
      </c>
      <c r="G86">
        <f>IF([@Bib]="","",XLOOKUP([@Bib],tblStage1[Bib],tblStage1[NetSeconds],""))</f>
      </c>
      <c r="H86">
        <f>IF([@Bib]="","",XLOOKUP([@Bib],tblStage2[Bib],tblStage2[NetSeconds],""))</f>
      </c>
      <c r="I86">
        <f>IF([@Bib]="","",XLOOKUP([@Bib],tblStage3[Bib],tblStage3[NetSeconds],""))</f>
      </c>
      <c r="J86">
        <f>IF(COUNTA([@S1NetSec],[@S2NetSec],[@S3NetSec])=0,"",[@S1NetSec]+[@S2NetSec]+[@S3NetSec])</f>
      </c>
      <c r="K86" s="3">
        <f>IF([@TotalSec]="","",[@TotalSec]/86400)</f>
      </c>
      <c r="L86">
        <f>IF([@Status]&lt;&gt;"Active","",RANK([@TotalSec],FILTER(tblGC[TotalSec],tblGC[Status]="Active"),1))</f>
      </c>
    </row>
    <row r="87" spans="1:12" x14ac:dyDescent="0.25">
      <c r="A87">
        <f>IFERROR(INDEX(tblReg[Bib],ROW()-ROW(tblGC[#Headers])),"")</f>
      </c>
      <c r="B87">
        <f>IF([@Bib]="","",XLOOKUP([@Bib],tblReg[Bib],tblReg[Field],""))</f>
      </c>
      <c r="C87">
        <f>IF([@Bib]="","",XLOOKUP([@Bib],tblReg[Bib],tblReg[FirstName],""))</f>
      </c>
      <c r="D87">
        <f>IF([@Bib]="","",XLOOKUP([@Bib],tblReg[Bib],tblReg[LastName],""))</f>
      </c>
      <c r="E87">
        <f>IF([@Bib]="","",XLOOKUP([@Bib],tblReg[Bib],tblReg[Team],""))</f>
      </c>
      <c r="F87">
        <f>IF([@Bib]="","",XLOOKUP([@Bib],tblReg[Bib],tblReg[Status],""))</f>
      </c>
      <c r="G87">
        <f>IF([@Bib]="","",XLOOKUP([@Bib],tblStage1[Bib],tblStage1[NetSeconds],""))</f>
      </c>
      <c r="H87">
        <f>IF([@Bib]="","",XLOOKUP([@Bib],tblStage2[Bib],tblStage2[NetSeconds],""))</f>
      </c>
      <c r="I87">
        <f>IF([@Bib]="","",XLOOKUP([@Bib],tblStage3[Bib],tblStage3[NetSeconds],""))</f>
      </c>
      <c r="J87">
        <f>IF(COUNTA([@S1NetSec],[@S2NetSec],[@S3NetSec])=0,"",[@S1NetSec]+[@S2NetSec]+[@S3NetSec])</f>
      </c>
      <c r="K87" s="3">
        <f>IF([@TotalSec]="","",[@TotalSec]/86400)</f>
      </c>
      <c r="L87">
        <f>IF([@Status]&lt;&gt;"Active","",RANK([@TotalSec],FILTER(tblGC[TotalSec],tblGC[Status]="Active"),1))</f>
      </c>
    </row>
    <row r="88" spans="1:12" x14ac:dyDescent="0.25">
      <c r="A88">
        <f>IFERROR(INDEX(tblReg[Bib],ROW()-ROW(tblGC[#Headers])),"")</f>
      </c>
      <c r="B88">
        <f>IF([@Bib]="","",XLOOKUP([@Bib],tblReg[Bib],tblReg[Field],""))</f>
      </c>
      <c r="C88">
        <f>IF([@Bib]="","",XLOOKUP([@Bib],tblReg[Bib],tblReg[FirstName],""))</f>
      </c>
      <c r="D88">
        <f>IF([@Bib]="","",XLOOKUP([@Bib],tblReg[Bib],tblReg[LastName],""))</f>
      </c>
      <c r="E88">
        <f>IF([@Bib]="","",XLOOKUP([@Bib],tblReg[Bib],tblReg[Team],""))</f>
      </c>
      <c r="F88">
        <f>IF([@Bib]="","",XLOOKUP([@Bib],tblReg[Bib],tblReg[Status],""))</f>
      </c>
      <c r="G88">
        <f>IF([@Bib]="","",XLOOKUP([@Bib],tblStage1[Bib],tblStage1[NetSeconds],""))</f>
      </c>
      <c r="H88">
        <f>IF([@Bib]="","",XLOOKUP([@Bib],tblStage2[Bib],tblStage2[NetSeconds],""))</f>
      </c>
      <c r="I88">
        <f>IF([@Bib]="","",XLOOKUP([@Bib],tblStage3[Bib],tblStage3[NetSeconds],""))</f>
      </c>
      <c r="J88">
        <f>IF(COUNTA([@S1NetSec],[@S2NetSec],[@S3NetSec])=0,"",[@S1NetSec]+[@S2NetSec]+[@S3NetSec])</f>
      </c>
      <c r="K88" s="3">
        <f>IF([@TotalSec]="","",[@TotalSec]/86400)</f>
      </c>
      <c r="L88">
        <f>IF([@Status]&lt;&gt;"Active","",RANK([@TotalSec],FILTER(tblGC[TotalSec],tblGC[Status]="Active"),1))</f>
      </c>
    </row>
    <row r="89" spans="1:12" x14ac:dyDescent="0.25">
      <c r="A89">
        <f>IFERROR(INDEX(tblReg[Bib],ROW()-ROW(tblGC[#Headers])),"")</f>
      </c>
      <c r="B89">
        <f>IF([@Bib]="","",XLOOKUP([@Bib],tblReg[Bib],tblReg[Field],""))</f>
      </c>
      <c r="C89">
        <f>IF([@Bib]="","",XLOOKUP([@Bib],tblReg[Bib],tblReg[FirstName],""))</f>
      </c>
      <c r="D89">
        <f>IF([@Bib]="","",XLOOKUP([@Bib],tblReg[Bib],tblReg[LastName],""))</f>
      </c>
      <c r="E89">
        <f>IF([@Bib]="","",XLOOKUP([@Bib],tblReg[Bib],tblReg[Team],""))</f>
      </c>
      <c r="F89">
        <f>IF([@Bib]="","",XLOOKUP([@Bib],tblReg[Bib],tblReg[Status],""))</f>
      </c>
      <c r="G89">
        <f>IF([@Bib]="","",XLOOKUP([@Bib],tblStage1[Bib],tblStage1[NetSeconds],""))</f>
      </c>
      <c r="H89">
        <f>IF([@Bib]="","",XLOOKUP([@Bib],tblStage2[Bib],tblStage2[NetSeconds],""))</f>
      </c>
      <c r="I89">
        <f>IF([@Bib]="","",XLOOKUP([@Bib],tblStage3[Bib],tblStage3[NetSeconds],""))</f>
      </c>
      <c r="J89">
        <f>IF(COUNTA([@S1NetSec],[@S2NetSec],[@S3NetSec])=0,"",[@S1NetSec]+[@S2NetSec]+[@S3NetSec])</f>
      </c>
      <c r="K89" s="3">
        <f>IF([@TotalSec]="","",[@TotalSec]/86400)</f>
      </c>
      <c r="L89">
        <f>IF([@Status]&lt;&gt;"Active","",RANK([@TotalSec],FILTER(tblGC[TotalSec],tblGC[Status]="Active"),1))</f>
      </c>
    </row>
    <row r="90" spans="1:12" x14ac:dyDescent="0.25">
      <c r="A90">
        <f>IFERROR(INDEX(tblReg[Bib],ROW()-ROW(tblGC[#Headers])),"")</f>
      </c>
      <c r="B90">
        <f>IF([@Bib]="","",XLOOKUP([@Bib],tblReg[Bib],tblReg[Field],""))</f>
      </c>
      <c r="C90">
        <f>IF([@Bib]="","",XLOOKUP([@Bib],tblReg[Bib],tblReg[FirstName],""))</f>
      </c>
      <c r="D90">
        <f>IF([@Bib]="","",XLOOKUP([@Bib],tblReg[Bib],tblReg[LastName],""))</f>
      </c>
      <c r="E90">
        <f>IF([@Bib]="","",XLOOKUP([@Bib],tblReg[Bib],tblReg[Team],""))</f>
      </c>
      <c r="F90">
        <f>IF([@Bib]="","",XLOOKUP([@Bib],tblReg[Bib],tblReg[Status],""))</f>
      </c>
      <c r="G90">
        <f>IF([@Bib]="","",XLOOKUP([@Bib],tblStage1[Bib],tblStage1[NetSeconds],""))</f>
      </c>
      <c r="H90">
        <f>IF([@Bib]="","",XLOOKUP([@Bib],tblStage2[Bib],tblStage2[NetSeconds],""))</f>
      </c>
      <c r="I90">
        <f>IF([@Bib]="","",XLOOKUP([@Bib],tblStage3[Bib],tblStage3[NetSeconds],""))</f>
      </c>
      <c r="J90">
        <f>IF(COUNTA([@S1NetSec],[@S2NetSec],[@S3NetSec])=0,"",[@S1NetSec]+[@S2NetSec]+[@S3NetSec])</f>
      </c>
      <c r="K90" s="3">
        <f>IF([@TotalSec]="","",[@TotalSec]/86400)</f>
      </c>
      <c r="L90">
        <f>IF([@Status]&lt;&gt;"Active","",RANK([@TotalSec],FILTER(tblGC[TotalSec],tblGC[Status]="Active"),1))</f>
      </c>
    </row>
    <row r="91" spans="1:12" x14ac:dyDescent="0.25">
      <c r="A91">
        <f>IFERROR(INDEX(tblReg[Bib],ROW()-ROW(tblGC[#Headers])),"")</f>
      </c>
      <c r="B91">
        <f>IF([@Bib]="","",XLOOKUP([@Bib],tblReg[Bib],tblReg[Field],""))</f>
      </c>
      <c r="C91">
        <f>IF([@Bib]="","",XLOOKUP([@Bib],tblReg[Bib],tblReg[FirstName],""))</f>
      </c>
      <c r="D91">
        <f>IF([@Bib]="","",XLOOKUP([@Bib],tblReg[Bib],tblReg[LastName],""))</f>
      </c>
      <c r="E91">
        <f>IF([@Bib]="","",XLOOKUP([@Bib],tblReg[Bib],tblReg[Team],""))</f>
      </c>
      <c r="F91">
        <f>IF([@Bib]="","",XLOOKUP([@Bib],tblReg[Bib],tblReg[Status],""))</f>
      </c>
      <c r="G91">
        <f>IF([@Bib]="","",XLOOKUP([@Bib],tblStage1[Bib],tblStage1[NetSeconds],""))</f>
      </c>
      <c r="H91">
        <f>IF([@Bib]="","",XLOOKUP([@Bib],tblStage2[Bib],tblStage2[NetSeconds],""))</f>
      </c>
      <c r="I91">
        <f>IF([@Bib]="","",XLOOKUP([@Bib],tblStage3[Bib],tblStage3[NetSeconds],""))</f>
      </c>
      <c r="J91">
        <f>IF(COUNTA([@S1NetSec],[@S2NetSec],[@S3NetSec])=0,"",[@S1NetSec]+[@S2NetSec]+[@S3NetSec])</f>
      </c>
      <c r="K91" s="3">
        <f>IF([@TotalSec]="","",[@TotalSec]/86400)</f>
      </c>
      <c r="L91">
        <f>IF([@Status]&lt;&gt;"Active","",RANK([@TotalSec],FILTER(tblGC[TotalSec],tblGC[Status]="Active"),1))</f>
      </c>
    </row>
    <row r="92" spans="1:12" x14ac:dyDescent="0.25">
      <c r="A92">
        <f>IFERROR(INDEX(tblReg[Bib],ROW()-ROW(tblGC[#Headers])),"")</f>
      </c>
      <c r="B92">
        <f>IF([@Bib]="","",XLOOKUP([@Bib],tblReg[Bib],tblReg[Field],""))</f>
      </c>
      <c r="C92">
        <f>IF([@Bib]="","",XLOOKUP([@Bib],tblReg[Bib],tblReg[FirstName],""))</f>
      </c>
      <c r="D92">
        <f>IF([@Bib]="","",XLOOKUP([@Bib],tblReg[Bib],tblReg[LastName],""))</f>
      </c>
      <c r="E92">
        <f>IF([@Bib]="","",XLOOKUP([@Bib],tblReg[Bib],tblReg[Team],""))</f>
      </c>
      <c r="F92">
        <f>IF([@Bib]="","",XLOOKUP([@Bib],tblReg[Bib],tblReg[Status],""))</f>
      </c>
      <c r="G92">
        <f>IF([@Bib]="","",XLOOKUP([@Bib],tblStage1[Bib],tblStage1[NetSeconds],""))</f>
      </c>
      <c r="H92">
        <f>IF([@Bib]="","",XLOOKUP([@Bib],tblStage2[Bib],tblStage2[NetSeconds],""))</f>
      </c>
      <c r="I92">
        <f>IF([@Bib]="","",XLOOKUP([@Bib],tblStage3[Bib],tblStage3[NetSeconds],""))</f>
      </c>
      <c r="J92">
        <f>IF(COUNTA([@S1NetSec],[@S2NetSec],[@S3NetSec])=0,"",[@S1NetSec]+[@S2NetSec]+[@S3NetSec])</f>
      </c>
      <c r="K92" s="3">
        <f>IF([@TotalSec]="","",[@TotalSec]/86400)</f>
      </c>
      <c r="L92">
        <f>IF([@Status]&lt;&gt;"Active","",RANK([@TotalSec],FILTER(tblGC[TotalSec],tblGC[Status]="Active"),1))</f>
      </c>
    </row>
    <row r="93" spans="1:12" x14ac:dyDescent="0.25">
      <c r="A93">
        <f>IFERROR(INDEX(tblReg[Bib],ROW()-ROW(tblGC[#Headers])),"")</f>
      </c>
      <c r="B93">
        <f>IF([@Bib]="","",XLOOKUP([@Bib],tblReg[Bib],tblReg[Field],""))</f>
      </c>
      <c r="C93">
        <f>IF([@Bib]="","",XLOOKUP([@Bib],tblReg[Bib],tblReg[FirstName],""))</f>
      </c>
      <c r="D93">
        <f>IF([@Bib]="","",XLOOKUP([@Bib],tblReg[Bib],tblReg[LastName],""))</f>
      </c>
      <c r="E93">
        <f>IF([@Bib]="","",XLOOKUP([@Bib],tblReg[Bib],tblReg[Team],""))</f>
      </c>
      <c r="F93">
        <f>IF([@Bib]="","",XLOOKUP([@Bib],tblReg[Bib],tblReg[Status],""))</f>
      </c>
      <c r="G93">
        <f>IF([@Bib]="","",XLOOKUP([@Bib],tblStage1[Bib],tblStage1[NetSeconds],""))</f>
      </c>
      <c r="H93">
        <f>IF([@Bib]="","",XLOOKUP([@Bib],tblStage2[Bib],tblStage2[NetSeconds],""))</f>
      </c>
      <c r="I93">
        <f>IF([@Bib]="","",XLOOKUP([@Bib],tblStage3[Bib],tblStage3[NetSeconds],""))</f>
      </c>
      <c r="J93">
        <f>IF(COUNTA([@S1NetSec],[@S2NetSec],[@S3NetSec])=0,"",[@S1NetSec]+[@S2NetSec]+[@S3NetSec])</f>
      </c>
      <c r="K93" s="3">
        <f>IF([@TotalSec]="","",[@TotalSec]/86400)</f>
      </c>
      <c r="L93">
        <f>IF([@Status]&lt;&gt;"Active","",RANK([@TotalSec],FILTER(tblGC[TotalSec],tblGC[Status]="Active"),1))</f>
      </c>
    </row>
    <row r="94" spans="1:12" x14ac:dyDescent="0.25">
      <c r="A94">
        <f>IFERROR(INDEX(tblReg[Bib],ROW()-ROW(tblGC[#Headers])),"")</f>
      </c>
      <c r="B94">
        <f>IF([@Bib]="","",XLOOKUP([@Bib],tblReg[Bib],tblReg[Field],""))</f>
      </c>
      <c r="C94">
        <f>IF([@Bib]="","",XLOOKUP([@Bib],tblReg[Bib],tblReg[FirstName],""))</f>
      </c>
      <c r="D94">
        <f>IF([@Bib]="","",XLOOKUP([@Bib],tblReg[Bib],tblReg[LastName],""))</f>
      </c>
      <c r="E94">
        <f>IF([@Bib]="","",XLOOKUP([@Bib],tblReg[Bib],tblReg[Team],""))</f>
      </c>
      <c r="F94">
        <f>IF([@Bib]="","",XLOOKUP([@Bib],tblReg[Bib],tblReg[Status],""))</f>
      </c>
      <c r="G94">
        <f>IF([@Bib]="","",XLOOKUP([@Bib],tblStage1[Bib],tblStage1[NetSeconds],""))</f>
      </c>
      <c r="H94">
        <f>IF([@Bib]="","",XLOOKUP([@Bib],tblStage2[Bib],tblStage2[NetSeconds],""))</f>
      </c>
      <c r="I94">
        <f>IF([@Bib]="","",XLOOKUP([@Bib],tblStage3[Bib],tblStage3[NetSeconds],""))</f>
      </c>
      <c r="J94">
        <f>IF(COUNTA([@S1NetSec],[@S2NetSec],[@S3NetSec])=0,"",[@S1NetSec]+[@S2NetSec]+[@S3NetSec])</f>
      </c>
      <c r="K94" s="3">
        <f>IF([@TotalSec]="","",[@TotalSec]/86400)</f>
      </c>
      <c r="L94">
        <f>IF([@Status]&lt;&gt;"Active","",RANK([@TotalSec],FILTER(tblGC[TotalSec],tblGC[Status]="Active"),1))</f>
      </c>
    </row>
    <row r="95" spans="1:12" x14ac:dyDescent="0.25">
      <c r="A95">
        <f>IFERROR(INDEX(tblReg[Bib],ROW()-ROW(tblGC[#Headers])),"")</f>
      </c>
      <c r="B95">
        <f>IF([@Bib]="","",XLOOKUP([@Bib],tblReg[Bib],tblReg[Field],""))</f>
      </c>
      <c r="C95">
        <f>IF([@Bib]="","",XLOOKUP([@Bib],tblReg[Bib],tblReg[FirstName],""))</f>
      </c>
      <c r="D95">
        <f>IF([@Bib]="","",XLOOKUP([@Bib],tblReg[Bib],tblReg[LastName],""))</f>
      </c>
      <c r="E95">
        <f>IF([@Bib]="","",XLOOKUP([@Bib],tblReg[Bib],tblReg[Team],""))</f>
      </c>
      <c r="F95">
        <f>IF([@Bib]="","",XLOOKUP([@Bib],tblReg[Bib],tblReg[Status],""))</f>
      </c>
      <c r="G95">
        <f>IF([@Bib]="","",XLOOKUP([@Bib],tblStage1[Bib],tblStage1[NetSeconds],""))</f>
      </c>
      <c r="H95">
        <f>IF([@Bib]="","",XLOOKUP([@Bib],tblStage2[Bib],tblStage2[NetSeconds],""))</f>
      </c>
      <c r="I95">
        <f>IF([@Bib]="","",XLOOKUP([@Bib],tblStage3[Bib],tblStage3[NetSeconds],""))</f>
      </c>
      <c r="J95">
        <f>IF(COUNTA([@S1NetSec],[@S2NetSec],[@S3NetSec])=0,"",[@S1NetSec]+[@S2NetSec]+[@S3NetSec])</f>
      </c>
      <c r="K95" s="3">
        <f>IF([@TotalSec]="","",[@TotalSec]/86400)</f>
      </c>
      <c r="L95">
        <f>IF([@Status]&lt;&gt;"Active","",RANK([@TotalSec],FILTER(tblGC[TotalSec],tblGC[Status]="Active"),1))</f>
      </c>
    </row>
    <row r="96" spans="1:12" x14ac:dyDescent="0.25">
      <c r="A96">
        <f>IFERROR(INDEX(tblReg[Bib],ROW()-ROW(tblGC[#Headers])),"")</f>
      </c>
      <c r="B96">
        <f>IF([@Bib]="","",XLOOKUP([@Bib],tblReg[Bib],tblReg[Field],""))</f>
      </c>
      <c r="C96">
        <f>IF([@Bib]="","",XLOOKUP([@Bib],tblReg[Bib],tblReg[FirstName],""))</f>
      </c>
      <c r="D96">
        <f>IF([@Bib]="","",XLOOKUP([@Bib],tblReg[Bib],tblReg[LastName],""))</f>
      </c>
      <c r="E96">
        <f>IF([@Bib]="","",XLOOKUP([@Bib],tblReg[Bib],tblReg[Team],""))</f>
      </c>
      <c r="F96">
        <f>IF([@Bib]="","",XLOOKUP([@Bib],tblReg[Bib],tblReg[Status],""))</f>
      </c>
      <c r="G96">
        <f>IF([@Bib]="","",XLOOKUP([@Bib],tblStage1[Bib],tblStage1[NetSeconds],""))</f>
      </c>
      <c r="H96">
        <f>IF([@Bib]="","",XLOOKUP([@Bib],tblStage2[Bib],tblStage2[NetSeconds],""))</f>
      </c>
      <c r="I96">
        <f>IF([@Bib]="","",XLOOKUP([@Bib],tblStage3[Bib],tblStage3[NetSeconds],""))</f>
      </c>
      <c r="J96">
        <f>IF(COUNTA([@S1NetSec],[@S2NetSec],[@S3NetSec])=0,"",[@S1NetSec]+[@S2NetSec]+[@S3NetSec])</f>
      </c>
      <c r="K96" s="3">
        <f>IF([@TotalSec]="","",[@TotalSec]/86400)</f>
      </c>
      <c r="L96">
        <f>IF([@Status]&lt;&gt;"Active","",RANK([@TotalSec],FILTER(tblGC[TotalSec],tblGC[Status]="Active"),1))</f>
      </c>
    </row>
    <row r="97" spans="1:12" x14ac:dyDescent="0.25">
      <c r="A97">
        <f>IFERROR(INDEX(tblReg[Bib],ROW()-ROW(tblGC[#Headers])),"")</f>
      </c>
      <c r="B97">
        <f>IF([@Bib]="","",XLOOKUP([@Bib],tblReg[Bib],tblReg[Field],""))</f>
      </c>
      <c r="C97">
        <f>IF([@Bib]="","",XLOOKUP([@Bib],tblReg[Bib],tblReg[FirstName],""))</f>
      </c>
      <c r="D97">
        <f>IF([@Bib]="","",XLOOKUP([@Bib],tblReg[Bib],tblReg[LastName],""))</f>
      </c>
      <c r="E97">
        <f>IF([@Bib]="","",XLOOKUP([@Bib],tblReg[Bib],tblReg[Team],""))</f>
      </c>
      <c r="F97">
        <f>IF([@Bib]="","",XLOOKUP([@Bib],tblReg[Bib],tblReg[Status],""))</f>
      </c>
      <c r="G97">
        <f>IF([@Bib]="","",XLOOKUP([@Bib],tblStage1[Bib],tblStage1[NetSeconds],""))</f>
      </c>
      <c r="H97">
        <f>IF([@Bib]="","",XLOOKUP([@Bib],tblStage2[Bib],tblStage2[NetSeconds],""))</f>
      </c>
      <c r="I97">
        <f>IF([@Bib]="","",XLOOKUP([@Bib],tblStage3[Bib],tblStage3[NetSeconds],""))</f>
      </c>
      <c r="J97">
        <f>IF(COUNTA([@S1NetSec],[@S2NetSec],[@S3NetSec])=0,"",[@S1NetSec]+[@S2NetSec]+[@S3NetSec])</f>
      </c>
      <c r="K97" s="3">
        <f>IF([@TotalSec]="","",[@TotalSec]/86400)</f>
      </c>
      <c r="L97">
        <f>IF([@Status]&lt;&gt;"Active","",RANK([@TotalSec],FILTER(tblGC[TotalSec],tblGC[Status]="Active"),1))</f>
      </c>
    </row>
    <row r="98" spans="1:12" x14ac:dyDescent="0.25">
      <c r="A98">
        <f>IFERROR(INDEX(tblReg[Bib],ROW()-ROW(tblGC[#Headers])),"")</f>
      </c>
      <c r="B98">
        <f>IF([@Bib]="","",XLOOKUP([@Bib],tblReg[Bib],tblReg[Field],""))</f>
      </c>
      <c r="C98">
        <f>IF([@Bib]="","",XLOOKUP([@Bib],tblReg[Bib],tblReg[FirstName],""))</f>
      </c>
      <c r="D98">
        <f>IF([@Bib]="","",XLOOKUP([@Bib],tblReg[Bib],tblReg[LastName],""))</f>
      </c>
      <c r="E98">
        <f>IF([@Bib]="","",XLOOKUP([@Bib],tblReg[Bib],tblReg[Team],""))</f>
      </c>
      <c r="F98">
        <f>IF([@Bib]="","",XLOOKUP([@Bib],tblReg[Bib],tblReg[Status],""))</f>
      </c>
      <c r="G98">
        <f>IF([@Bib]="","",XLOOKUP([@Bib],tblStage1[Bib],tblStage1[NetSeconds],""))</f>
      </c>
      <c r="H98">
        <f>IF([@Bib]="","",XLOOKUP([@Bib],tblStage2[Bib],tblStage2[NetSeconds],""))</f>
      </c>
      <c r="I98">
        <f>IF([@Bib]="","",XLOOKUP([@Bib],tblStage3[Bib],tblStage3[NetSeconds],""))</f>
      </c>
      <c r="J98">
        <f>IF(COUNTA([@S1NetSec],[@S2NetSec],[@S3NetSec])=0,"",[@S1NetSec]+[@S2NetSec]+[@S3NetSec])</f>
      </c>
      <c r="K98" s="3">
        <f>IF([@TotalSec]="","",[@TotalSec]/86400)</f>
      </c>
      <c r="L98">
        <f>IF([@Status]&lt;&gt;"Active","",RANK([@TotalSec],FILTER(tblGC[TotalSec],tblGC[Status]="Active"),1))</f>
      </c>
    </row>
    <row r="99" spans="1:12" x14ac:dyDescent="0.25">
      <c r="A99">
        <f>IFERROR(INDEX(tblReg[Bib],ROW()-ROW(tblGC[#Headers])),"")</f>
      </c>
      <c r="B99">
        <f>IF([@Bib]="","",XLOOKUP([@Bib],tblReg[Bib],tblReg[Field],""))</f>
      </c>
      <c r="C99">
        <f>IF([@Bib]="","",XLOOKUP([@Bib],tblReg[Bib],tblReg[FirstName],""))</f>
      </c>
      <c r="D99">
        <f>IF([@Bib]="","",XLOOKUP([@Bib],tblReg[Bib],tblReg[LastName],""))</f>
      </c>
      <c r="E99">
        <f>IF([@Bib]="","",XLOOKUP([@Bib],tblReg[Bib],tblReg[Team],""))</f>
      </c>
      <c r="F99">
        <f>IF([@Bib]="","",XLOOKUP([@Bib],tblReg[Bib],tblReg[Status],""))</f>
      </c>
      <c r="G99">
        <f>IF([@Bib]="","",XLOOKUP([@Bib],tblStage1[Bib],tblStage1[NetSeconds],""))</f>
      </c>
      <c r="H99">
        <f>IF([@Bib]="","",XLOOKUP([@Bib],tblStage2[Bib],tblStage2[NetSeconds],""))</f>
      </c>
      <c r="I99">
        <f>IF([@Bib]="","",XLOOKUP([@Bib],tblStage3[Bib],tblStage3[NetSeconds],""))</f>
      </c>
      <c r="J99">
        <f>IF(COUNTA([@S1NetSec],[@S2NetSec],[@S3NetSec])=0,"",[@S1NetSec]+[@S2NetSec]+[@S3NetSec])</f>
      </c>
      <c r="K99" s="3">
        <f>IF([@TotalSec]="","",[@TotalSec]/86400)</f>
      </c>
      <c r="L99">
        <f>IF([@Status]&lt;&gt;"Active","",RANK([@TotalSec],FILTER(tblGC[TotalSec],tblGC[Status]="Active"),1))</f>
      </c>
    </row>
    <row r="100" spans="1:12" x14ac:dyDescent="0.25">
      <c r="A100">
        <f>IFERROR(INDEX(tblReg[Bib],ROW()-ROW(tblGC[#Headers])),"")</f>
      </c>
      <c r="B100">
        <f>IF([@Bib]="","",XLOOKUP([@Bib],tblReg[Bib],tblReg[Field],""))</f>
      </c>
      <c r="C100">
        <f>IF([@Bib]="","",XLOOKUP([@Bib],tblReg[Bib],tblReg[FirstName],""))</f>
      </c>
      <c r="D100">
        <f>IF([@Bib]="","",XLOOKUP([@Bib],tblReg[Bib],tblReg[LastName],""))</f>
      </c>
      <c r="E100">
        <f>IF([@Bib]="","",XLOOKUP([@Bib],tblReg[Bib],tblReg[Team],""))</f>
      </c>
      <c r="F100">
        <f>IF([@Bib]="","",XLOOKUP([@Bib],tblReg[Bib],tblReg[Status],""))</f>
      </c>
      <c r="G100">
        <f>IF([@Bib]="","",XLOOKUP([@Bib],tblStage1[Bib],tblStage1[NetSeconds],""))</f>
      </c>
      <c r="H100">
        <f>IF([@Bib]="","",XLOOKUP([@Bib],tblStage2[Bib],tblStage2[NetSeconds],""))</f>
      </c>
      <c r="I100">
        <f>IF([@Bib]="","",XLOOKUP([@Bib],tblStage3[Bib],tblStage3[NetSeconds],""))</f>
      </c>
      <c r="J100">
        <f>IF(COUNTA([@S1NetSec],[@S2NetSec],[@S3NetSec])=0,"",[@S1NetSec]+[@S2NetSec]+[@S3NetSec])</f>
      </c>
      <c r="K100" s="3">
        <f>IF([@TotalSec]="","",[@TotalSec]/86400)</f>
      </c>
      <c r="L100">
        <f>IF([@Status]&lt;&gt;"Active","",RANK([@TotalSec],FILTER(tblGC[TotalSec],tblGC[Status]="Active"),1))</f>
      </c>
    </row>
    <row r="101" spans="1:12" x14ac:dyDescent="0.25">
      <c r="A101">
        <f>IFERROR(INDEX(tblReg[Bib],ROW()-ROW(tblGC[#Headers])),"")</f>
      </c>
      <c r="B101">
        <f>IF([@Bib]="","",XLOOKUP([@Bib],tblReg[Bib],tblReg[Field],""))</f>
      </c>
      <c r="C101">
        <f>IF([@Bib]="","",XLOOKUP([@Bib],tblReg[Bib],tblReg[FirstName],""))</f>
      </c>
      <c r="D101">
        <f>IF([@Bib]="","",XLOOKUP([@Bib],tblReg[Bib],tblReg[LastName],""))</f>
      </c>
      <c r="E101">
        <f>IF([@Bib]="","",XLOOKUP([@Bib],tblReg[Bib],tblReg[Team],""))</f>
      </c>
      <c r="F101">
        <f>IF([@Bib]="","",XLOOKUP([@Bib],tblReg[Bib],tblReg[Status],""))</f>
      </c>
      <c r="G101">
        <f>IF([@Bib]="","",XLOOKUP([@Bib],tblStage1[Bib],tblStage1[NetSeconds],""))</f>
      </c>
      <c r="H101">
        <f>IF([@Bib]="","",XLOOKUP([@Bib],tblStage2[Bib],tblStage2[NetSeconds],""))</f>
      </c>
      <c r="I101">
        <f>IF([@Bib]="","",XLOOKUP([@Bib],tblStage3[Bib],tblStage3[NetSeconds],""))</f>
      </c>
      <c r="J101">
        <f>IF(COUNTA([@S1NetSec],[@S2NetSec],[@S3NetSec])=0,"",[@S1NetSec]+[@S2NetSec]+[@S3NetSec])</f>
      </c>
      <c r="K101" s="3">
        <f>IF([@TotalSec]="","",[@TotalSec]/86400)</f>
      </c>
      <c r="L101">
        <f>IF([@Status]&lt;&gt;"Active","",RANK([@TotalSec],FILTER(tblGC[TotalSec],tblGC[Status]="Active"),1))</f>
      </c>
    </row>
    <row r="102" spans="1:12" x14ac:dyDescent="0.25">
      <c r="A102">
        <f>IFERROR(INDEX(tblReg[Bib],ROW()-ROW(tblGC[#Headers])),"")</f>
      </c>
      <c r="B102">
        <f>IF([@Bib]="","",XLOOKUP([@Bib],tblReg[Bib],tblReg[Field],""))</f>
      </c>
      <c r="C102">
        <f>IF([@Bib]="","",XLOOKUP([@Bib],tblReg[Bib],tblReg[FirstName],""))</f>
      </c>
      <c r="D102">
        <f>IF([@Bib]="","",XLOOKUP([@Bib],tblReg[Bib],tblReg[LastName],""))</f>
      </c>
      <c r="E102">
        <f>IF([@Bib]="","",XLOOKUP([@Bib],tblReg[Bib],tblReg[Team],""))</f>
      </c>
      <c r="F102">
        <f>IF([@Bib]="","",XLOOKUP([@Bib],tblReg[Bib],tblReg[Status],""))</f>
      </c>
      <c r="G102">
        <f>IF([@Bib]="","",XLOOKUP([@Bib],tblStage1[Bib],tblStage1[NetSeconds],""))</f>
      </c>
      <c r="H102">
        <f>IF([@Bib]="","",XLOOKUP([@Bib],tblStage2[Bib],tblStage2[NetSeconds],""))</f>
      </c>
      <c r="I102">
        <f>IF([@Bib]="","",XLOOKUP([@Bib],tblStage3[Bib],tblStage3[NetSeconds],""))</f>
      </c>
      <c r="J102">
        <f>IF(COUNTA([@S1NetSec],[@S2NetSec],[@S3NetSec])=0,"",[@S1NetSec]+[@S2NetSec]+[@S3NetSec])</f>
      </c>
      <c r="K102" s="3">
        <f>IF([@TotalSec]="","",[@TotalSec]/86400)</f>
      </c>
      <c r="L102">
        <f>IF([@Status]&lt;&gt;"Active","",RANK([@TotalSec],FILTER(tblGC[TotalSec],tblGC[Status]="Active"),1))</f>
      </c>
    </row>
    <row r="103" spans="1:12" x14ac:dyDescent="0.25">
      <c r="A103">
        <f>IFERROR(INDEX(tblReg[Bib],ROW()-ROW(tblGC[#Headers])),"")</f>
      </c>
      <c r="B103">
        <f>IF([@Bib]="","",XLOOKUP([@Bib],tblReg[Bib],tblReg[Field],""))</f>
      </c>
      <c r="C103">
        <f>IF([@Bib]="","",XLOOKUP([@Bib],tblReg[Bib],tblReg[FirstName],""))</f>
      </c>
      <c r="D103">
        <f>IF([@Bib]="","",XLOOKUP([@Bib],tblReg[Bib],tblReg[LastName],""))</f>
      </c>
      <c r="E103">
        <f>IF([@Bib]="","",XLOOKUP([@Bib],tblReg[Bib],tblReg[Team],""))</f>
      </c>
      <c r="F103">
        <f>IF([@Bib]="","",XLOOKUP([@Bib],tblReg[Bib],tblReg[Status],""))</f>
      </c>
      <c r="G103">
        <f>IF([@Bib]="","",XLOOKUP([@Bib],tblStage1[Bib],tblStage1[NetSeconds],""))</f>
      </c>
      <c r="H103">
        <f>IF([@Bib]="","",XLOOKUP([@Bib],tblStage2[Bib],tblStage2[NetSeconds],""))</f>
      </c>
      <c r="I103">
        <f>IF([@Bib]="","",XLOOKUP([@Bib],tblStage3[Bib],tblStage3[NetSeconds],""))</f>
      </c>
      <c r="J103">
        <f>IF(COUNTA([@S1NetSec],[@S2NetSec],[@S3NetSec])=0,"",[@S1NetSec]+[@S2NetSec]+[@S3NetSec])</f>
      </c>
      <c r="K103" s="3">
        <f>IF([@TotalSec]="","",[@TotalSec]/86400)</f>
      </c>
      <c r="L103">
        <f>IF([@Status]&lt;&gt;"Active","",RANK([@TotalSec],FILTER(tblGC[TotalSec],tblGC[Status]="Active"),1))</f>
      </c>
    </row>
    <row r="104" spans="1:12" x14ac:dyDescent="0.25">
      <c r="A104">
        <f>IFERROR(INDEX(tblReg[Bib],ROW()-ROW(tblGC[#Headers])),"")</f>
      </c>
      <c r="B104">
        <f>IF([@Bib]="","",XLOOKUP([@Bib],tblReg[Bib],tblReg[Field],""))</f>
      </c>
      <c r="C104">
        <f>IF([@Bib]="","",XLOOKUP([@Bib],tblReg[Bib],tblReg[FirstName],""))</f>
      </c>
      <c r="D104">
        <f>IF([@Bib]="","",XLOOKUP([@Bib],tblReg[Bib],tblReg[LastName],""))</f>
      </c>
      <c r="E104">
        <f>IF([@Bib]="","",XLOOKUP([@Bib],tblReg[Bib],tblReg[Team],""))</f>
      </c>
      <c r="F104">
        <f>IF([@Bib]="","",XLOOKUP([@Bib],tblReg[Bib],tblReg[Status],""))</f>
      </c>
      <c r="G104">
        <f>IF([@Bib]="","",XLOOKUP([@Bib],tblStage1[Bib],tblStage1[NetSeconds],""))</f>
      </c>
      <c r="H104">
        <f>IF([@Bib]="","",XLOOKUP([@Bib],tblStage2[Bib],tblStage2[NetSeconds],""))</f>
      </c>
      <c r="I104">
        <f>IF([@Bib]="","",XLOOKUP([@Bib],tblStage3[Bib],tblStage3[NetSeconds],""))</f>
      </c>
      <c r="J104">
        <f>IF(COUNTA([@S1NetSec],[@S2NetSec],[@S3NetSec])=0,"",[@S1NetSec]+[@S2NetSec]+[@S3NetSec])</f>
      </c>
      <c r="K104" s="3">
        <f>IF([@TotalSec]="","",[@TotalSec]/86400)</f>
      </c>
      <c r="L104">
        <f>IF([@Status]&lt;&gt;"Active","",RANK([@TotalSec],FILTER(tblGC[TotalSec],tblGC[Status]="Active"),1))</f>
      </c>
    </row>
    <row r="105" spans="1:12" x14ac:dyDescent="0.25">
      <c r="A105">
        <f>IFERROR(INDEX(tblReg[Bib],ROW()-ROW(tblGC[#Headers])),"")</f>
      </c>
      <c r="B105">
        <f>IF([@Bib]="","",XLOOKUP([@Bib],tblReg[Bib],tblReg[Field],""))</f>
      </c>
      <c r="C105">
        <f>IF([@Bib]="","",XLOOKUP([@Bib],tblReg[Bib],tblReg[FirstName],""))</f>
      </c>
      <c r="D105">
        <f>IF([@Bib]="","",XLOOKUP([@Bib],tblReg[Bib],tblReg[LastName],""))</f>
      </c>
      <c r="E105">
        <f>IF([@Bib]="","",XLOOKUP([@Bib],tblReg[Bib],tblReg[Team],""))</f>
      </c>
      <c r="F105">
        <f>IF([@Bib]="","",XLOOKUP([@Bib],tblReg[Bib],tblReg[Status],""))</f>
      </c>
      <c r="G105">
        <f>IF([@Bib]="","",XLOOKUP([@Bib],tblStage1[Bib],tblStage1[NetSeconds],""))</f>
      </c>
      <c r="H105">
        <f>IF([@Bib]="","",XLOOKUP([@Bib],tblStage2[Bib],tblStage2[NetSeconds],""))</f>
      </c>
      <c r="I105">
        <f>IF([@Bib]="","",XLOOKUP([@Bib],tblStage3[Bib],tblStage3[NetSeconds],""))</f>
      </c>
      <c r="J105">
        <f>IF(COUNTA([@S1NetSec],[@S2NetSec],[@S3NetSec])=0,"",[@S1NetSec]+[@S2NetSec]+[@S3NetSec])</f>
      </c>
      <c r="K105" s="3">
        <f>IF([@TotalSec]="","",[@TotalSec]/86400)</f>
      </c>
      <c r="L105">
        <f>IF([@Status]&lt;&gt;"Active","",RANK([@TotalSec],FILTER(tblGC[TotalSec],tblGC[Status]="Active"),1))</f>
      </c>
    </row>
    <row r="106" spans="1:12" x14ac:dyDescent="0.25">
      <c r="A106">
        <f>IFERROR(INDEX(tblReg[Bib],ROW()-ROW(tblGC[#Headers])),"")</f>
      </c>
      <c r="B106">
        <f>IF([@Bib]="","",XLOOKUP([@Bib],tblReg[Bib],tblReg[Field],""))</f>
      </c>
      <c r="C106">
        <f>IF([@Bib]="","",XLOOKUP([@Bib],tblReg[Bib],tblReg[FirstName],""))</f>
      </c>
      <c r="D106">
        <f>IF([@Bib]="","",XLOOKUP([@Bib],tblReg[Bib],tblReg[LastName],""))</f>
      </c>
      <c r="E106">
        <f>IF([@Bib]="","",XLOOKUP([@Bib],tblReg[Bib],tblReg[Team],""))</f>
      </c>
      <c r="F106">
        <f>IF([@Bib]="","",XLOOKUP([@Bib],tblReg[Bib],tblReg[Status],""))</f>
      </c>
      <c r="G106">
        <f>IF([@Bib]="","",XLOOKUP([@Bib],tblStage1[Bib],tblStage1[NetSeconds],""))</f>
      </c>
      <c r="H106">
        <f>IF([@Bib]="","",XLOOKUP([@Bib],tblStage2[Bib],tblStage2[NetSeconds],""))</f>
      </c>
      <c r="I106">
        <f>IF([@Bib]="","",XLOOKUP([@Bib],tblStage3[Bib],tblStage3[NetSeconds],""))</f>
      </c>
      <c r="J106">
        <f>IF(COUNTA([@S1NetSec],[@S2NetSec],[@S3NetSec])=0,"",[@S1NetSec]+[@S2NetSec]+[@S3NetSec])</f>
      </c>
      <c r="K106" s="3">
        <f>IF([@TotalSec]="","",[@TotalSec]/86400)</f>
      </c>
      <c r="L106">
        <f>IF([@Status]&lt;&gt;"Active","",RANK([@TotalSec],FILTER(tblGC[TotalSec],tblGC[Status]="Active"),1))</f>
      </c>
    </row>
    <row r="107" spans="1:12" x14ac:dyDescent="0.25">
      <c r="A107">
        <f>IFERROR(INDEX(tblReg[Bib],ROW()-ROW(tblGC[#Headers])),"")</f>
      </c>
      <c r="B107">
        <f>IF([@Bib]="","",XLOOKUP([@Bib],tblReg[Bib],tblReg[Field],""))</f>
      </c>
      <c r="C107">
        <f>IF([@Bib]="","",XLOOKUP([@Bib],tblReg[Bib],tblReg[FirstName],""))</f>
      </c>
      <c r="D107">
        <f>IF([@Bib]="","",XLOOKUP([@Bib],tblReg[Bib],tblReg[LastName],""))</f>
      </c>
      <c r="E107">
        <f>IF([@Bib]="","",XLOOKUP([@Bib],tblReg[Bib],tblReg[Team],""))</f>
      </c>
      <c r="F107">
        <f>IF([@Bib]="","",XLOOKUP([@Bib],tblReg[Bib],tblReg[Status],""))</f>
      </c>
      <c r="G107">
        <f>IF([@Bib]="","",XLOOKUP([@Bib],tblStage1[Bib],tblStage1[NetSeconds],""))</f>
      </c>
      <c r="H107">
        <f>IF([@Bib]="","",XLOOKUP([@Bib],tblStage2[Bib],tblStage2[NetSeconds],""))</f>
      </c>
      <c r="I107">
        <f>IF([@Bib]="","",XLOOKUP([@Bib],tblStage3[Bib],tblStage3[NetSeconds],""))</f>
      </c>
      <c r="J107">
        <f>IF(COUNTA([@S1NetSec],[@S2NetSec],[@S3NetSec])=0,"",[@S1NetSec]+[@S2NetSec]+[@S3NetSec])</f>
      </c>
      <c r="K107" s="3">
        <f>IF([@TotalSec]="","",[@TotalSec]/86400)</f>
      </c>
      <c r="L107">
        <f>IF([@Status]&lt;&gt;"Active","",RANK([@TotalSec],FILTER(tblGC[TotalSec],tblGC[Status]="Active"),1))</f>
      </c>
    </row>
    <row r="108" spans="1:12" x14ac:dyDescent="0.25">
      <c r="A108">
        <f>IFERROR(INDEX(tblReg[Bib],ROW()-ROW(tblGC[#Headers])),"")</f>
      </c>
      <c r="B108">
        <f>IF([@Bib]="","",XLOOKUP([@Bib],tblReg[Bib],tblReg[Field],""))</f>
      </c>
      <c r="C108">
        <f>IF([@Bib]="","",XLOOKUP([@Bib],tblReg[Bib],tblReg[FirstName],""))</f>
      </c>
      <c r="D108">
        <f>IF([@Bib]="","",XLOOKUP([@Bib],tblReg[Bib],tblReg[LastName],""))</f>
      </c>
      <c r="E108">
        <f>IF([@Bib]="","",XLOOKUP([@Bib],tblReg[Bib],tblReg[Team],""))</f>
      </c>
      <c r="F108">
        <f>IF([@Bib]="","",XLOOKUP([@Bib],tblReg[Bib],tblReg[Status],""))</f>
      </c>
      <c r="G108">
        <f>IF([@Bib]="","",XLOOKUP([@Bib],tblStage1[Bib],tblStage1[NetSeconds],""))</f>
      </c>
      <c r="H108">
        <f>IF([@Bib]="","",XLOOKUP([@Bib],tblStage2[Bib],tblStage2[NetSeconds],""))</f>
      </c>
      <c r="I108">
        <f>IF([@Bib]="","",XLOOKUP([@Bib],tblStage3[Bib],tblStage3[NetSeconds],""))</f>
      </c>
      <c r="J108">
        <f>IF(COUNTA([@S1NetSec],[@S2NetSec],[@S3NetSec])=0,"",[@S1NetSec]+[@S2NetSec]+[@S3NetSec])</f>
      </c>
      <c r="K108" s="3">
        <f>IF([@TotalSec]="","",[@TotalSec]/86400)</f>
      </c>
      <c r="L108">
        <f>IF([@Status]&lt;&gt;"Active","",RANK([@TotalSec],FILTER(tblGC[TotalSec],tblGC[Status]="Active"),1))</f>
      </c>
    </row>
    <row r="109" spans="1:12" x14ac:dyDescent="0.25">
      <c r="A109">
        <f>IFERROR(INDEX(tblReg[Bib],ROW()-ROW(tblGC[#Headers])),"")</f>
      </c>
      <c r="B109">
        <f>IF([@Bib]="","",XLOOKUP([@Bib],tblReg[Bib],tblReg[Field],""))</f>
      </c>
      <c r="C109">
        <f>IF([@Bib]="","",XLOOKUP([@Bib],tblReg[Bib],tblReg[FirstName],""))</f>
      </c>
      <c r="D109">
        <f>IF([@Bib]="","",XLOOKUP([@Bib],tblReg[Bib],tblReg[LastName],""))</f>
      </c>
      <c r="E109">
        <f>IF([@Bib]="","",XLOOKUP([@Bib],tblReg[Bib],tblReg[Team],""))</f>
      </c>
      <c r="F109">
        <f>IF([@Bib]="","",XLOOKUP([@Bib],tblReg[Bib],tblReg[Status],""))</f>
      </c>
      <c r="G109">
        <f>IF([@Bib]="","",XLOOKUP([@Bib],tblStage1[Bib],tblStage1[NetSeconds],""))</f>
      </c>
      <c r="H109">
        <f>IF([@Bib]="","",XLOOKUP([@Bib],tblStage2[Bib],tblStage2[NetSeconds],""))</f>
      </c>
      <c r="I109">
        <f>IF([@Bib]="","",XLOOKUP([@Bib],tblStage3[Bib],tblStage3[NetSeconds],""))</f>
      </c>
      <c r="J109">
        <f>IF(COUNTA([@S1NetSec],[@S2NetSec],[@S3NetSec])=0,"",[@S1NetSec]+[@S2NetSec]+[@S3NetSec])</f>
      </c>
      <c r="K109" s="3">
        <f>IF([@TotalSec]="","",[@TotalSec]/86400)</f>
      </c>
      <c r="L109">
        <f>IF([@Status]&lt;&gt;"Active","",RANK([@TotalSec],FILTER(tblGC[TotalSec],tblGC[Status]="Active"),1))</f>
      </c>
    </row>
    <row r="110" spans="1:12" x14ac:dyDescent="0.25">
      <c r="A110">
        <f>IFERROR(INDEX(tblReg[Bib],ROW()-ROW(tblGC[#Headers])),"")</f>
      </c>
      <c r="B110">
        <f>IF([@Bib]="","",XLOOKUP([@Bib],tblReg[Bib],tblReg[Field],""))</f>
      </c>
      <c r="C110">
        <f>IF([@Bib]="","",XLOOKUP([@Bib],tblReg[Bib],tblReg[FirstName],""))</f>
      </c>
      <c r="D110">
        <f>IF([@Bib]="","",XLOOKUP([@Bib],tblReg[Bib],tblReg[LastName],""))</f>
      </c>
      <c r="E110">
        <f>IF([@Bib]="","",XLOOKUP([@Bib],tblReg[Bib],tblReg[Team],""))</f>
      </c>
      <c r="F110">
        <f>IF([@Bib]="","",XLOOKUP([@Bib],tblReg[Bib],tblReg[Status],""))</f>
      </c>
      <c r="G110">
        <f>IF([@Bib]="","",XLOOKUP([@Bib],tblStage1[Bib],tblStage1[NetSeconds],""))</f>
      </c>
      <c r="H110">
        <f>IF([@Bib]="","",XLOOKUP([@Bib],tblStage2[Bib],tblStage2[NetSeconds],""))</f>
      </c>
      <c r="I110">
        <f>IF([@Bib]="","",XLOOKUP([@Bib],tblStage3[Bib],tblStage3[NetSeconds],""))</f>
      </c>
      <c r="J110">
        <f>IF(COUNTA([@S1NetSec],[@S2NetSec],[@S3NetSec])=0,"",[@S1NetSec]+[@S2NetSec]+[@S3NetSec])</f>
      </c>
      <c r="K110" s="3">
        <f>IF([@TotalSec]="","",[@TotalSec]/86400)</f>
      </c>
      <c r="L110">
        <f>IF([@Status]&lt;&gt;"Active","",RANK([@TotalSec],FILTER(tblGC[TotalSec],tblGC[Status]="Active"),1))</f>
      </c>
    </row>
    <row r="111" spans="1:12" x14ac:dyDescent="0.25">
      <c r="A111">
        <f>IFERROR(INDEX(tblReg[Bib],ROW()-ROW(tblGC[#Headers])),"")</f>
      </c>
      <c r="B111">
        <f>IF([@Bib]="","",XLOOKUP([@Bib],tblReg[Bib],tblReg[Field],""))</f>
      </c>
      <c r="C111">
        <f>IF([@Bib]="","",XLOOKUP([@Bib],tblReg[Bib],tblReg[FirstName],""))</f>
      </c>
      <c r="D111">
        <f>IF([@Bib]="","",XLOOKUP([@Bib],tblReg[Bib],tblReg[LastName],""))</f>
      </c>
      <c r="E111">
        <f>IF([@Bib]="","",XLOOKUP([@Bib],tblReg[Bib],tblReg[Team],""))</f>
      </c>
      <c r="F111">
        <f>IF([@Bib]="","",XLOOKUP([@Bib],tblReg[Bib],tblReg[Status],""))</f>
      </c>
      <c r="G111">
        <f>IF([@Bib]="","",XLOOKUP([@Bib],tblStage1[Bib],tblStage1[NetSeconds],""))</f>
      </c>
      <c r="H111">
        <f>IF([@Bib]="","",XLOOKUP([@Bib],tblStage2[Bib],tblStage2[NetSeconds],""))</f>
      </c>
      <c r="I111">
        <f>IF([@Bib]="","",XLOOKUP([@Bib],tblStage3[Bib],tblStage3[NetSeconds],""))</f>
      </c>
      <c r="J111">
        <f>IF(COUNTA([@S1NetSec],[@S2NetSec],[@S3NetSec])=0,"",[@S1NetSec]+[@S2NetSec]+[@S3NetSec])</f>
      </c>
      <c r="K111" s="3">
        <f>IF([@TotalSec]="","",[@TotalSec]/86400)</f>
      </c>
      <c r="L111">
        <f>IF([@Status]&lt;&gt;"Active","",RANK([@TotalSec],FILTER(tblGC[TotalSec],tblGC[Status]="Active"),1))</f>
      </c>
    </row>
    <row r="112" spans="1:12" x14ac:dyDescent="0.25">
      <c r="A112">
        <f>IFERROR(INDEX(tblReg[Bib],ROW()-ROW(tblGC[#Headers])),"")</f>
      </c>
      <c r="B112">
        <f>IF([@Bib]="","",XLOOKUP([@Bib],tblReg[Bib],tblReg[Field],""))</f>
      </c>
      <c r="C112">
        <f>IF([@Bib]="","",XLOOKUP([@Bib],tblReg[Bib],tblReg[FirstName],""))</f>
      </c>
      <c r="D112">
        <f>IF([@Bib]="","",XLOOKUP([@Bib],tblReg[Bib],tblReg[LastName],""))</f>
      </c>
      <c r="E112">
        <f>IF([@Bib]="","",XLOOKUP([@Bib],tblReg[Bib],tblReg[Team],""))</f>
      </c>
      <c r="F112">
        <f>IF([@Bib]="","",XLOOKUP([@Bib],tblReg[Bib],tblReg[Status],""))</f>
      </c>
      <c r="G112">
        <f>IF([@Bib]="","",XLOOKUP([@Bib],tblStage1[Bib],tblStage1[NetSeconds],""))</f>
      </c>
      <c r="H112">
        <f>IF([@Bib]="","",XLOOKUP([@Bib],tblStage2[Bib],tblStage2[NetSeconds],""))</f>
      </c>
      <c r="I112">
        <f>IF([@Bib]="","",XLOOKUP([@Bib],tblStage3[Bib],tblStage3[NetSeconds],""))</f>
      </c>
      <c r="J112">
        <f>IF(COUNTA([@S1NetSec],[@S2NetSec],[@S3NetSec])=0,"",[@S1NetSec]+[@S2NetSec]+[@S3NetSec])</f>
      </c>
      <c r="K112" s="3">
        <f>IF([@TotalSec]="","",[@TotalSec]/86400)</f>
      </c>
      <c r="L112">
        <f>IF([@Status]&lt;&gt;"Active","",RANK([@TotalSec],FILTER(tblGC[TotalSec],tblGC[Status]="Active"),1))</f>
      </c>
    </row>
    <row r="113" spans="1:12" x14ac:dyDescent="0.25">
      <c r="A113">
        <f>IFERROR(INDEX(tblReg[Bib],ROW()-ROW(tblGC[#Headers])),"")</f>
      </c>
      <c r="B113">
        <f>IF([@Bib]="","",XLOOKUP([@Bib],tblReg[Bib],tblReg[Field],""))</f>
      </c>
      <c r="C113">
        <f>IF([@Bib]="","",XLOOKUP([@Bib],tblReg[Bib],tblReg[FirstName],""))</f>
      </c>
      <c r="D113">
        <f>IF([@Bib]="","",XLOOKUP([@Bib],tblReg[Bib],tblReg[LastName],""))</f>
      </c>
      <c r="E113">
        <f>IF([@Bib]="","",XLOOKUP([@Bib],tblReg[Bib],tblReg[Team],""))</f>
      </c>
      <c r="F113">
        <f>IF([@Bib]="","",XLOOKUP([@Bib],tblReg[Bib],tblReg[Status],""))</f>
      </c>
      <c r="G113">
        <f>IF([@Bib]="","",XLOOKUP([@Bib],tblStage1[Bib],tblStage1[NetSeconds],""))</f>
      </c>
      <c r="H113">
        <f>IF([@Bib]="","",XLOOKUP([@Bib],tblStage2[Bib],tblStage2[NetSeconds],""))</f>
      </c>
      <c r="I113">
        <f>IF([@Bib]="","",XLOOKUP([@Bib],tblStage3[Bib],tblStage3[NetSeconds],""))</f>
      </c>
      <c r="J113">
        <f>IF(COUNTA([@S1NetSec],[@S2NetSec],[@S3NetSec])=0,"",[@S1NetSec]+[@S2NetSec]+[@S3NetSec])</f>
      </c>
      <c r="K113" s="3">
        <f>IF([@TotalSec]="","",[@TotalSec]/86400)</f>
      </c>
      <c r="L113">
        <f>IF([@Status]&lt;&gt;"Active","",RANK([@TotalSec],FILTER(tblGC[TotalSec],tblGC[Status]="Active"),1))</f>
      </c>
    </row>
    <row r="114" spans="1:12" x14ac:dyDescent="0.25">
      <c r="A114">
        <f>IFERROR(INDEX(tblReg[Bib],ROW()-ROW(tblGC[#Headers])),"")</f>
      </c>
      <c r="B114">
        <f>IF([@Bib]="","",XLOOKUP([@Bib],tblReg[Bib],tblReg[Field],""))</f>
      </c>
      <c r="C114">
        <f>IF([@Bib]="","",XLOOKUP([@Bib],tblReg[Bib],tblReg[FirstName],""))</f>
      </c>
      <c r="D114">
        <f>IF([@Bib]="","",XLOOKUP([@Bib],tblReg[Bib],tblReg[LastName],""))</f>
      </c>
      <c r="E114">
        <f>IF([@Bib]="","",XLOOKUP([@Bib],tblReg[Bib],tblReg[Team],""))</f>
      </c>
      <c r="F114">
        <f>IF([@Bib]="","",XLOOKUP([@Bib],tblReg[Bib],tblReg[Status],""))</f>
      </c>
      <c r="G114">
        <f>IF([@Bib]="","",XLOOKUP([@Bib],tblStage1[Bib],tblStage1[NetSeconds],""))</f>
      </c>
      <c r="H114">
        <f>IF([@Bib]="","",XLOOKUP([@Bib],tblStage2[Bib],tblStage2[NetSeconds],""))</f>
      </c>
      <c r="I114">
        <f>IF([@Bib]="","",XLOOKUP([@Bib],tblStage3[Bib],tblStage3[NetSeconds],""))</f>
      </c>
      <c r="J114">
        <f>IF(COUNTA([@S1NetSec],[@S2NetSec],[@S3NetSec])=0,"",[@S1NetSec]+[@S2NetSec]+[@S3NetSec])</f>
      </c>
      <c r="K114" s="3">
        <f>IF([@TotalSec]="","",[@TotalSec]/86400)</f>
      </c>
      <c r="L114">
        <f>IF([@Status]&lt;&gt;"Active","",RANK([@TotalSec],FILTER(tblGC[TotalSec],tblGC[Status]="Active"),1))</f>
      </c>
    </row>
    <row r="115" spans="1:12" x14ac:dyDescent="0.25">
      <c r="A115">
        <f>IFERROR(INDEX(tblReg[Bib],ROW()-ROW(tblGC[#Headers])),"")</f>
      </c>
      <c r="B115">
        <f>IF([@Bib]="","",XLOOKUP([@Bib],tblReg[Bib],tblReg[Field],""))</f>
      </c>
      <c r="C115">
        <f>IF([@Bib]="","",XLOOKUP([@Bib],tblReg[Bib],tblReg[FirstName],""))</f>
      </c>
      <c r="D115">
        <f>IF([@Bib]="","",XLOOKUP([@Bib],tblReg[Bib],tblReg[LastName],""))</f>
      </c>
      <c r="E115">
        <f>IF([@Bib]="","",XLOOKUP([@Bib],tblReg[Bib],tblReg[Team],""))</f>
      </c>
      <c r="F115">
        <f>IF([@Bib]="","",XLOOKUP([@Bib],tblReg[Bib],tblReg[Status],""))</f>
      </c>
      <c r="G115">
        <f>IF([@Bib]="","",XLOOKUP([@Bib],tblStage1[Bib],tblStage1[NetSeconds],""))</f>
      </c>
      <c r="H115">
        <f>IF([@Bib]="","",XLOOKUP([@Bib],tblStage2[Bib],tblStage2[NetSeconds],""))</f>
      </c>
      <c r="I115">
        <f>IF([@Bib]="","",XLOOKUP([@Bib],tblStage3[Bib],tblStage3[NetSeconds],""))</f>
      </c>
      <c r="J115">
        <f>IF(COUNTA([@S1NetSec],[@S2NetSec],[@S3NetSec])=0,"",[@S1NetSec]+[@S2NetSec]+[@S3NetSec])</f>
      </c>
      <c r="K115" s="3">
        <f>IF([@TotalSec]="","",[@TotalSec]/86400)</f>
      </c>
      <c r="L115">
        <f>IF([@Status]&lt;&gt;"Active","",RANK([@TotalSec],FILTER(tblGC[TotalSec],tblGC[Status]="Active"),1))</f>
      </c>
    </row>
    <row r="116" spans="1:12" x14ac:dyDescent="0.25">
      <c r="A116">
        <f>IFERROR(INDEX(tblReg[Bib],ROW()-ROW(tblGC[#Headers])),"")</f>
      </c>
      <c r="B116">
        <f>IF([@Bib]="","",XLOOKUP([@Bib],tblReg[Bib],tblReg[Field],""))</f>
      </c>
      <c r="C116">
        <f>IF([@Bib]="","",XLOOKUP([@Bib],tblReg[Bib],tblReg[FirstName],""))</f>
      </c>
      <c r="D116">
        <f>IF([@Bib]="","",XLOOKUP([@Bib],tblReg[Bib],tblReg[LastName],""))</f>
      </c>
      <c r="E116">
        <f>IF([@Bib]="","",XLOOKUP([@Bib],tblReg[Bib],tblReg[Team],""))</f>
      </c>
      <c r="F116">
        <f>IF([@Bib]="","",XLOOKUP([@Bib],tblReg[Bib],tblReg[Status],""))</f>
      </c>
      <c r="G116">
        <f>IF([@Bib]="","",XLOOKUP([@Bib],tblStage1[Bib],tblStage1[NetSeconds],""))</f>
      </c>
      <c r="H116">
        <f>IF([@Bib]="","",XLOOKUP([@Bib],tblStage2[Bib],tblStage2[NetSeconds],""))</f>
      </c>
      <c r="I116">
        <f>IF([@Bib]="","",XLOOKUP([@Bib],tblStage3[Bib],tblStage3[NetSeconds],""))</f>
      </c>
      <c r="J116">
        <f>IF(COUNTA([@S1NetSec],[@S2NetSec],[@S3NetSec])=0,"",[@S1NetSec]+[@S2NetSec]+[@S3NetSec])</f>
      </c>
      <c r="K116" s="3">
        <f>IF([@TotalSec]="","",[@TotalSec]/86400)</f>
      </c>
      <c r="L116">
        <f>IF([@Status]&lt;&gt;"Active","",RANK([@TotalSec],FILTER(tblGC[TotalSec],tblGC[Status]="Active"),1))</f>
      </c>
    </row>
    <row r="117" spans="1:12" x14ac:dyDescent="0.25">
      <c r="A117">
        <f>IFERROR(INDEX(tblReg[Bib],ROW()-ROW(tblGC[#Headers])),"")</f>
      </c>
      <c r="B117">
        <f>IF([@Bib]="","",XLOOKUP([@Bib],tblReg[Bib],tblReg[Field],""))</f>
      </c>
      <c r="C117">
        <f>IF([@Bib]="","",XLOOKUP([@Bib],tblReg[Bib],tblReg[FirstName],""))</f>
      </c>
      <c r="D117">
        <f>IF([@Bib]="","",XLOOKUP([@Bib],tblReg[Bib],tblReg[LastName],""))</f>
      </c>
      <c r="E117">
        <f>IF([@Bib]="","",XLOOKUP([@Bib],tblReg[Bib],tblReg[Team],""))</f>
      </c>
      <c r="F117">
        <f>IF([@Bib]="","",XLOOKUP([@Bib],tblReg[Bib],tblReg[Status],""))</f>
      </c>
      <c r="G117">
        <f>IF([@Bib]="","",XLOOKUP([@Bib],tblStage1[Bib],tblStage1[NetSeconds],""))</f>
      </c>
      <c r="H117">
        <f>IF([@Bib]="","",XLOOKUP([@Bib],tblStage2[Bib],tblStage2[NetSeconds],""))</f>
      </c>
      <c r="I117">
        <f>IF([@Bib]="","",XLOOKUP([@Bib],tblStage3[Bib],tblStage3[NetSeconds],""))</f>
      </c>
      <c r="J117">
        <f>IF(COUNTA([@S1NetSec],[@S2NetSec],[@S3NetSec])=0,"",[@S1NetSec]+[@S2NetSec]+[@S3NetSec])</f>
      </c>
      <c r="K117" s="3">
        <f>IF([@TotalSec]="","",[@TotalSec]/86400)</f>
      </c>
      <c r="L117">
        <f>IF([@Status]&lt;&gt;"Active","",RANK([@TotalSec],FILTER(tblGC[TotalSec],tblGC[Status]="Active"),1))</f>
      </c>
    </row>
    <row r="118" spans="1:12" x14ac:dyDescent="0.25">
      <c r="A118">
        <f>IFERROR(INDEX(tblReg[Bib],ROW()-ROW(tblGC[#Headers])),"")</f>
      </c>
      <c r="B118">
        <f>IF([@Bib]="","",XLOOKUP([@Bib],tblReg[Bib],tblReg[Field],""))</f>
      </c>
      <c r="C118">
        <f>IF([@Bib]="","",XLOOKUP([@Bib],tblReg[Bib],tblReg[FirstName],""))</f>
      </c>
      <c r="D118">
        <f>IF([@Bib]="","",XLOOKUP([@Bib],tblReg[Bib],tblReg[LastName],""))</f>
      </c>
      <c r="E118">
        <f>IF([@Bib]="","",XLOOKUP([@Bib],tblReg[Bib],tblReg[Team],""))</f>
      </c>
      <c r="F118">
        <f>IF([@Bib]="","",XLOOKUP([@Bib],tblReg[Bib],tblReg[Status],""))</f>
      </c>
      <c r="G118">
        <f>IF([@Bib]="","",XLOOKUP([@Bib],tblStage1[Bib],tblStage1[NetSeconds],""))</f>
      </c>
      <c r="H118">
        <f>IF([@Bib]="","",XLOOKUP([@Bib],tblStage2[Bib],tblStage2[NetSeconds],""))</f>
      </c>
      <c r="I118">
        <f>IF([@Bib]="","",XLOOKUP([@Bib],tblStage3[Bib],tblStage3[NetSeconds],""))</f>
      </c>
      <c r="J118">
        <f>IF(COUNTA([@S1NetSec],[@S2NetSec],[@S3NetSec])=0,"",[@S1NetSec]+[@S2NetSec]+[@S3NetSec])</f>
      </c>
      <c r="K118" s="3">
        <f>IF([@TotalSec]="","",[@TotalSec]/86400)</f>
      </c>
      <c r="L118">
        <f>IF([@Status]&lt;&gt;"Active","",RANK([@TotalSec],FILTER(tblGC[TotalSec],tblGC[Status]="Active"),1))</f>
      </c>
    </row>
    <row r="119" spans="1:12" x14ac:dyDescent="0.25">
      <c r="A119">
        <f>IFERROR(INDEX(tblReg[Bib],ROW()-ROW(tblGC[#Headers])),"")</f>
      </c>
      <c r="B119">
        <f>IF([@Bib]="","",XLOOKUP([@Bib],tblReg[Bib],tblReg[Field],""))</f>
      </c>
      <c r="C119">
        <f>IF([@Bib]="","",XLOOKUP([@Bib],tblReg[Bib],tblReg[FirstName],""))</f>
      </c>
      <c r="D119">
        <f>IF([@Bib]="","",XLOOKUP([@Bib],tblReg[Bib],tblReg[LastName],""))</f>
      </c>
      <c r="E119">
        <f>IF([@Bib]="","",XLOOKUP([@Bib],tblReg[Bib],tblReg[Team],""))</f>
      </c>
      <c r="F119">
        <f>IF([@Bib]="","",XLOOKUP([@Bib],tblReg[Bib],tblReg[Status],""))</f>
      </c>
      <c r="G119">
        <f>IF([@Bib]="","",XLOOKUP([@Bib],tblStage1[Bib],tblStage1[NetSeconds],""))</f>
      </c>
      <c r="H119">
        <f>IF([@Bib]="","",XLOOKUP([@Bib],tblStage2[Bib],tblStage2[NetSeconds],""))</f>
      </c>
      <c r="I119">
        <f>IF([@Bib]="","",XLOOKUP([@Bib],tblStage3[Bib],tblStage3[NetSeconds],""))</f>
      </c>
      <c r="J119">
        <f>IF(COUNTA([@S1NetSec],[@S2NetSec],[@S3NetSec])=0,"",[@S1NetSec]+[@S2NetSec]+[@S3NetSec])</f>
      </c>
      <c r="K119" s="3">
        <f>IF([@TotalSec]="","",[@TotalSec]/86400)</f>
      </c>
      <c r="L119">
        <f>IF([@Status]&lt;&gt;"Active","",RANK([@TotalSec],FILTER(tblGC[TotalSec],tblGC[Status]="Active"),1))</f>
      </c>
    </row>
    <row r="120" spans="1:12" x14ac:dyDescent="0.25">
      <c r="A120">
        <f>IFERROR(INDEX(tblReg[Bib],ROW()-ROW(tblGC[#Headers])),"")</f>
      </c>
      <c r="B120">
        <f>IF([@Bib]="","",XLOOKUP([@Bib],tblReg[Bib],tblReg[Field],""))</f>
      </c>
      <c r="C120">
        <f>IF([@Bib]="","",XLOOKUP([@Bib],tblReg[Bib],tblReg[FirstName],""))</f>
      </c>
      <c r="D120">
        <f>IF([@Bib]="","",XLOOKUP([@Bib],tblReg[Bib],tblReg[LastName],""))</f>
      </c>
      <c r="E120">
        <f>IF([@Bib]="","",XLOOKUP([@Bib],tblReg[Bib],tblReg[Team],""))</f>
      </c>
      <c r="F120">
        <f>IF([@Bib]="","",XLOOKUP([@Bib],tblReg[Bib],tblReg[Status],""))</f>
      </c>
      <c r="G120">
        <f>IF([@Bib]="","",XLOOKUP([@Bib],tblStage1[Bib],tblStage1[NetSeconds],""))</f>
      </c>
      <c r="H120">
        <f>IF([@Bib]="","",XLOOKUP([@Bib],tblStage2[Bib],tblStage2[NetSeconds],""))</f>
      </c>
      <c r="I120">
        <f>IF([@Bib]="","",XLOOKUP([@Bib],tblStage3[Bib],tblStage3[NetSeconds],""))</f>
      </c>
      <c r="J120">
        <f>IF(COUNTA([@S1NetSec],[@S2NetSec],[@S3NetSec])=0,"",[@S1NetSec]+[@S2NetSec]+[@S3NetSec])</f>
      </c>
      <c r="K120" s="3">
        <f>IF([@TotalSec]="","",[@TotalSec]/86400)</f>
      </c>
      <c r="L120">
        <f>IF([@Status]&lt;&gt;"Active","",RANK([@TotalSec],FILTER(tblGC[TotalSec],tblGC[Status]="Active"),1))</f>
      </c>
    </row>
    <row r="121" spans="1:12" x14ac:dyDescent="0.25">
      <c r="A121">
        <f>IFERROR(INDEX(tblReg[Bib],ROW()-ROW(tblGC[#Headers])),"")</f>
      </c>
      <c r="B121">
        <f>IF([@Bib]="","",XLOOKUP([@Bib],tblReg[Bib],tblReg[Field],""))</f>
      </c>
      <c r="C121">
        <f>IF([@Bib]="","",XLOOKUP([@Bib],tblReg[Bib],tblReg[FirstName],""))</f>
      </c>
      <c r="D121">
        <f>IF([@Bib]="","",XLOOKUP([@Bib],tblReg[Bib],tblReg[LastName],""))</f>
      </c>
      <c r="E121">
        <f>IF([@Bib]="","",XLOOKUP([@Bib],tblReg[Bib],tblReg[Team],""))</f>
      </c>
      <c r="F121">
        <f>IF([@Bib]="","",XLOOKUP([@Bib],tblReg[Bib],tblReg[Status],""))</f>
      </c>
      <c r="G121">
        <f>IF([@Bib]="","",XLOOKUP([@Bib],tblStage1[Bib],tblStage1[NetSeconds],""))</f>
      </c>
      <c r="H121">
        <f>IF([@Bib]="","",XLOOKUP([@Bib],tblStage2[Bib],tblStage2[NetSeconds],""))</f>
      </c>
      <c r="I121">
        <f>IF([@Bib]="","",XLOOKUP([@Bib],tblStage3[Bib],tblStage3[NetSeconds],""))</f>
      </c>
      <c r="J121">
        <f>IF(COUNTA([@S1NetSec],[@S2NetSec],[@S3NetSec])=0,"",[@S1NetSec]+[@S2NetSec]+[@S3NetSec])</f>
      </c>
      <c r="K121" s="3">
        <f>IF([@TotalSec]="","",[@TotalSec]/86400)</f>
      </c>
      <c r="L121">
        <f>IF([@Status]&lt;&gt;"Active","",RANK([@TotalSec],FILTER(tblGC[TotalSec],tblGC[Status]="Active"),1))</f>
      </c>
    </row>
    <row r="122" spans="1:12" x14ac:dyDescent="0.25">
      <c r="A122">
        <f>IFERROR(INDEX(tblReg[Bib],ROW()-ROW(tblGC[#Headers])),"")</f>
      </c>
      <c r="B122">
        <f>IF([@Bib]="","",XLOOKUP([@Bib],tblReg[Bib],tblReg[Field],""))</f>
      </c>
      <c r="C122">
        <f>IF([@Bib]="","",XLOOKUP([@Bib],tblReg[Bib],tblReg[FirstName],""))</f>
      </c>
      <c r="D122">
        <f>IF([@Bib]="","",XLOOKUP([@Bib],tblReg[Bib],tblReg[LastName],""))</f>
      </c>
      <c r="E122">
        <f>IF([@Bib]="","",XLOOKUP([@Bib],tblReg[Bib],tblReg[Team],""))</f>
      </c>
      <c r="F122">
        <f>IF([@Bib]="","",XLOOKUP([@Bib],tblReg[Bib],tblReg[Status],""))</f>
      </c>
      <c r="G122">
        <f>IF([@Bib]="","",XLOOKUP([@Bib],tblStage1[Bib],tblStage1[NetSeconds],""))</f>
      </c>
      <c r="H122">
        <f>IF([@Bib]="","",XLOOKUP([@Bib],tblStage2[Bib],tblStage2[NetSeconds],""))</f>
      </c>
      <c r="I122">
        <f>IF([@Bib]="","",XLOOKUP([@Bib],tblStage3[Bib],tblStage3[NetSeconds],""))</f>
      </c>
      <c r="J122">
        <f>IF(COUNTA([@S1NetSec],[@S2NetSec],[@S3NetSec])=0,"",[@S1NetSec]+[@S2NetSec]+[@S3NetSec])</f>
      </c>
      <c r="K122" s="3">
        <f>IF([@TotalSec]="","",[@TotalSec]/86400)</f>
      </c>
      <c r="L122">
        <f>IF([@Status]&lt;&gt;"Active","",RANK([@TotalSec],FILTER(tblGC[TotalSec],tblGC[Status]="Active"),1))</f>
      </c>
    </row>
    <row r="123" spans="1:12" x14ac:dyDescent="0.25">
      <c r="A123">
        <f>IFERROR(INDEX(tblReg[Bib],ROW()-ROW(tblGC[#Headers])),"")</f>
      </c>
      <c r="B123">
        <f>IF([@Bib]="","",XLOOKUP([@Bib],tblReg[Bib],tblReg[Field],""))</f>
      </c>
      <c r="C123">
        <f>IF([@Bib]="","",XLOOKUP([@Bib],tblReg[Bib],tblReg[FirstName],""))</f>
      </c>
      <c r="D123">
        <f>IF([@Bib]="","",XLOOKUP([@Bib],tblReg[Bib],tblReg[LastName],""))</f>
      </c>
      <c r="E123">
        <f>IF([@Bib]="","",XLOOKUP([@Bib],tblReg[Bib],tblReg[Team],""))</f>
      </c>
      <c r="F123">
        <f>IF([@Bib]="","",XLOOKUP([@Bib],tblReg[Bib],tblReg[Status],""))</f>
      </c>
      <c r="G123">
        <f>IF([@Bib]="","",XLOOKUP([@Bib],tblStage1[Bib],tblStage1[NetSeconds],""))</f>
      </c>
      <c r="H123">
        <f>IF([@Bib]="","",XLOOKUP([@Bib],tblStage2[Bib],tblStage2[NetSeconds],""))</f>
      </c>
      <c r="I123">
        <f>IF([@Bib]="","",XLOOKUP([@Bib],tblStage3[Bib],tblStage3[NetSeconds],""))</f>
      </c>
      <c r="J123">
        <f>IF(COUNTA([@S1NetSec],[@S2NetSec],[@S3NetSec])=0,"",[@S1NetSec]+[@S2NetSec]+[@S3NetSec])</f>
      </c>
      <c r="K123" s="3">
        <f>IF([@TotalSec]="","",[@TotalSec]/86400)</f>
      </c>
      <c r="L123">
        <f>IF([@Status]&lt;&gt;"Active","",RANK([@TotalSec],FILTER(tblGC[TotalSec],tblGC[Status]="Active"),1))</f>
      </c>
    </row>
    <row r="124" spans="1:12" x14ac:dyDescent="0.25">
      <c r="A124">
        <f>IFERROR(INDEX(tblReg[Bib],ROW()-ROW(tblGC[#Headers])),"")</f>
      </c>
      <c r="B124">
        <f>IF([@Bib]="","",XLOOKUP([@Bib],tblReg[Bib],tblReg[Field],""))</f>
      </c>
      <c r="C124">
        <f>IF([@Bib]="","",XLOOKUP([@Bib],tblReg[Bib],tblReg[FirstName],""))</f>
      </c>
      <c r="D124">
        <f>IF([@Bib]="","",XLOOKUP([@Bib],tblReg[Bib],tblReg[LastName],""))</f>
      </c>
      <c r="E124">
        <f>IF([@Bib]="","",XLOOKUP([@Bib],tblReg[Bib],tblReg[Team],""))</f>
      </c>
      <c r="F124">
        <f>IF([@Bib]="","",XLOOKUP([@Bib],tblReg[Bib],tblReg[Status],""))</f>
      </c>
      <c r="G124">
        <f>IF([@Bib]="","",XLOOKUP([@Bib],tblStage1[Bib],tblStage1[NetSeconds],""))</f>
      </c>
      <c r="H124">
        <f>IF([@Bib]="","",XLOOKUP([@Bib],tblStage2[Bib],tblStage2[NetSeconds],""))</f>
      </c>
      <c r="I124">
        <f>IF([@Bib]="","",XLOOKUP([@Bib],tblStage3[Bib],tblStage3[NetSeconds],""))</f>
      </c>
      <c r="J124">
        <f>IF(COUNTA([@S1NetSec],[@S2NetSec],[@S3NetSec])=0,"",[@S1NetSec]+[@S2NetSec]+[@S3NetSec])</f>
      </c>
      <c r="K124" s="3">
        <f>IF([@TotalSec]="","",[@TotalSec]/86400)</f>
      </c>
      <c r="L124">
        <f>IF([@Status]&lt;&gt;"Active","",RANK([@TotalSec],FILTER(tblGC[TotalSec],tblGC[Status]="Active"),1))</f>
      </c>
    </row>
    <row r="125" spans="1:12" x14ac:dyDescent="0.25">
      <c r="A125">
        <f>IFERROR(INDEX(tblReg[Bib],ROW()-ROW(tblGC[#Headers])),"")</f>
      </c>
      <c r="B125">
        <f>IF([@Bib]="","",XLOOKUP([@Bib],tblReg[Bib],tblReg[Field],""))</f>
      </c>
      <c r="C125">
        <f>IF([@Bib]="","",XLOOKUP([@Bib],tblReg[Bib],tblReg[FirstName],""))</f>
      </c>
      <c r="D125">
        <f>IF([@Bib]="","",XLOOKUP([@Bib],tblReg[Bib],tblReg[LastName],""))</f>
      </c>
      <c r="E125">
        <f>IF([@Bib]="","",XLOOKUP([@Bib],tblReg[Bib],tblReg[Team],""))</f>
      </c>
      <c r="F125">
        <f>IF([@Bib]="","",XLOOKUP([@Bib],tblReg[Bib],tblReg[Status],""))</f>
      </c>
      <c r="G125">
        <f>IF([@Bib]="","",XLOOKUP([@Bib],tblStage1[Bib],tblStage1[NetSeconds],""))</f>
      </c>
      <c r="H125">
        <f>IF([@Bib]="","",XLOOKUP([@Bib],tblStage2[Bib],tblStage2[NetSeconds],""))</f>
      </c>
      <c r="I125">
        <f>IF([@Bib]="","",XLOOKUP([@Bib],tblStage3[Bib],tblStage3[NetSeconds],""))</f>
      </c>
      <c r="J125">
        <f>IF(COUNTA([@S1NetSec],[@S2NetSec],[@S3NetSec])=0,"",[@S1NetSec]+[@S2NetSec]+[@S3NetSec])</f>
      </c>
      <c r="K125" s="3">
        <f>IF([@TotalSec]="","",[@TotalSec]/86400)</f>
      </c>
      <c r="L125">
        <f>IF([@Status]&lt;&gt;"Active","",RANK([@TotalSec],FILTER(tblGC[TotalSec],tblGC[Status]="Active"),1))</f>
      </c>
    </row>
    <row r="126" spans="1:12" x14ac:dyDescent="0.25">
      <c r="A126">
        <f>IFERROR(INDEX(tblReg[Bib],ROW()-ROW(tblGC[#Headers])),"")</f>
      </c>
      <c r="B126">
        <f>IF([@Bib]="","",XLOOKUP([@Bib],tblReg[Bib],tblReg[Field],""))</f>
      </c>
      <c r="C126">
        <f>IF([@Bib]="","",XLOOKUP([@Bib],tblReg[Bib],tblReg[FirstName],""))</f>
      </c>
      <c r="D126">
        <f>IF([@Bib]="","",XLOOKUP([@Bib],tblReg[Bib],tblReg[LastName],""))</f>
      </c>
      <c r="E126">
        <f>IF([@Bib]="","",XLOOKUP([@Bib],tblReg[Bib],tblReg[Team],""))</f>
      </c>
      <c r="F126">
        <f>IF([@Bib]="","",XLOOKUP([@Bib],tblReg[Bib],tblReg[Status],""))</f>
      </c>
      <c r="G126">
        <f>IF([@Bib]="","",XLOOKUP([@Bib],tblStage1[Bib],tblStage1[NetSeconds],""))</f>
      </c>
      <c r="H126">
        <f>IF([@Bib]="","",XLOOKUP([@Bib],tblStage2[Bib],tblStage2[NetSeconds],""))</f>
      </c>
      <c r="I126">
        <f>IF([@Bib]="","",XLOOKUP([@Bib],tblStage3[Bib],tblStage3[NetSeconds],""))</f>
      </c>
      <c r="J126">
        <f>IF(COUNTA([@S1NetSec],[@S2NetSec],[@S3NetSec])=0,"",[@S1NetSec]+[@S2NetSec]+[@S3NetSec])</f>
      </c>
      <c r="K126" s="3">
        <f>IF([@TotalSec]="","",[@TotalSec]/86400)</f>
      </c>
      <c r="L126">
        <f>IF([@Status]&lt;&gt;"Active","",RANK([@TotalSec],FILTER(tblGC[TotalSec],tblGC[Status]="Active"),1))</f>
      </c>
    </row>
    <row r="127" spans="1:12" x14ac:dyDescent="0.25">
      <c r="A127">
        <f>IFERROR(INDEX(tblReg[Bib],ROW()-ROW(tblGC[#Headers])),"")</f>
      </c>
      <c r="B127">
        <f>IF([@Bib]="","",XLOOKUP([@Bib],tblReg[Bib],tblReg[Field],""))</f>
      </c>
      <c r="C127">
        <f>IF([@Bib]="","",XLOOKUP([@Bib],tblReg[Bib],tblReg[FirstName],""))</f>
      </c>
      <c r="D127">
        <f>IF([@Bib]="","",XLOOKUP([@Bib],tblReg[Bib],tblReg[LastName],""))</f>
      </c>
      <c r="E127">
        <f>IF([@Bib]="","",XLOOKUP([@Bib],tblReg[Bib],tblReg[Team],""))</f>
      </c>
      <c r="F127">
        <f>IF([@Bib]="","",XLOOKUP([@Bib],tblReg[Bib],tblReg[Status],""))</f>
      </c>
      <c r="G127">
        <f>IF([@Bib]="","",XLOOKUP([@Bib],tblStage1[Bib],tblStage1[NetSeconds],""))</f>
      </c>
      <c r="H127">
        <f>IF([@Bib]="","",XLOOKUP([@Bib],tblStage2[Bib],tblStage2[NetSeconds],""))</f>
      </c>
      <c r="I127">
        <f>IF([@Bib]="","",XLOOKUP([@Bib],tblStage3[Bib],tblStage3[NetSeconds],""))</f>
      </c>
      <c r="J127">
        <f>IF(COUNTA([@S1NetSec],[@S2NetSec],[@S3NetSec])=0,"",[@S1NetSec]+[@S2NetSec]+[@S3NetSec])</f>
      </c>
      <c r="K127" s="3">
        <f>IF([@TotalSec]="","",[@TotalSec]/86400)</f>
      </c>
      <c r="L127">
        <f>IF([@Status]&lt;&gt;"Active","",RANK([@TotalSec],FILTER(tblGC[TotalSec],tblGC[Status]="Active"),1))</f>
      </c>
    </row>
    <row r="128" spans="1:12" x14ac:dyDescent="0.25">
      <c r="A128">
        <f>IFERROR(INDEX(tblReg[Bib],ROW()-ROW(tblGC[#Headers])),"")</f>
      </c>
      <c r="B128">
        <f>IF([@Bib]="","",XLOOKUP([@Bib],tblReg[Bib],tblReg[Field],""))</f>
      </c>
      <c r="C128">
        <f>IF([@Bib]="","",XLOOKUP([@Bib],tblReg[Bib],tblReg[FirstName],""))</f>
      </c>
      <c r="D128">
        <f>IF([@Bib]="","",XLOOKUP([@Bib],tblReg[Bib],tblReg[LastName],""))</f>
      </c>
      <c r="E128">
        <f>IF([@Bib]="","",XLOOKUP([@Bib],tblReg[Bib],tblReg[Team],""))</f>
      </c>
      <c r="F128">
        <f>IF([@Bib]="","",XLOOKUP([@Bib],tblReg[Bib],tblReg[Status],""))</f>
      </c>
      <c r="G128">
        <f>IF([@Bib]="","",XLOOKUP([@Bib],tblStage1[Bib],tblStage1[NetSeconds],""))</f>
      </c>
      <c r="H128">
        <f>IF([@Bib]="","",XLOOKUP([@Bib],tblStage2[Bib],tblStage2[NetSeconds],""))</f>
      </c>
      <c r="I128">
        <f>IF([@Bib]="","",XLOOKUP([@Bib],tblStage3[Bib],tblStage3[NetSeconds],""))</f>
      </c>
      <c r="J128">
        <f>IF(COUNTA([@S1NetSec],[@S2NetSec],[@S3NetSec])=0,"",[@S1NetSec]+[@S2NetSec]+[@S3NetSec])</f>
      </c>
      <c r="K128" s="3">
        <f>IF([@TotalSec]="","",[@TotalSec]/86400)</f>
      </c>
      <c r="L128">
        <f>IF([@Status]&lt;&gt;"Active","",RANK([@TotalSec],FILTER(tblGC[TotalSec],tblGC[Status]="Active"),1))</f>
      </c>
    </row>
    <row r="129" spans="1:12" x14ac:dyDescent="0.25">
      <c r="A129">
        <f>IFERROR(INDEX(tblReg[Bib],ROW()-ROW(tblGC[#Headers])),"")</f>
      </c>
      <c r="B129">
        <f>IF([@Bib]="","",XLOOKUP([@Bib],tblReg[Bib],tblReg[Field],""))</f>
      </c>
      <c r="C129">
        <f>IF([@Bib]="","",XLOOKUP([@Bib],tblReg[Bib],tblReg[FirstName],""))</f>
      </c>
      <c r="D129">
        <f>IF([@Bib]="","",XLOOKUP([@Bib],tblReg[Bib],tblReg[LastName],""))</f>
      </c>
      <c r="E129">
        <f>IF([@Bib]="","",XLOOKUP([@Bib],tblReg[Bib],tblReg[Team],""))</f>
      </c>
      <c r="F129">
        <f>IF([@Bib]="","",XLOOKUP([@Bib],tblReg[Bib],tblReg[Status],""))</f>
      </c>
      <c r="G129">
        <f>IF([@Bib]="","",XLOOKUP([@Bib],tblStage1[Bib],tblStage1[NetSeconds],""))</f>
      </c>
      <c r="H129">
        <f>IF([@Bib]="","",XLOOKUP([@Bib],tblStage2[Bib],tblStage2[NetSeconds],""))</f>
      </c>
      <c r="I129">
        <f>IF([@Bib]="","",XLOOKUP([@Bib],tblStage3[Bib],tblStage3[NetSeconds],""))</f>
      </c>
      <c r="J129">
        <f>IF(COUNTA([@S1NetSec],[@S2NetSec],[@S3NetSec])=0,"",[@S1NetSec]+[@S2NetSec]+[@S3NetSec])</f>
      </c>
      <c r="K129" s="3">
        <f>IF([@TotalSec]="","",[@TotalSec]/86400)</f>
      </c>
      <c r="L129">
        <f>IF([@Status]&lt;&gt;"Active","",RANK([@TotalSec],FILTER(tblGC[TotalSec],tblGC[Status]="Active"),1))</f>
      </c>
    </row>
    <row r="130" spans="1:12" x14ac:dyDescent="0.25">
      <c r="A130">
        <f>IFERROR(INDEX(tblReg[Bib],ROW()-ROW(tblGC[#Headers])),"")</f>
      </c>
      <c r="B130">
        <f>IF([@Bib]="","",XLOOKUP([@Bib],tblReg[Bib],tblReg[Field],""))</f>
      </c>
      <c r="C130">
        <f>IF([@Bib]="","",XLOOKUP([@Bib],tblReg[Bib],tblReg[FirstName],""))</f>
      </c>
      <c r="D130">
        <f>IF([@Bib]="","",XLOOKUP([@Bib],tblReg[Bib],tblReg[LastName],""))</f>
      </c>
      <c r="E130">
        <f>IF([@Bib]="","",XLOOKUP([@Bib],tblReg[Bib],tblReg[Team],""))</f>
      </c>
      <c r="F130">
        <f>IF([@Bib]="","",XLOOKUP([@Bib],tblReg[Bib],tblReg[Status],""))</f>
      </c>
      <c r="G130">
        <f>IF([@Bib]="","",XLOOKUP([@Bib],tblStage1[Bib],tblStage1[NetSeconds],""))</f>
      </c>
      <c r="H130">
        <f>IF([@Bib]="","",XLOOKUP([@Bib],tblStage2[Bib],tblStage2[NetSeconds],""))</f>
      </c>
      <c r="I130">
        <f>IF([@Bib]="","",XLOOKUP([@Bib],tblStage3[Bib],tblStage3[NetSeconds],""))</f>
      </c>
      <c r="J130">
        <f>IF(COUNTA([@S1NetSec],[@S2NetSec],[@S3NetSec])=0,"",[@S1NetSec]+[@S2NetSec]+[@S3NetSec])</f>
      </c>
      <c r="K130" s="3">
        <f>IF([@TotalSec]="","",[@TotalSec]/86400)</f>
      </c>
      <c r="L130">
        <f>IF([@Status]&lt;&gt;"Active","",RANK([@TotalSec],FILTER(tblGC[TotalSec],tblGC[Status]="Active"),1))</f>
      </c>
    </row>
    <row r="131" spans="1:12" x14ac:dyDescent="0.25">
      <c r="A131">
        <f>IFERROR(INDEX(tblReg[Bib],ROW()-ROW(tblGC[#Headers])),"")</f>
      </c>
      <c r="B131">
        <f>IF([@Bib]="","",XLOOKUP([@Bib],tblReg[Bib],tblReg[Field],""))</f>
      </c>
      <c r="C131">
        <f>IF([@Bib]="","",XLOOKUP([@Bib],tblReg[Bib],tblReg[FirstName],""))</f>
      </c>
      <c r="D131">
        <f>IF([@Bib]="","",XLOOKUP([@Bib],tblReg[Bib],tblReg[LastName],""))</f>
      </c>
      <c r="E131">
        <f>IF([@Bib]="","",XLOOKUP([@Bib],tblReg[Bib],tblReg[Team],""))</f>
      </c>
      <c r="F131">
        <f>IF([@Bib]="","",XLOOKUP([@Bib],tblReg[Bib],tblReg[Status],""))</f>
      </c>
      <c r="G131">
        <f>IF([@Bib]="","",XLOOKUP([@Bib],tblStage1[Bib],tblStage1[NetSeconds],""))</f>
      </c>
      <c r="H131">
        <f>IF([@Bib]="","",XLOOKUP([@Bib],tblStage2[Bib],tblStage2[NetSeconds],""))</f>
      </c>
      <c r="I131">
        <f>IF([@Bib]="","",XLOOKUP([@Bib],tblStage3[Bib],tblStage3[NetSeconds],""))</f>
      </c>
      <c r="J131">
        <f>IF(COUNTA([@S1NetSec],[@S2NetSec],[@S3NetSec])=0,"",[@S1NetSec]+[@S2NetSec]+[@S3NetSec])</f>
      </c>
      <c r="K131" s="3">
        <f>IF([@TotalSec]="","",[@TotalSec]/86400)</f>
      </c>
      <c r="L131">
        <f>IF([@Status]&lt;&gt;"Active","",RANK([@TotalSec],FILTER(tblGC[TotalSec],tblGC[Status]="Active"),1))</f>
      </c>
    </row>
    <row r="132" spans="1:12" x14ac:dyDescent="0.25">
      <c r="A132">
        <f>IFERROR(INDEX(tblReg[Bib],ROW()-ROW(tblGC[#Headers])),"")</f>
      </c>
      <c r="B132">
        <f>IF([@Bib]="","",XLOOKUP([@Bib],tblReg[Bib],tblReg[Field],""))</f>
      </c>
      <c r="C132">
        <f>IF([@Bib]="","",XLOOKUP([@Bib],tblReg[Bib],tblReg[FirstName],""))</f>
      </c>
      <c r="D132">
        <f>IF([@Bib]="","",XLOOKUP([@Bib],tblReg[Bib],tblReg[LastName],""))</f>
      </c>
      <c r="E132">
        <f>IF([@Bib]="","",XLOOKUP([@Bib],tblReg[Bib],tblReg[Team],""))</f>
      </c>
      <c r="F132">
        <f>IF([@Bib]="","",XLOOKUP([@Bib],tblReg[Bib],tblReg[Status],""))</f>
      </c>
      <c r="G132">
        <f>IF([@Bib]="","",XLOOKUP([@Bib],tblStage1[Bib],tblStage1[NetSeconds],""))</f>
      </c>
      <c r="H132">
        <f>IF([@Bib]="","",XLOOKUP([@Bib],tblStage2[Bib],tblStage2[NetSeconds],""))</f>
      </c>
      <c r="I132">
        <f>IF([@Bib]="","",XLOOKUP([@Bib],tblStage3[Bib],tblStage3[NetSeconds],""))</f>
      </c>
      <c r="J132">
        <f>IF(COUNTA([@S1NetSec],[@S2NetSec],[@S3NetSec])=0,"",[@S1NetSec]+[@S2NetSec]+[@S3NetSec])</f>
      </c>
      <c r="K132" s="3">
        <f>IF([@TotalSec]="","",[@TotalSec]/86400)</f>
      </c>
      <c r="L132">
        <f>IF([@Status]&lt;&gt;"Active","",RANK([@TotalSec],FILTER(tblGC[TotalSec],tblGC[Status]="Active"),1))</f>
      </c>
    </row>
    <row r="133" spans="1:12" x14ac:dyDescent="0.25">
      <c r="A133">
        <f>IFERROR(INDEX(tblReg[Bib],ROW()-ROW(tblGC[#Headers])),"")</f>
      </c>
      <c r="B133">
        <f>IF([@Bib]="","",XLOOKUP([@Bib],tblReg[Bib],tblReg[Field],""))</f>
      </c>
      <c r="C133">
        <f>IF([@Bib]="","",XLOOKUP([@Bib],tblReg[Bib],tblReg[FirstName],""))</f>
      </c>
      <c r="D133">
        <f>IF([@Bib]="","",XLOOKUP([@Bib],tblReg[Bib],tblReg[LastName],""))</f>
      </c>
      <c r="E133">
        <f>IF([@Bib]="","",XLOOKUP([@Bib],tblReg[Bib],tblReg[Team],""))</f>
      </c>
      <c r="F133">
        <f>IF([@Bib]="","",XLOOKUP([@Bib],tblReg[Bib],tblReg[Status],""))</f>
      </c>
      <c r="G133">
        <f>IF([@Bib]="","",XLOOKUP([@Bib],tblStage1[Bib],tblStage1[NetSeconds],""))</f>
      </c>
      <c r="H133">
        <f>IF([@Bib]="","",XLOOKUP([@Bib],tblStage2[Bib],tblStage2[NetSeconds],""))</f>
      </c>
      <c r="I133">
        <f>IF([@Bib]="","",XLOOKUP([@Bib],tblStage3[Bib],tblStage3[NetSeconds],""))</f>
      </c>
      <c r="J133">
        <f>IF(COUNTA([@S1NetSec],[@S2NetSec],[@S3NetSec])=0,"",[@S1NetSec]+[@S2NetSec]+[@S3NetSec])</f>
      </c>
      <c r="K133" s="3">
        <f>IF([@TotalSec]="","",[@TotalSec]/86400)</f>
      </c>
      <c r="L133">
        <f>IF([@Status]&lt;&gt;"Active","",RANK([@TotalSec],FILTER(tblGC[TotalSec],tblGC[Status]="Active"),1))</f>
      </c>
    </row>
    <row r="134" spans="1:12" x14ac:dyDescent="0.25">
      <c r="A134">
        <f>IFERROR(INDEX(tblReg[Bib],ROW()-ROW(tblGC[#Headers])),"")</f>
      </c>
      <c r="B134">
        <f>IF([@Bib]="","",XLOOKUP([@Bib],tblReg[Bib],tblReg[Field],""))</f>
      </c>
      <c r="C134">
        <f>IF([@Bib]="","",XLOOKUP([@Bib],tblReg[Bib],tblReg[FirstName],""))</f>
      </c>
      <c r="D134">
        <f>IF([@Bib]="","",XLOOKUP([@Bib],tblReg[Bib],tblReg[LastName],""))</f>
      </c>
      <c r="E134">
        <f>IF([@Bib]="","",XLOOKUP([@Bib],tblReg[Bib],tblReg[Team],""))</f>
      </c>
      <c r="F134">
        <f>IF([@Bib]="","",XLOOKUP([@Bib],tblReg[Bib],tblReg[Status],""))</f>
      </c>
      <c r="G134">
        <f>IF([@Bib]="","",XLOOKUP([@Bib],tblStage1[Bib],tblStage1[NetSeconds],""))</f>
      </c>
      <c r="H134">
        <f>IF([@Bib]="","",XLOOKUP([@Bib],tblStage2[Bib],tblStage2[NetSeconds],""))</f>
      </c>
      <c r="I134">
        <f>IF([@Bib]="","",XLOOKUP([@Bib],tblStage3[Bib],tblStage3[NetSeconds],""))</f>
      </c>
      <c r="J134">
        <f>IF(COUNTA([@S1NetSec],[@S2NetSec],[@S3NetSec])=0,"",[@S1NetSec]+[@S2NetSec]+[@S3NetSec])</f>
      </c>
      <c r="K134" s="3">
        <f>IF([@TotalSec]="","",[@TotalSec]/86400)</f>
      </c>
      <c r="L134">
        <f>IF([@Status]&lt;&gt;"Active","",RANK([@TotalSec],FILTER(tblGC[TotalSec],tblGC[Status]="Active"),1))</f>
      </c>
    </row>
    <row r="135" spans="1:12" x14ac:dyDescent="0.25">
      <c r="A135">
        <f>IFERROR(INDEX(tblReg[Bib],ROW()-ROW(tblGC[#Headers])),"")</f>
      </c>
      <c r="B135">
        <f>IF([@Bib]="","",XLOOKUP([@Bib],tblReg[Bib],tblReg[Field],""))</f>
      </c>
      <c r="C135">
        <f>IF([@Bib]="","",XLOOKUP([@Bib],tblReg[Bib],tblReg[FirstName],""))</f>
      </c>
      <c r="D135">
        <f>IF([@Bib]="","",XLOOKUP([@Bib],tblReg[Bib],tblReg[LastName],""))</f>
      </c>
      <c r="E135">
        <f>IF([@Bib]="","",XLOOKUP([@Bib],tblReg[Bib],tblReg[Team],""))</f>
      </c>
      <c r="F135">
        <f>IF([@Bib]="","",XLOOKUP([@Bib],tblReg[Bib],tblReg[Status],""))</f>
      </c>
      <c r="G135">
        <f>IF([@Bib]="","",XLOOKUP([@Bib],tblStage1[Bib],tblStage1[NetSeconds],""))</f>
      </c>
      <c r="H135">
        <f>IF([@Bib]="","",XLOOKUP([@Bib],tblStage2[Bib],tblStage2[NetSeconds],""))</f>
      </c>
      <c r="I135">
        <f>IF([@Bib]="","",XLOOKUP([@Bib],tblStage3[Bib],tblStage3[NetSeconds],""))</f>
      </c>
      <c r="J135">
        <f>IF(COUNTA([@S1NetSec],[@S2NetSec],[@S3NetSec])=0,"",[@S1NetSec]+[@S2NetSec]+[@S3NetSec])</f>
      </c>
      <c r="K135" s="3">
        <f>IF([@TotalSec]="","",[@TotalSec]/86400)</f>
      </c>
      <c r="L135">
        <f>IF([@Status]&lt;&gt;"Active","",RANK([@TotalSec],FILTER(tblGC[TotalSec],tblGC[Status]="Active"),1))</f>
      </c>
    </row>
    <row r="136" spans="1:12" x14ac:dyDescent="0.25">
      <c r="A136">
        <f>IFERROR(INDEX(tblReg[Bib],ROW()-ROW(tblGC[#Headers])),"")</f>
      </c>
      <c r="B136">
        <f>IF([@Bib]="","",XLOOKUP([@Bib],tblReg[Bib],tblReg[Field],""))</f>
      </c>
      <c r="C136">
        <f>IF([@Bib]="","",XLOOKUP([@Bib],tblReg[Bib],tblReg[FirstName],""))</f>
      </c>
      <c r="D136">
        <f>IF([@Bib]="","",XLOOKUP([@Bib],tblReg[Bib],tblReg[LastName],""))</f>
      </c>
      <c r="E136">
        <f>IF([@Bib]="","",XLOOKUP([@Bib],tblReg[Bib],tblReg[Team],""))</f>
      </c>
      <c r="F136">
        <f>IF([@Bib]="","",XLOOKUP([@Bib],tblReg[Bib],tblReg[Status],""))</f>
      </c>
      <c r="G136">
        <f>IF([@Bib]="","",XLOOKUP([@Bib],tblStage1[Bib],tblStage1[NetSeconds],""))</f>
      </c>
      <c r="H136">
        <f>IF([@Bib]="","",XLOOKUP([@Bib],tblStage2[Bib],tblStage2[NetSeconds],""))</f>
      </c>
      <c r="I136">
        <f>IF([@Bib]="","",XLOOKUP([@Bib],tblStage3[Bib],tblStage3[NetSeconds],""))</f>
      </c>
      <c r="J136">
        <f>IF(COUNTA([@S1NetSec],[@S2NetSec],[@S3NetSec])=0,"",[@S1NetSec]+[@S2NetSec]+[@S3NetSec])</f>
      </c>
      <c r="K136" s="3">
        <f>IF([@TotalSec]="","",[@TotalSec]/86400)</f>
      </c>
      <c r="L136">
        <f>IF([@Status]&lt;&gt;"Active","",RANK([@TotalSec],FILTER(tblGC[TotalSec],tblGC[Status]="Active"),1))</f>
      </c>
    </row>
    <row r="137" spans="1:12" x14ac:dyDescent="0.25">
      <c r="A137">
        <f>IFERROR(INDEX(tblReg[Bib],ROW()-ROW(tblGC[#Headers])),"")</f>
      </c>
      <c r="B137">
        <f>IF([@Bib]="","",XLOOKUP([@Bib],tblReg[Bib],tblReg[Field],""))</f>
      </c>
      <c r="C137">
        <f>IF([@Bib]="","",XLOOKUP([@Bib],tblReg[Bib],tblReg[FirstName],""))</f>
      </c>
      <c r="D137">
        <f>IF([@Bib]="","",XLOOKUP([@Bib],tblReg[Bib],tblReg[LastName],""))</f>
      </c>
      <c r="E137">
        <f>IF([@Bib]="","",XLOOKUP([@Bib],tblReg[Bib],tblReg[Team],""))</f>
      </c>
      <c r="F137">
        <f>IF([@Bib]="","",XLOOKUP([@Bib],tblReg[Bib],tblReg[Status],""))</f>
      </c>
      <c r="G137">
        <f>IF([@Bib]="","",XLOOKUP([@Bib],tblStage1[Bib],tblStage1[NetSeconds],""))</f>
      </c>
      <c r="H137">
        <f>IF([@Bib]="","",XLOOKUP([@Bib],tblStage2[Bib],tblStage2[NetSeconds],""))</f>
      </c>
      <c r="I137">
        <f>IF([@Bib]="","",XLOOKUP([@Bib],tblStage3[Bib],tblStage3[NetSeconds],""))</f>
      </c>
      <c r="J137">
        <f>IF(COUNTA([@S1NetSec],[@S2NetSec],[@S3NetSec])=0,"",[@S1NetSec]+[@S2NetSec]+[@S3NetSec])</f>
      </c>
      <c r="K137" s="3">
        <f>IF([@TotalSec]="","",[@TotalSec]/86400)</f>
      </c>
      <c r="L137">
        <f>IF([@Status]&lt;&gt;"Active","",RANK([@TotalSec],FILTER(tblGC[TotalSec],tblGC[Status]="Active"),1))</f>
      </c>
    </row>
    <row r="138" spans="1:12" x14ac:dyDescent="0.25">
      <c r="A138">
        <f>IFERROR(INDEX(tblReg[Bib],ROW()-ROW(tblGC[#Headers])),"")</f>
      </c>
      <c r="B138">
        <f>IF([@Bib]="","",XLOOKUP([@Bib],tblReg[Bib],tblReg[Field],""))</f>
      </c>
      <c r="C138">
        <f>IF([@Bib]="","",XLOOKUP([@Bib],tblReg[Bib],tblReg[FirstName],""))</f>
      </c>
      <c r="D138">
        <f>IF([@Bib]="","",XLOOKUP([@Bib],tblReg[Bib],tblReg[LastName],""))</f>
      </c>
      <c r="E138">
        <f>IF([@Bib]="","",XLOOKUP([@Bib],tblReg[Bib],tblReg[Team],""))</f>
      </c>
      <c r="F138">
        <f>IF([@Bib]="","",XLOOKUP([@Bib],tblReg[Bib],tblReg[Status],""))</f>
      </c>
      <c r="G138">
        <f>IF([@Bib]="","",XLOOKUP([@Bib],tblStage1[Bib],tblStage1[NetSeconds],""))</f>
      </c>
      <c r="H138">
        <f>IF([@Bib]="","",XLOOKUP([@Bib],tblStage2[Bib],tblStage2[NetSeconds],""))</f>
      </c>
      <c r="I138">
        <f>IF([@Bib]="","",XLOOKUP([@Bib],tblStage3[Bib],tblStage3[NetSeconds],""))</f>
      </c>
      <c r="J138">
        <f>IF(COUNTA([@S1NetSec],[@S2NetSec],[@S3NetSec])=0,"",[@S1NetSec]+[@S2NetSec]+[@S3NetSec])</f>
      </c>
      <c r="K138" s="3">
        <f>IF([@TotalSec]="","",[@TotalSec]/86400)</f>
      </c>
      <c r="L138">
        <f>IF([@Status]&lt;&gt;"Active","",RANK([@TotalSec],FILTER(tblGC[TotalSec],tblGC[Status]="Active"),1))</f>
      </c>
    </row>
    <row r="139" spans="1:12" x14ac:dyDescent="0.25">
      <c r="A139">
        <f>IFERROR(INDEX(tblReg[Bib],ROW()-ROW(tblGC[#Headers])),"")</f>
      </c>
      <c r="B139">
        <f>IF([@Bib]="","",XLOOKUP([@Bib],tblReg[Bib],tblReg[Field],""))</f>
      </c>
      <c r="C139">
        <f>IF([@Bib]="","",XLOOKUP([@Bib],tblReg[Bib],tblReg[FirstName],""))</f>
      </c>
      <c r="D139">
        <f>IF([@Bib]="","",XLOOKUP([@Bib],tblReg[Bib],tblReg[LastName],""))</f>
      </c>
      <c r="E139">
        <f>IF([@Bib]="","",XLOOKUP([@Bib],tblReg[Bib],tblReg[Team],""))</f>
      </c>
      <c r="F139">
        <f>IF([@Bib]="","",XLOOKUP([@Bib],tblReg[Bib],tblReg[Status],""))</f>
      </c>
      <c r="G139">
        <f>IF([@Bib]="","",XLOOKUP([@Bib],tblStage1[Bib],tblStage1[NetSeconds],""))</f>
      </c>
      <c r="H139">
        <f>IF([@Bib]="","",XLOOKUP([@Bib],tblStage2[Bib],tblStage2[NetSeconds],""))</f>
      </c>
      <c r="I139">
        <f>IF([@Bib]="","",XLOOKUP([@Bib],tblStage3[Bib],tblStage3[NetSeconds],""))</f>
      </c>
      <c r="J139">
        <f>IF(COUNTA([@S1NetSec],[@S2NetSec],[@S3NetSec])=0,"",[@S1NetSec]+[@S2NetSec]+[@S3NetSec])</f>
      </c>
      <c r="K139" s="3">
        <f>IF([@TotalSec]="","",[@TotalSec]/86400)</f>
      </c>
      <c r="L139">
        <f>IF([@Status]&lt;&gt;"Active","",RANK([@TotalSec],FILTER(tblGC[TotalSec],tblGC[Status]="Active"),1))</f>
      </c>
    </row>
    <row r="140" spans="1:12" x14ac:dyDescent="0.25">
      <c r="A140">
        <f>IFERROR(INDEX(tblReg[Bib],ROW()-ROW(tblGC[#Headers])),"")</f>
      </c>
      <c r="B140">
        <f>IF([@Bib]="","",XLOOKUP([@Bib],tblReg[Bib],tblReg[Field],""))</f>
      </c>
      <c r="C140">
        <f>IF([@Bib]="","",XLOOKUP([@Bib],tblReg[Bib],tblReg[FirstName],""))</f>
      </c>
      <c r="D140">
        <f>IF([@Bib]="","",XLOOKUP([@Bib],tblReg[Bib],tblReg[LastName],""))</f>
      </c>
      <c r="E140">
        <f>IF([@Bib]="","",XLOOKUP([@Bib],tblReg[Bib],tblReg[Team],""))</f>
      </c>
      <c r="F140">
        <f>IF([@Bib]="","",XLOOKUP([@Bib],tblReg[Bib],tblReg[Status],""))</f>
      </c>
      <c r="G140">
        <f>IF([@Bib]="","",XLOOKUP([@Bib],tblStage1[Bib],tblStage1[NetSeconds],""))</f>
      </c>
      <c r="H140">
        <f>IF([@Bib]="","",XLOOKUP([@Bib],tblStage2[Bib],tblStage2[NetSeconds],""))</f>
      </c>
      <c r="I140">
        <f>IF([@Bib]="","",XLOOKUP([@Bib],tblStage3[Bib],tblStage3[NetSeconds],""))</f>
      </c>
      <c r="J140">
        <f>IF(COUNTA([@S1NetSec],[@S2NetSec],[@S3NetSec])=0,"",[@S1NetSec]+[@S2NetSec]+[@S3NetSec])</f>
      </c>
      <c r="K140" s="3">
        <f>IF([@TotalSec]="","",[@TotalSec]/86400)</f>
      </c>
      <c r="L140">
        <f>IF([@Status]&lt;&gt;"Active","",RANK([@TotalSec],FILTER(tblGC[TotalSec],tblGC[Status]="Active"),1))</f>
      </c>
    </row>
    <row r="141" spans="1:12" x14ac:dyDescent="0.25">
      <c r="A141">
        <f>IFERROR(INDEX(tblReg[Bib],ROW()-ROW(tblGC[#Headers])),"")</f>
      </c>
      <c r="B141">
        <f>IF([@Bib]="","",XLOOKUP([@Bib],tblReg[Bib],tblReg[Field],""))</f>
      </c>
      <c r="C141">
        <f>IF([@Bib]="","",XLOOKUP([@Bib],tblReg[Bib],tblReg[FirstName],""))</f>
      </c>
      <c r="D141">
        <f>IF([@Bib]="","",XLOOKUP([@Bib],tblReg[Bib],tblReg[LastName],""))</f>
      </c>
      <c r="E141">
        <f>IF([@Bib]="","",XLOOKUP([@Bib],tblReg[Bib],tblReg[Team],""))</f>
      </c>
      <c r="F141">
        <f>IF([@Bib]="","",XLOOKUP([@Bib],tblReg[Bib],tblReg[Status],""))</f>
      </c>
      <c r="G141">
        <f>IF([@Bib]="","",XLOOKUP([@Bib],tblStage1[Bib],tblStage1[NetSeconds],""))</f>
      </c>
      <c r="H141">
        <f>IF([@Bib]="","",XLOOKUP([@Bib],tblStage2[Bib],tblStage2[NetSeconds],""))</f>
      </c>
      <c r="I141">
        <f>IF([@Bib]="","",XLOOKUP([@Bib],tblStage3[Bib],tblStage3[NetSeconds],""))</f>
      </c>
      <c r="J141">
        <f>IF(COUNTA([@S1NetSec],[@S2NetSec],[@S3NetSec])=0,"",[@S1NetSec]+[@S2NetSec]+[@S3NetSec])</f>
      </c>
      <c r="K141" s="3">
        <f>IF([@TotalSec]="","",[@TotalSec]/86400)</f>
      </c>
      <c r="L141">
        <f>IF([@Status]&lt;&gt;"Active","",RANK([@TotalSec],FILTER(tblGC[TotalSec],tblGC[Status]="Active"),1))</f>
      </c>
    </row>
    <row r="142" spans="1:12" x14ac:dyDescent="0.25">
      <c r="A142">
        <f>IFERROR(INDEX(tblReg[Bib],ROW()-ROW(tblGC[#Headers])),"")</f>
      </c>
      <c r="B142">
        <f>IF([@Bib]="","",XLOOKUP([@Bib],tblReg[Bib],tblReg[Field],""))</f>
      </c>
      <c r="C142">
        <f>IF([@Bib]="","",XLOOKUP([@Bib],tblReg[Bib],tblReg[FirstName],""))</f>
      </c>
      <c r="D142">
        <f>IF([@Bib]="","",XLOOKUP([@Bib],tblReg[Bib],tblReg[LastName],""))</f>
      </c>
      <c r="E142">
        <f>IF([@Bib]="","",XLOOKUP([@Bib],tblReg[Bib],tblReg[Team],""))</f>
      </c>
      <c r="F142">
        <f>IF([@Bib]="","",XLOOKUP([@Bib],tblReg[Bib],tblReg[Status],""))</f>
      </c>
      <c r="G142">
        <f>IF([@Bib]="","",XLOOKUP([@Bib],tblStage1[Bib],tblStage1[NetSeconds],""))</f>
      </c>
      <c r="H142">
        <f>IF([@Bib]="","",XLOOKUP([@Bib],tblStage2[Bib],tblStage2[NetSeconds],""))</f>
      </c>
      <c r="I142">
        <f>IF([@Bib]="","",XLOOKUP([@Bib],tblStage3[Bib],tblStage3[NetSeconds],""))</f>
      </c>
      <c r="J142">
        <f>IF(COUNTA([@S1NetSec],[@S2NetSec],[@S3NetSec])=0,"",[@S1NetSec]+[@S2NetSec]+[@S3NetSec])</f>
      </c>
      <c r="K142" s="3">
        <f>IF([@TotalSec]="","",[@TotalSec]/86400)</f>
      </c>
      <c r="L142">
        <f>IF([@Status]&lt;&gt;"Active","",RANK([@TotalSec],FILTER(tblGC[TotalSec],tblGC[Status]="Active"),1))</f>
      </c>
    </row>
    <row r="143" spans="1:12" x14ac:dyDescent="0.25">
      <c r="A143">
        <f>IFERROR(INDEX(tblReg[Bib],ROW()-ROW(tblGC[#Headers])),"")</f>
      </c>
      <c r="B143">
        <f>IF([@Bib]="","",XLOOKUP([@Bib],tblReg[Bib],tblReg[Field],""))</f>
      </c>
      <c r="C143">
        <f>IF([@Bib]="","",XLOOKUP([@Bib],tblReg[Bib],tblReg[FirstName],""))</f>
      </c>
      <c r="D143">
        <f>IF([@Bib]="","",XLOOKUP([@Bib],tblReg[Bib],tblReg[LastName],""))</f>
      </c>
      <c r="E143">
        <f>IF([@Bib]="","",XLOOKUP([@Bib],tblReg[Bib],tblReg[Team],""))</f>
      </c>
      <c r="F143">
        <f>IF([@Bib]="","",XLOOKUP([@Bib],tblReg[Bib],tblReg[Status],""))</f>
      </c>
      <c r="G143">
        <f>IF([@Bib]="","",XLOOKUP([@Bib],tblStage1[Bib],tblStage1[NetSeconds],""))</f>
      </c>
      <c r="H143">
        <f>IF([@Bib]="","",XLOOKUP([@Bib],tblStage2[Bib],tblStage2[NetSeconds],""))</f>
      </c>
      <c r="I143">
        <f>IF([@Bib]="","",XLOOKUP([@Bib],tblStage3[Bib],tblStage3[NetSeconds],""))</f>
      </c>
      <c r="J143">
        <f>IF(COUNTA([@S1NetSec],[@S2NetSec],[@S3NetSec])=0,"",[@S1NetSec]+[@S2NetSec]+[@S3NetSec])</f>
      </c>
      <c r="K143" s="3">
        <f>IF([@TotalSec]="","",[@TotalSec]/86400)</f>
      </c>
      <c r="L143">
        <f>IF([@Status]&lt;&gt;"Active","",RANK([@TotalSec],FILTER(tblGC[TotalSec],tblGC[Status]="Active"),1))</f>
      </c>
    </row>
    <row r="144" spans="1:12" x14ac:dyDescent="0.25">
      <c r="A144">
        <f>IFERROR(INDEX(tblReg[Bib],ROW()-ROW(tblGC[#Headers])),"")</f>
      </c>
      <c r="B144">
        <f>IF([@Bib]="","",XLOOKUP([@Bib],tblReg[Bib],tblReg[Field],""))</f>
      </c>
      <c r="C144">
        <f>IF([@Bib]="","",XLOOKUP([@Bib],tblReg[Bib],tblReg[FirstName],""))</f>
      </c>
      <c r="D144">
        <f>IF([@Bib]="","",XLOOKUP([@Bib],tblReg[Bib],tblReg[LastName],""))</f>
      </c>
      <c r="E144">
        <f>IF([@Bib]="","",XLOOKUP([@Bib],tblReg[Bib],tblReg[Team],""))</f>
      </c>
      <c r="F144">
        <f>IF([@Bib]="","",XLOOKUP([@Bib],tblReg[Bib],tblReg[Status],""))</f>
      </c>
      <c r="G144">
        <f>IF([@Bib]="","",XLOOKUP([@Bib],tblStage1[Bib],tblStage1[NetSeconds],""))</f>
      </c>
      <c r="H144">
        <f>IF([@Bib]="","",XLOOKUP([@Bib],tblStage2[Bib],tblStage2[NetSeconds],""))</f>
      </c>
      <c r="I144">
        <f>IF([@Bib]="","",XLOOKUP([@Bib],tblStage3[Bib],tblStage3[NetSeconds],""))</f>
      </c>
      <c r="J144">
        <f>IF(COUNTA([@S1NetSec],[@S2NetSec],[@S3NetSec])=0,"",[@S1NetSec]+[@S2NetSec]+[@S3NetSec])</f>
      </c>
      <c r="K144" s="3">
        <f>IF([@TotalSec]="","",[@TotalSec]/86400)</f>
      </c>
      <c r="L144">
        <f>IF([@Status]&lt;&gt;"Active","",RANK([@TotalSec],FILTER(tblGC[TotalSec],tblGC[Status]="Active"),1))</f>
      </c>
    </row>
    <row r="145" spans="1:12" x14ac:dyDescent="0.25">
      <c r="A145">
        <f>IFERROR(INDEX(tblReg[Bib],ROW()-ROW(tblGC[#Headers])),"")</f>
      </c>
      <c r="B145">
        <f>IF([@Bib]="","",XLOOKUP([@Bib],tblReg[Bib],tblReg[Field],""))</f>
      </c>
      <c r="C145">
        <f>IF([@Bib]="","",XLOOKUP([@Bib],tblReg[Bib],tblReg[FirstName],""))</f>
      </c>
      <c r="D145">
        <f>IF([@Bib]="","",XLOOKUP([@Bib],tblReg[Bib],tblReg[LastName],""))</f>
      </c>
      <c r="E145">
        <f>IF([@Bib]="","",XLOOKUP([@Bib],tblReg[Bib],tblReg[Team],""))</f>
      </c>
      <c r="F145">
        <f>IF([@Bib]="","",XLOOKUP([@Bib],tblReg[Bib],tblReg[Status],""))</f>
      </c>
      <c r="G145">
        <f>IF([@Bib]="","",XLOOKUP([@Bib],tblStage1[Bib],tblStage1[NetSeconds],""))</f>
      </c>
      <c r="H145">
        <f>IF([@Bib]="","",XLOOKUP([@Bib],tblStage2[Bib],tblStage2[NetSeconds],""))</f>
      </c>
      <c r="I145">
        <f>IF([@Bib]="","",XLOOKUP([@Bib],tblStage3[Bib],tblStage3[NetSeconds],""))</f>
      </c>
      <c r="J145">
        <f>IF(COUNTA([@S1NetSec],[@S2NetSec],[@S3NetSec])=0,"",[@S1NetSec]+[@S2NetSec]+[@S3NetSec])</f>
      </c>
      <c r="K145" s="3">
        <f>IF([@TotalSec]="","",[@TotalSec]/86400)</f>
      </c>
      <c r="L145">
        <f>IF([@Status]&lt;&gt;"Active","",RANK([@TotalSec],FILTER(tblGC[TotalSec],tblGC[Status]="Active"),1))</f>
      </c>
    </row>
    <row r="146" spans="1:12" x14ac:dyDescent="0.25">
      <c r="A146">
        <f>IFERROR(INDEX(tblReg[Bib],ROW()-ROW(tblGC[#Headers])),"")</f>
      </c>
      <c r="B146">
        <f>IF([@Bib]="","",XLOOKUP([@Bib],tblReg[Bib],tblReg[Field],""))</f>
      </c>
      <c r="C146">
        <f>IF([@Bib]="","",XLOOKUP([@Bib],tblReg[Bib],tblReg[FirstName],""))</f>
      </c>
      <c r="D146">
        <f>IF([@Bib]="","",XLOOKUP([@Bib],tblReg[Bib],tblReg[LastName],""))</f>
      </c>
      <c r="E146">
        <f>IF([@Bib]="","",XLOOKUP([@Bib],tblReg[Bib],tblReg[Team],""))</f>
      </c>
      <c r="F146">
        <f>IF([@Bib]="","",XLOOKUP([@Bib],tblReg[Bib],tblReg[Status],""))</f>
      </c>
      <c r="G146">
        <f>IF([@Bib]="","",XLOOKUP([@Bib],tblStage1[Bib],tblStage1[NetSeconds],""))</f>
      </c>
      <c r="H146">
        <f>IF([@Bib]="","",XLOOKUP([@Bib],tblStage2[Bib],tblStage2[NetSeconds],""))</f>
      </c>
      <c r="I146">
        <f>IF([@Bib]="","",XLOOKUP([@Bib],tblStage3[Bib],tblStage3[NetSeconds],""))</f>
      </c>
      <c r="J146">
        <f>IF(COUNTA([@S1NetSec],[@S2NetSec],[@S3NetSec])=0,"",[@S1NetSec]+[@S2NetSec]+[@S3NetSec])</f>
      </c>
      <c r="K146" s="3">
        <f>IF([@TotalSec]="","",[@TotalSec]/86400)</f>
      </c>
      <c r="L146">
        <f>IF([@Status]&lt;&gt;"Active","",RANK([@TotalSec],FILTER(tblGC[TotalSec],tblGC[Status]="Active"),1))</f>
      </c>
    </row>
    <row r="147" spans="1:12" x14ac:dyDescent="0.25">
      <c r="A147">
        <f>IFERROR(INDEX(tblReg[Bib],ROW()-ROW(tblGC[#Headers])),"")</f>
      </c>
      <c r="B147">
        <f>IF([@Bib]="","",XLOOKUP([@Bib],tblReg[Bib],tblReg[Field],""))</f>
      </c>
      <c r="C147">
        <f>IF([@Bib]="","",XLOOKUP([@Bib],tblReg[Bib],tblReg[FirstName],""))</f>
      </c>
      <c r="D147">
        <f>IF([@Bib]="","",XLOOKUP([@Bib],tblReg[Bib],tblReg[LastName],""))</f>
      </c>
      <c r="E147">
        <f>IF([@Bib]="","",XLOOKUP([@Bib],tblReg[Bib],tblReg[Team],""))</f>
      </c>
      <c r="F147">
        <f>IF([@Bib]="","",XLOOKUP([@Bib],tblReg[Bib],tblReg[Status],""))</f>
      </c>
      <c r="G147">
        <f>IF([@Bib]="","",XLOOKUP([@Bib],tblStage1[Bib],tblStage1[NetSeconds],""))</f>
      </c>
      <c r="H147">
        <f>IF([@Bib]="","",XLOOKUP([@Bib],tblStage2[Bib],tblStage2[NetSeconds],""))</f>
      </c>
      <c r="I147">
        <f>IF([@Bib]="","",XLOOKUP([@Bib],tblStage3[Bib],tblStage3[NetSeconds],""))</f>
      </c>
      <c r="J147">
        <f>IF(COUNTA([@S1NetSec],[@S2NetSec],[@S3NetSec])=0,"",[@S1NetSec]+[@S2NetSec]+[@S3NetSec])</f>
      </c>
      <c r="K147" s="3">
        <f>IF([@TotalSec]="","",[@TotalSec]/86400)</f>
      </c>
      <c r="L147">
        <f>IF([@Status]&lt;&gt;"Active","",RANK([@TotalSec],FILTER(tblGC[TotalSec],tblGC[Status]="Active"),1))</f>
      </c>
    </row>
    <row r="148" spans="1:12" x14ac:dyDescent="0.25">
      <c r="A148">
        <f>IFERROR(INDEX(tblReg[Bib],ROW()-ROW(tblGC[#Headers])),"")</f>
      </c>
      <c r="B148">
        <f>IF([@Bib]="","",XLOOKUP([@Bib],tblReg[Bib],tblReg[Field],""))</f>
      </c>
      <c r="C148">
        <f>IF([@Bib]="","",XLOOKUP([@Bib],tblReg[Bib],tblReg[FirstName],""))</f>
      </c>
      <c r="D148">
        <f>IF([@Bib]="","",XLOOKUP([@Bib],tblReg[Bib],tblReg[LastName],""))</f>
      </c>
      <c r="E148">
        <f>IF([@Bib]="","",XLOOKUP([@Bib],tblReg[Bib],tblReg[Team],""))</f>
      </c>
      <c r="F148">
        <f>IF([@Bib]="","",XLOOKUP([@Bib],tblReg[Bib],tblReg[Status],""))</f>
      </c>
      <c r="G148">
        <f>IF([@Bib]="","",XLOOKUP([@Bib],tblStage1[Bib],tblStage1[NetSeconds],""))</f>
      </c>
      <c r="H148">
        <f>IF([@Bib]="","",XLOOKUP([@Bib],tblStage2[Bib],tblStage2[NetSeconds],""))</f>
      </c>
      <c r="I148">
        <f>IF([@Bib]="","",XLOOKUP([@Bib],tblStage3[Bib],tblStage3[NetSeconds],""))</f>
      </c>
      <c r="J148">
        <f>IF(COUNTA([@S1NetSec],[@S2NetSec],[@S3NetSec])=0,"",[@S1NetSec]+[@S2NetSec]+[@S3NetSec])</f>
      </c>
      <c r="K148" s="3">
        <f>IF([@TotalSec]="","",[@TotalSec]/86400)</f>
      </c>
      <c r="L148">
        <f>IF([@Status]&lt;&gt;"Active","",RANK([@TotalSec],FILTER(tblGC[TotalSec],tblGC[Status]="Active"),1))</f>
      </c>
    </row>
    <row r="149" spans="1:12" x14ac:dyDescent="0.25">
      <c r="A149">
        <f>IFERROR(INDEX(tblReg[Bib],ROW()-ROW(tblGC[#Headers])),"")</f>
      </c>
      <c r="B149">
        <f>IF([@Bib]="","",XLOOKUP([@Bib],tblReg[Bib],tblReg[Field],""))</f>
      </c>
      <c r="C149">
        <f>IF([@Bib]="","",XLOOKUP([@Bib],tblReg[Bib],tblReg[FirstName],""))</f>
      </c>
      <c r="D149">
        <f>IF([@Bib]="","",XLOOKUP([@Bib],tblReg[Bib],tblReg[LastName],""))</f>
      </c>
      <c r="E149">
        <f>IF([@Bib]="","",XLOOKUP([@Bib],tblReg[Bib],tblReg[Team],""))</f>
      </c>
      <c r="F149">
        <f>IF([@Bib]="","",XLOOKUP([@Bib],tblReg[Bib],tblReg[Status],""))</f>
      </c>
      <c r="G149">
        <f>IF([@Bib]="","",XLOOKUP([@Bib],tblStage1[Bib],tblStage1[NetSeconds],""))</f>
      </c>
      <c r="H149">
        <f>IF([@Bib]="","",XLOOKUP([@Bib],tblStage2[Bib],tblStage2[NetSeconds],""))</f>
      </c>
      <c r="I149">
        <f>IF([@Bib]="","",XLOOKUP([@Bib],tblStage3[Bib],tblStage3[NetSeconds],""))</f>
      </c>
      <c r="J149">
        <f>IF(COUNTA([@S1NetSec],[@S2NetSec],[@S3NetSec])=0,"",[@S1NetSec]+[@S2NetSec]+[@S3NetSec])</f>
      </c>
      <c r="K149" s="3">
        <f>IF([@TotalSec]="","",[@TotalSec]/86400)</f>
      </c>
      <c r="L149">
        <f>IF([@Status]&lt;&gt;"Active","",RANK([@TotalSec],FILTER(tblGC[TotalSec],tblGC[Status]="Active"),1))</f>
      </c>
    </row>
    <row r="150" spans="1:12" x14ac:dyDescent="0.25">
      <c r="A150">
        <f>IFERROR(INDEX(tblReg[Bib],ROW()-ROW(tblGC[#Headers])),"")</f>
      </c>
      <c r="B150">
        <f>IF([@Bib]="","",XLOOKUP([@Bib],tblReg[Bib],tblReg[Field],""))</f>
      </c>
      <c r="C150">
        <f>IF([@Bib]="","",XLOOKUP([@Bib],tblReg[Bib],tblReg[FirstName],""))</f>
      </c>
      <c r="D150">
        <f>IF([@Bib]="","",XLOOKUP([@Bib],tblReg[Bib],tblReg[LastName],""))</f>
      </c>
      <c r="E150">
        <f>IF([@Bib]="","",XLOOKUP([@Bib],tblReg[Bib],tblReg[Team],""))</f>
      </c>
      <c r="F150">
        <f>IF([@Bib]="","",XLOOKUP([@Bib],tblReg[Bib],tblReg[Status],""))</f>
      </c>
      <c r="G150">
        <f>IF([@Bib]="","",XLOOKUP([@Bib],tblStage1[Bib],tblStage1[NetSeconds],""))</f>
      </c>
      <c r="H150">
        <f>IF([@Bib]="","",XLOOKUP([@Bib],tblStage2[Bib],tblStage2[NetSeconds],""))</f>
      </c>
      <c r="I150">
        <f>IF([@Bib]="","",XLOOKUP([@Bib],tblStage3[Bib],tblStage3[NetSeconds],""))</f>
      </c>
      <c r="J150">
        <f>IF(COUNTA([@S1NetSec],[@S2NetSec],[@S3NetSec])=0,"",[@S1NetSec]+[@S2NetSec]+[@S3NetSec])</f>
      </c>
      <c r="K150" s="3">
        <f>IF([@TotalSec]="","",[@TotalSec]/86400)</f>
      </c>
      <c r="L150">
        <f>IF([@Status]&lt;&gt;"Active","",RANK([@TotalSec],FILTER(tblGC[TotalSec],tblGC[Status]="Active"),1))</f>
      </c>
    </row>
    <row r="151" spans="1:12" x14ac:dyDescent="0.25">
      <c r="A151">
        <f>IFERROR(INDEX(tblReg[Bib],ROW()-ROW(tblGC[#Headers])),"")</f>
      </c>
      <c r="B151">
        <f>IF([@Bib]="","",XLOOKUP([@Bib],tblReg[Bib],tblReg[Field],""))</f>
      </c>
      <c r="C151">
        <f>IF([@Bib]="","",XLOOKUP([@Bib],tblReg[Bib],tblReg[FirstName],""))</f>
      </c>
      <c r="D151">
        <f>IF([@Bib]="","",XLOOKUP([@Bib],tblReg[Bib],tblReg[LastName],""))</f>
      </c>
      <c r="E151">
        <f>IF([@Bib]="","",XLOOKUP([@Bib],tblReg[Bib],tblReg[Team],""))</f>
      </c>
      <c r="F151">
        <f>IF([@Bib]="","",XLOOKUP([@Bib],tblReg[Bib],tblReg[Status],""))</f>
      </c>
      <c r="G151">
        <f>IF([@Bib]="","",XLOOKUP([@Bib],tblStage1[Bib],tblStage1[NetSeconds],""))</f>
      </c>
      <c r="H151">
        <f>IF([@Bib]="","",XLOOKUP([@Bib],tblStage2[Bib],tblStage2[NetSeconds],""))</f>
      </c>
      <c r="I151">
        <f>IF([@Bib]="","",XLOOKUP([@Bib],tblStage3[Bib],tblStage3[NetSeconds],""))</f>
      </c>
      <c r="J151">
        <f>IF(COUNTA([@S1NetSec],[@S2NetSec],[@S3NetSec])=0,"",[@S1NetSec]+[@S2NetSec]+[@S3NetSec])</f>
      </c>
      <c r="K151" s="3">
        <f>IF([@TotalSec]="","",[@TotalSec]/86400)</f>
      </c>
      <c r="L151">
        <f>IF([@Status]&lt;&gt;"Active","",RANK([@TotalSec],FILTER(tblGC[TotalSec],tblGC[Status]="Active"),1))</f>
      </c>
    </row>
    <row r="152" spans="1:12" x14ac:dyDescent="0.25">
      <c r="A152">
        <f>IFERROR(INDEX(tblReg[Bib],ROW()-ROW(tblGC[#Headers])),"")</f>
      </c>
      <c r="B152">
        <f>IF([@Bib]="","",XLOOKUP([@Bib],tblReg[Bib],tblReg[Field],""))</f>
      </c>
      <c r="C152">
        <f>IF([@Bib]="","",XLOOKUP([@Bib],tblReg[Bib],tblReg[FirstName],""))</f>
      </c>
      <c r="D152">
        <f>IF([@Bib]="","",XLOOKUP([@Bib],tblReg[Bib],tblReg[LastName],""))</f>
      </c>
      <c r="E152">
        <f>IF([@Bib]="","",XLOOKUP([@Bib],tblReg[Bib],tblReg[Team],""))</f>
      </c>
      <c r="F152">
        <f>IF([@Bib]="","",XLOOKUP([@Bib],tblReg[Bib],tblReg[Status],""))</f>
      </c>
      <c r="G152">
        <f>IF([@Bib]="","",XLOOKUP([@Bib],tblStage1[Bib],tblStage1[NetSeconds],""))</f>
      </c>
      <c r="H152">
        <f>IF([@Bib]="","",XLOOKUP([@Bib],tblStage2[Bib],tblStage2[NetSeconds],""))</f>
      </c>
      <c r="I152">
        <f>IF([@Bib]="","",XLOOKUP([@Bib],tblStage3[Bib],tblStage3[NetSeconds],""))</f>
      </c>
      <c r="J152">
        <f>IF(COUNTA([@S1NetSec],[@S2NetSec],[@S3NetSec])=0,"",[@S1NetSec]+[@S2NetSec]+[@S3NetSec])</f>
      </c>
      <c r="K152" s="3">
        <f>IF([@TotalSec]="","",[@TotalSec]/86400)</f>
      </c>
      <c r="L152">
        <f>IF([@Status]&lt;&gt;"Active","",RANK([@TotalSec],FILTER(tblGC[TotalSec],tblGC[Status]="Active"),1))</f>
      </c>
    </row>
    <row r="153" spans="1:12" x14ac:dyDescent="0.25">
      <c r="A153">
        <f>IFERROR(INDEX(tblReg[Bib],ROW()-ROW(tblGC[#Headers])),"")</f>
      </c>
      <c r="B153">
        <f>IF([@Bib]="","",XLOOKUP([@Bib],tblReg[Bib],tblReg[Field],""))</f>
      </c>
      <c r="C153">
        <f>IF([@Bib]="","",XLOOKUP([@Bib],tblReg[Bib],tblReg[FirstName],""))</f>
      </c>
      <c r="D153">
        <f>IF([@Bib]="","",XLOOKUP([@Bib],tblReg[Bib],tblReg[LastName],""))</f>
      </c>
      <c r="E153">
        <f>IF([@Bib]="","",XLOOKUP([@Bib],tblReg[Bib],tblReg[Team],""))</f>
      </c>
      <c r="F153">
        <f>IF([@Bib]="","",XLOOKUP([@Bib],tblReg[Bib],tblReg[Status],""))</f>
      </c>
      <c r="G153">
        <f>IF([@Bib]="","",XLOOKUP([@Bib],tblStage1[Bib],tblStage1[NetSeconds],""))</f>
      </c>
      <c r="H153">
        <f>IF([@Bib]="","",XLOOKUP([@Bib],tblStage2[Bib],tblStage2[NetSeconds],""))</f>
      </c>
      <c r="I153">
        <f>IF([@Bib]="","",XLOOKUP([@Bib],tblStage3[Bib],tblStage3[NetSeconds],""))</f>
      </c>
      <c r="J153">
        <f>IF(COUNTA([@S1NetSec],[@S2NetSec],[@S3NetSec])=0,"",[@S1NetSec]+[@S2NetSec]+[@S3NetSec])</f>
      </c>
      <c r="K153" s="3">
        <f>IF([@TotalSec]="","",[@TotalSec]/86400)</f>
      </c>
      <c r="L153">
        <f>IF([@Status]&lt;&gt;"Active","",RANK([@TotalSec],FILTER(tblGC[TotalSec],tblGC[Status]="Active"),1))</f>
      </c>
    </row>
    <row r="154" spans="1:12" x14ac:dyDescent="0.25">
      <c r="A154">
        <f>IFERROR(INDEX(tblReg[Bib],ROW()-ROW(tblGC[#Headers])),"")</f>
      </c>
      <c r="B154">
        <f>IF([@Bib]="","",XLOOKUP([@Bib],tblReg[Bib],tblReg[Field],""))</f>
      </c>
      <c r="C154">
        <f>IF([@Bib]="","",XLOOKUP([@Bib],tblReg[Bib],tblReg[FirstName],""))</f>
      </c>
      <c r="D154">
        <f>IF([@Bib]="","",XLOOKUP([@Bib],tblReg[Bib],tblReg[LastName],""))</f>
      </c>
      <c r="E154">
        <f>IF([@Bib]="","",XLOOKUP([@Bib],tblReg[Bib],tblReg[Team],""))</f>
      </c>
      <c r="F154">
        <f>IF([@Bib]="","",XLOOKUP([@Bib],tblReg[Bib],tblReg[Status],""))</f>
      </c>
      <c r="G154">
        <f>IF([@Bib]="","",XLOOKUP([@Bib],tblStage1[Bib],tblStage1[NetSeconds],""))</f>
      </c>
      <c r="H154">
        <f>IF([@Bib]="","",XLOOKUP([@Bib],tblStage2[Bib],tblStage2[NetSeconds],""))</f>
      </c>
      <c r="I154">
        <f>IF([@Bib]="","",XLOOKUP([@Bib],tblStage3[Bib],tblStage3[NetSeconds],""))</f>
      </c>
      <c r="J154">
        <f>IF(COUNTA([@S1NetSec],[@S2NetSec],[@S3NetSec])=0,"",[@S1NetSec]+[@S2NetSec]+[@S3NetSec])</f>
      </c>
      <c r="K154" s="3">
        <f>IF([@TotalSec]="","",[@TotalSec]/86400)</f>
      </c>
      <c r="L154">
        <f>IF([@Status]&lt;&gt;"Active","",RANK([@TotalSec],FILTER(tblGC[TotalSec],tblGC[Status]="Active"),1))</f>
      </c>
    </row>
    <row r="155" spans="1:12" x14ac:dyDescent="0.25">
      <c r="A155">
        <f>IFERROR(INDEX(tblReg[Bib],ROW()-ROW(tblGC[#Headers])),"")</f>
      </c>
      <c r="B155">
        <f>IF([@Bib]="","",XLOOKUP([@Bib],tblReg[Bib],tblReg[Field],""))</f>
      </c>
      <c r="C155">
        <f>IF([@Bib]="","",XLOOKUP([@Bib],tblReg[Bib],tblReg[FirstName],""))</f>
      </c>
      <c r="D155">
        <f>IF([@Bib]="","",XLOOKUP([@Bib],tblReg[Bib],tblReg[LastName],""))</f>
      </c>
      <c r="E155">
        <f>IF([@Bib]="","",XLOOKUP([@Bib],tblReg[Bib],tblReg[Team],""))</f>
      </c>
      <c r="F155">
        <f>IF([@Bib]="","",XLOOKUP([@Bib],tblReg[Bib],tblReg[Status],""))</f>
      </c>
      <c r="G155">
        <f>IF([@Bib]="","",XLOOKUP([@Bib],tblStage1[Bib],tblStage1[NetSeconds],""))</f>
      </c>
      <c r="H155">
        <f>IF([@Bib]="","",XLOOKUP([@Bib],tblStage2[Bib],tblStage2[NetSeconds],""))</f>
      </c>
      <c r="I155">
        <f>IF([@Bib]="","",XLOOKUP([@Bib],tblStage3[Bib],tblStage3[NetSeconds],""))</f>
      </c>
      <c r="J155">
        <f>IF(COUNTA([@S1NetSec],[@S2NetSec],[@S3NetSec])=0,"",[@S1NetSec]+[@S2NetSec]+[@S3NetSec])</f>
      </c>
      <c r="K155" s="3">
        <f>IF([@TotalSec]="","",[@TotalSec]/86400)</f>
      </c>
      <c r="L155">
        <f>IF([@Status]&lt;&gt;"Active","",RANK([@TotalSec],FILTER(tblGC[TotalSec],tblGC[Status]="Active"),1))</f>
      </c>
    </row>
    <row r="156" spans="1:12" x14ac:dyDescent="0.25">
      <c r="A156">
        <f>IFERROR(INDEX(tblReg[Bib],ROW()-ROW(tblGC[#Headers])),"")</f>
      </c>
      <c r="B156">
        <f>IF([@Bib]="","",XLOOKUP([@Bib],tblReg[Bib],tblReg[Field],""))</f>
      </c>
      <c r="C156">
        <f>IF([@Bib]="","",XLOOKUP([@Bib],tblReg[Bib],tblReg[FirstName],""))</f>
      </c>
      <c r="D156">
        <f>IF([@Bib]="","",XLOOKUP([@Bib],tblReg[Bib],tblReg[LastName],""))</f>
      </c>
      <c r="E156">
        <f>IF([@Bib]="","",XLOOKUP([@Bib],tblReg[Bib],tblReg[Team],""))</f>
      </c>
      <c r="F156">
        <f>IF([@Bib]="","",XLOOKUP([@Bib],tblReg[Bib],tblReg[Status],""))</f>
      </c>
      <c r="G156">
        <f>IF([@Bib]="","",XLOOKUP([@Bib],tblStage1[Bib],tblStage1[NetSeconds],""))</f>
      </c>
      <c r="H156">
        <f>IF([@Bib]="","",XLOOKUP([@Bib],tblStage2[Bib],tblStage2[NetSeconds],""))</f>
      </c>
      <c r="I156">
        <f>IF([@Bib]="","",XLOOKUP([@Bib],tblStage3[Bib],tblStage3[NetSeconds],""))</f>
      </c>
      <c r="J156">
        <f>IF(COUNTA([@S1NetSec],[@S2NetSec],[@S3NetSec])=0,"",[@S1NetSec]+[@S2NetSec]+[@S3NetSec])</f>
      </c>
      <c r="K156" s="3">
        <f>IF([@TotalSec]="","",[@TotalSec]/86400)</f>
      </c>
      <c r="L156">
        <f>IF([@Status]&lt;&gt;"Active","",RANK([@TotalSec],FILTER(tblGC[TotalSec],tblGC[Status]="Active"),1))</f>
      </c>
    </row>
    <row r="157" spans="1:12" x14ac:dyDescent="0.25">
      <c r="A157">
        <f>IFERROR(INDEX(tblReg[Bib],ROW()-ROW(tblGC[#Headers])),"")</f>
      </c>
      <c r="B157">
        <f>IF([@Bib]="","",XLOOKUP([@Bib],tblReg[Bib],tblReg[Field],""))</f>
      </c>
      <c r="C157">
        <f>IF([@Bib]="","",XLOOKUP([@Bib],tblReg[Bib],tblReg[FirstName],""))</f>
      </c>
      <c r="D157">
        <f>IF([@Bib]="","",XLOOKUP([@Bib],tblReg[Bib],tblReg[LastName],""))</f>
      </c>
      <c r="E157">
        <f>IF([@Bib]="","",XLOOKUP([@Bib],tblReg[Bib],tblReg[Team],""))</f>
      </c>
      <c r="F157">
        <f>IF([@Bib]="","",XLOOKUP([@Bib],tblReg[Bib],tblReg[Status],""))</f>
      </c>
      <c r="G157">
        <f>IF([@Bib]="","",XLOOKUP([@Bib],tblStage1[Bib],tblStage1[NetSeconds],""))</f>
      </c>
      <c r="H157">
        <f>IF([@Bib]="","",XLOOKUP([@Bib],tblStage2[Bib],tblStage2[NetSeconds],""))</f>
      </c>
      <c r="I157">
        <f>IF([@Bib]="","",XLOOKUP([@Bib],tblStage3[Bib],tblStage3[NetSeconds],""))</f>
      </c>
      <c r="J157">
        <f>IF(COUNTA([@S1NetSec],[@S2NetSec],[@S3NetSec])=0,"",[@S1NetSec]+[@S2NetSec]+[@S3NetSec])</f>
      </c>
      <c r="K157" s="3">
        <f>IF([@TotalSec]="","",[@TotalSec]/86400)</f>
      </c>
      <c r="L157">
        <f>IF([@Status]&lt;&gt;"Active","",RANK([@TotalSec],FILTER(tblGC[TotalSec],tblGC[Status]="Active"),1))</f>
      </c>
    </row>
    <row r="158" spans="1:12" x14ac:dyDescent="0.25">
      <c r="A158">
        <f>IFERROR(INDEX(tblReg[Bib],ROW()-ROW(tblGC[#Headers])),"")</f>
      </c>
      <c r="B158">
        <f>IF([@Bib]="","",XLOOKUP([@Bib],tblReg[Bib],tblReg[Field],""))</f>
      </c>
      <c r="C158">
        <f>IF([@Bib]="","",XLOOKUP([@Bib],tblReg[Bib],tblReg[FirstName],""))</f>
      </c>
      <c r="D158">
        <f>IF([@Bib]="","",XLOOKUP([@Bib],tblReg[Bib],tblReg[LastName],""))</f>
      </c>
      <c r="E158">
        <f>IF([@Bib]="","",XLOOKUP([@Bib],tblReg[Bib],tblReg[Team],""))</f>
      </c>
      <c r="F158">
        <f>IF([@Bib]="","",XLOOKUP([@Bib],tblReg[Bib],tblReg[Status],""))</f>
      </c>
      <c r="G158">
        <f>IF([@Bib]="","",XLOOKUP([@Bib],tblStage1[Bib],tblStage1[NetSeconds],""))</f>
      </c>
      <c r="H158">
        <f>IF([@Bib]="","",XLOOKUP([@Bib],tblStage2[Bib],tblStage2[NetSeconds],""))</f>
      </c>
      <c r="I158">
        <f>IF([@Bib]="","",XLOOKUP([@Bib],tblStage3[Bib],tblStage3[NetSeconds],""))</f>
      </c>
      <c r="J158">
        <f>IF(COUNTA([@S1NetSec],[@S2NetSec],[@S3NetSec])=0,"",[@S1NetSec]+[@S2NetSec]+[@S3NetSec])</f>
      </c>
      <c r="K158" s="3">
        <f>IF([@TotalSec]="","",[@TotalSec]/86400)</f>
      </c>
      <c r="L158">
        <f>IF([@Status]&lt;&gt;"Active","",RANK([@TotalSec],FILTER(tblGC[TotalSec],tblGC[Status]="Active"),1))</f>
      </c>
    </row>
    <row r="159" spans="1:12" x14ac:dyDescent="0.25">
      <c r="A159">
        <f>IFERROR(INDEX(tblReg[Bib],ROW()-ROW(tblGC[#Headers])),"")</f>
      </c>
      <c r="B159">
        <f>IF([@Bib]="","",XLOOKUP([@Bib],tblReg[Bib],tblReg[Field],""))</f>
      </c>
      <c r="C159">
        <f>IF([@Bib]="","",XLOOKUP([@Bib],tblReg[Bib],tblReg[FirstName],""))</f>
      </c>
      <c r="D159">
        <f>IF([@Bib]="","",XLOOKUP([@Bib],tblReg[Bib],tblReg[LastName],""))</f>
      </c>
      <c r="E159">
        <f>IF([@Bib]="","",XLOOKUP([@Bib],tblReg[Bib],tblReg[Team],""))</f>
      </c>
      <c r="F159">
        <f>IF([@Bib]="","",XLOOKUP([@Bib],tblReg[Bib],tblReg[Status],""))</f>
      </c>
      <c r="G159">
        <f>IF([@Bib]="","",XLOOKUP([@Bib],tblStage1[Bib],tblStage1[NetSeconds],""))</f>
      </c>
      <c r="H159">
        <f>IF([@Bib]="","",XLOOKUP([@Bib],tblStage2[Bib],tblStage2[NetSeconds],""))</f>
      </c>
      <c r="I159">
        <f>IF([@Bib]="","",XLOOKUP([@Bib],tblStage3[Bib],tblStage3[NetSeconds],""))</f>
      </c>
      <c r="J159">
        <f>IF(COUNTA([@S1NetSec],[@S2NetSec],[@S3NetSec])=0,"",[@S1NetSec]+[@S2NetSec]+[@S3NetSec])</f>
      </c>
      <c r="K159" s="3">
        <f>IF([@TotalSec]="","",[@TotalSec]/86400)</f>
      </c>
      <c r="L159">
        <f>IF([@Status]&lt;&gt;"Active","",RANK([@TotalSec],FILTER(tblGC[TotalSec],tblGC[Status]="Active"),1))</f>
      </c>
    </row>
    <row r="160" spans="1:12" x14ac:dyDescent="0.25">
      <c r="A160">
        <f>IFERROR(INDEX(tblReg[Bib],ROW()-ROW(tblGC[#Headers])),"")</f>
      </c>
      <c r="B160">
        <f>IF([@Bib]="","",XLOOKUP([@Bib],tblReg[Bib],tblReg[Field],""))</f>
      </c>
      <c r="C160">
        <f>IF([@Bib]="","",XLOOKUP([@Bib],tblReg[Bib],tblReg[FirstName],""))</f>
      </c>
      <c r="D160">
        <f>IF([@Bib]="","",XLOOKUP([@Bib],tblReg[Bib],tblReg[LastName],""))</f>
      </c>
      <c r="E160">
        <f>IF([@Bib]="","",XLOOKUP([@Bib],tblReg[Bib],tblReg[Team],""))</f>
      </c>
      <c r="F160">
        <f>IF([@Bib]="","",XLOOKUP([@Bib],tblReg[Bib],tblReg[Status],""))</f>
      </c>
      <c r="G160">
        <f>IF([@Bib]="","",XLOOKUP([@Bib],tblStage1[Bib],tblStage1[NetSeconds],""))</f>
      </c>
      <c r="H160">
        <f>IF([@Bib]="","",XLOOKUP([@Bib],tblStage2[Bib],tblStage2[NetSeconds],""))</f>
      </c>
      <c r="I160">
        <f>IF([@Bib]="","",XLOOKUP([@Bib],tblStage3[Bib],tblStage3[NetSeconds],""))</f>
      </c>
      <c r="J160">
        <f>IF(COUNTA([@S1NetSec],[@S2NetSec],[@S3NetSec])=0,"",[@S1NetSec]+[@S2NetSec]+[@S3NetSec])</f>
      </c>
      <c r="K160" s="3">
        <f>IF([@TotalSec]="","",[@TotalSec]/86400)</f>
      </c>
      <c r="L160">
        <f>IF([@Status]&lt;&gt;"Active","",RANK([@TotalSec],FILTER(tblGC[TotalSec],tblGC[Status]="Active"),1))</f>
      </c>
    </row>
    <row r="161" spans="1:12" x14ac:dyDescent="0.25">
      <c r="A161">
        <f>IFERROR(INDEX(tblReg[Bib],ROW()-ROW(tblGC[#Headers])),"")</f>
      </c>
      <c r="B161">
        <f>IF([@Bib]="","",XLOOKUP([@Bib],tblReg[Bib],tblReg[Field],""))</f>
      </c>
      <c r="C161">
        <f>IF([@Bib]="","",XLOOKUP([@Bib],tblReg[Bib],tblReg[FirstName],""))</f>
      </c>
      <c r="D161">
        <f>IF([@Bib]="","",XLOOKUP([@Bib],tblReg[Bib],tblReg[LastName],""))</f>
      </c>
      <c r="E161">
        <f>IF([@Bib]="","",XLOOKUP([@Bib],tblReg[Bib],tblReg[Team],""))</f>
      </c>
      <c r="F161">
        <f>IF([@Bib]="","",XLOOKUP([@Bib],tblReg[Bib],tblReg[Status],""))</f>
      </c>
      <c r="G161">
        <f>IF([@Bib]="","",XLOOKUP([@Bib],tblStage1[Bib],tblStage1[NetSeconds],""))</f>
      </c>
      <c r="H161">
        <f>IF([@Bib]="","",XLOOKUP([@Bib],tblStage2[Bib],tblStage2[NetSeconds],""))</f>
      </c>
      <c r="I161">
        <f>IF([@Bib]="","",XLOOKUP([@Bib],tblStage3[Bib],tblStage3[NetSeconds],""))</f>
      </c>
      <c r="J161">
        <f>IF(COUNTA([@S1NetSec],[@S2NetSec],[@S3NetSec])=0,"",[@S1NetSec]+[@S2NetSec]+[@S3NetSec])</f>
      </c>
      <c r="K161" s="3">
        <f>IF([@TotalSec]="","",[@TotalSec]/86400)</f>
      </c>
      <c r="L161">
        <f>IF([@Status]&lt;&gt;"Active","",RANK([@TotalSec],FILTER(tblGC[TotalSec],tblGC[Status]="Active"),1))</f>
      </c>
    </row>
    <row r="162" spans="1:12" x14ac:dyDescent="0.25">
      <c r="A162">
        <f>IFERROR(INDEX(tblReg[Bib],ROW()-ROW(tblGC[#Headers])),"")</f>
      </c>
      <c r="B162">
        <f>IF([@Bib]="","",XLOOKUP([@Bib],tblReg[Bib],tblReg[Field],""))</f>
      </c>
      <c r="C162">
        <f>IF([@Bib]="","",XLOOKUP([@Bib],tblReg[Bib],tblReg[FirstName],""))</f>
      </c>
      <c r="D162">
        <f>IF([@Bib]="","",XLOOKUP([@Bib],tblReg[Bib],tblReg[LastName],""))</f>
      </c>
      <c r="E162">
        <f>IF([@Bib]="","",XLOOKUP([@Bib],tblReg[Bib],tblReg[Team],""))</f>
      </c>
      <c r="F162">
        <f>IF([@Bib]="","",XLOOKUP([@Bib],tblReg[Bib],tblReg[Status],""))</f>
      </c>
      <c r="G162">
        <f>IF([@Bib]="","",XLOOKUP([@Bib],tblStage1[Bib],tblStage1[NetSeconds],""))</f>
      </c>
      <c r="H162">
        <f>IF([@Bib]="","",XLOOKUP([@Bib],tblStage2[Bib],tblStage2[NetSeconds],""))</f>
      </c>
      <c r="I162">
        <f>IF([@Bib]="","",XLOOKUP([@Bib],tblStage3[Bib],tblStage3[NetSeconds],""))</f>
      </c>
      <c r="J162">
        <f>IF(COUNTA([@S1NetSec],[@S2NetSec],[@S3NetSec])=0,"",[@S1NetSec]+[@S2NetSec]+[@S3NetSec])</f>
      </c>
      <c r="K162" s="3">
        <f>IF([@TotalSec]="","",[@TotalSec]/86400)</f>
      </c>
      <c r="L162">
        <f>IF([@Status]&lt;&gt;"Active","",RANK([@TotalSec],FILTER(tblGC[TotalSec],tblGC[Status]="Active"),1))</f>
      </c>
    </row>
    <row r="163" spans="1:12" x14ac:dyDescent="0.25">
      <c r="A163">
        <f>IFERROR(INDEX(tblReg[Bib],ROW()-ROW(tblGC[#Headers])),"")</f>
      </c>
      <c r="B163">
        <f>IF([@Bib]="","",XLOOKUP([@Bib],tblReg[Bib],tblReg[Field],""))</f>
      </c>
      <c r="C163">
        <f>IF([@Bib]="","",XLOOKUP([@Bib],tblReg[Bib],tblReg[FirstName],""))</f>
      </c>
      <c r="D163">
        <f>IF([@Bib]="","",XLOOKUP([@Bib],tblReg[Bib],tblReg[LastName],""))</f>
      </c>
      <c r="E163">
        <f>IF([@Bib]="","",XLOOKUP([@Bib],tblReg[Bib],tblReg[Team],""))</f>
      </c>
      <c r="F163">
        <f>IF([@Bib]="","",XLOOKUP([@Bib],tblReg[Bib],tblReg[Status],""))</f>
      </c>
      <c r="G163">
        <f>IF([@Bib]="","",XLOOKUP([@Bib],tblStage1[Bib],tblStage1[NetSeconds],""))</f>
      </c>
      <c r="H163">
        <f>IF([@Bib]="","",XLOOKUP([@Bib],tblStage2[Bib],tblStage2[NetSeconds],""))</f>
      </c>
      <c r="I163">
        <f>IF([@Bib]="","",XLOOKUP([@Bib],tblStage3[Bib],tblStage3[NetSeconds],""))</f>
      </c>
      <c r="J163">
        <f>IF(COUNTA([@S1NetSec],[@S2NetSec],[@S3NetSec])=0,"",[@S1NetSec]+[@S2NetSec]+[@S3NetSec])</f>
      </c>
      <c r="K163" s="3">
        <f>IF([@TotalSec]="","",[@TotalSec]/86400)</f>
      </c>
      <c r="L163">
        <f>IF([@Status]&lt;&gt;"Active","",RANK([@TotalSec],FILTER(tblGC[TotalSec],tblGC[Status]="Active"),1))</f>
      </c>
    </row>
    <row r="164" spans="1:12" x14ac:dyDescent="0.25">
      <c r="A164">
        <f>IFERROR(INDEX(tblReg[Bib],ROW()-ROW(tblGC[#Headers])),"")</f>
      </c>
      <c r="B164">
        <f>IF([@Bib]="","",XLOOKUP([@Bib],tblReg[Bib],tblReg[Field],""))</f>
      </c>
      <c r="C164">
        <f>IF([@Bib]="","",XLOOKUP([@Bib],tblReg[Bib],tblReg[FirstName],""))</f>
      </c>
      <c r="D164">
        <f>IF([@Bib]="","",XLOOKUP([@Bib],tblReg[Bib],tblReg[LastName],""))</f>
      </c>
      <c r="E164">
        <f>IF([@Bib]="","",XLOOKUP([@Bib],tblReg[Bib],tblReg[Team],""))</f>
      </c>
      <c r="F164">
        <f>IF([@Bib]="","",XLOOKUP([@Bib],tblReg[Bib],tblReg[Status],""))</f>
      </c>
      <c r="G164">
        <f>IF([@Bib]="","",XLOOKUP([@Bib],tblStage1[Bib],tblStage1[NetSeconds],""))</f>
      </c>
      <c r="H164">
        <f>IF([@Bib]="","",XLOOKUP([@Bib],tblStage2[Bib],tblStage2[NetSeconds],""))</f>
      </c>
      <c r="I164">
        <f>IF([@Bib]="","",XLOOKUP([@Bib],tblStage3[Bib],tblStage3[NetSeconds],""))</f>
      </c>
      <c r="J164">
        <f>IF(COUNTA([@S1NetSec],[@S2NetSec],[@S3NetSec])=0,"",[@S1NetSec]+[@S2NetSec]+[@S3NetSec])</f>
      </c>
      <c r="K164" s="3">
        <f>IF([@TotalSec]="","",[@TotalSec]/86400)</f>
      </c>
      <c r="L164">
        <f>IF([@Status]&lt;&gt;"Active","",RANK([@TotalSec],FILTER(tblGC[TotalSec],tblGC[Status]="Active"),1))</f>
      </c>
    </row>
    <row r="165" spans="1:12" x14ac:dyDescent="0.25">
      <c r="A165">
        <f>IFERROR(INDEX(tblReg[Bib],ROW()-ROW(tblGC[#Headers])),"")</f>
      </c>
      <c r="B165">
        <f>IF([@Bib]="","",XLOOKUP([@Bib],tblReg[Bib],tblReg[Field],""))</f>
      </c>
      <c r="C165">
        <f>IF([@Bib]="","",XLOOKUP([@Bib],tblReg[Bib],tblReg[FirstName],""))</f>
      </c>
      <c r="D165">
        <f>IF([@Bib]="","",XLOOKUP([@Bib],tblReg[Bib],tblReg[LastName],""))</f>
      </c>
      <c r="E165">
        <f>IF([@Bib]="","",XLOOKUP([@Bib],tblReg[Bib],tblReg[Team],""))</f>
      </c>
      <c r="F165">
        <f>IF([@Bib]="","",XLOOKUP([@Bib],tblReg[Bib],tblReg[Status],""))</f>
      </c>
      <c r="G165">
        <f>IF([@Bib]="","",XLOOKUP([@Bib],tblStage1[Bib],tblStage1[NetSeconds],""))</f>
      </c>
      <c r="H165">
        <f>IF([@Bib]="","",XLOOKUP([@Bib],tblStage2[Bib],tblStage2[NetSeconds],""))</f>
      </c>
      <c r="I165">
        <f>IF([@Bib]="","",XLOOKUP([@Bib],tblStage3[Bib],tblStage3[NetSeconds],""))</f>
      </c>
      <c r="J165">
        <f>IF(COUNTA([@S1NetSec],[@S2NetSec],[@S3NetSec])=0,"",[@S1NetSec]+[@S2NetSec]+[@S3NetSec])</f>
      </c>
      <c r="K165" s="3">
        <f>IF([@TotalSec]="","",[@TotalSec]/86400)</f>
      </c>
      <c r="L165">
        <f>IF([@Status]&lt;&gt;"Active","",RANK([@TotalSec],FILTER(tblGC[TotalSec],tblGC[Status]="Active"),1))</f>
      </c>
    </row>
    <row r="166" spans="1:12" x14ac:dyDescent="0.25">
      <c r="A166">
        <f>IFERROR(INDEX(tblReg[Bib],ROW()-ROW(tblGC[#Headers])),"")</f>
      </c>
      <c r="B166">
        <f>IF([@Bib]="","",XLOOKUP([@Bib],tblReg[Bib],tblReg[Field],""))</f>
      </c>
      <c r="C166">
        <f>IF([@Bib]="","",XLOOKUP([@Bib],tblReg[Bib],tblReg[FirstName],""))</f>
      </c>
      <c r="D166">
        <f>IF([@Bib]="","",XLOOKUP([@Bib],tblReg[Bib],tblReg[LastName],""))</f>
      </c>
      <c r="E166">
        <f>IF([@Bib]="","",XLOOKUP([@Bib],tblReg[Bib],tblReg[Team],""))</f>
      </c>
      <c r="F166">
        <f>IF([@Bib]="","",XLOOKUP([@Bib],tblReg[Bib],tblReg[Status],""))</f>
      </c>
      <c r="G166">
        <f>IF([@Bib]="","",XLOOKUP([@Bib],tblStage1[Bib],tblStage1[NetSeconds],""))</f>
      </c>
      <c r="H166">
        <f>IF([@Bib]="","",XLOOKUP([@Bib],tblStage2[Bib],tblStage2[NetSeconds],""))</f>
      </c>
      <c r="I166">
        <f>IF([@Bib]="","",XLOOKUP([@Bib],tblStage3[Bib],tblStage3[NetSeconds],""))</f>
      </c>
      <c r="J166">
        <f>IF(COUNTA([@S1NetSec],[@S2NetSec],[@S3NetSec])=0,"",[@S1NetSec]+[@S2NetSec]+[@S3NetSec])</f>
      </c>
      <c r="K166" s="3">
        <f>IF([@TotalSec]="","",[@TotalSec]/86400)</f>
      </c>
      <c r="L166">
        <f>IF([@Status]&lt;&gt;"Active","",RANK([@TotalSec],FILTER(tblGC[TotalSec],tblGC[Status]="Active"),1))</f>
      </c>
    </row>
    <row r="167" spans="1:12" x14ac:dyDescent="0.25">
      <c r="A167">
        <f>IFERROR(INDEX(tblReg[Bib],ROW()-ROW(tblGC[#Headers])),"")</f>
      </c>
      <c r="B167">
        <f>IF([@Bib]="","",XLOOKUP([@Bib],tblReg[Bib],tblReg[Field],""))</f>
      </c>
      <c r="C167">
        <f>IF([@Bib]="","",XLOOKUP([@Bib],tblReg[Bib],tblReg[FirstName],""))</f>
      </c>
      <c r="D167">
        <f>IF([@Bib]="","",XLOOKUP([@Bib],tblReg[Bib],tblReg[LastName],""))</f>
      </c>
      <c r="E167">
        <f>IF([@Bib]="","",XLOOKUP([@Bib],tblReg[Bib],tblReg[Team],""))</f>
      </c>
      <c r="F167">
        <f>IF([@Bib]="","",XLOOKUP([@Bib],tblReg[Bib],tblReg[Status],""))</f>
      </c>
      <c r="G167">
        <f>IF([@Bib]="","",XLOOKUP([@Bib],tblStage1[Bib],tblStage1[NetSeconds],""))</f>
      </c>
      <c r="H167">
        <f>IF([@Bib]="","",XLOOKUP([@Bib],tblStage2[Bib],tblStage2[NetSeconds],""))</f>
      </c>
      <c r="I167">
        <f>IF([@Bib]="","",XLOOKUP([@Bib],tblStage3[Bib],tblStage3[NetSeconds],""))</f>
      </c>
      <c r="J167">
        <f>IF(COUNTA([@S1NetSec],[@S2NetSec],[@S3NetSec])=0,"",[@S1NetSec]+[@S2NetSec]+[@S3NetSec])</f>
      </c>
      <c r="K167" s="3">
        <f>IF([@TotalSec]="","",[@TotalSec]/86400)</f>
      </c>
      <c r="L167">
        <f>IF([@Status]&lt;&gt;"Active","",RANK([@TotalSec],FILTER(tblGC[TotalSec],tblGC[Status]="Active"),1))</f>
      </c>
    </row>
    <row r="168" spans="1:12" x14ac:dyDescent="0.25">
      <c r="A168">
        <f>IFERROR(INDEX(tblReg[Bib],ROW()-ROW(tblGC[#Headers])),"")</f>
      </c>
      <c r="B168">
        <f>IF([@Bib]="","",XLOOKUP([@Bib],tblReg[Bib],tblReg[Field],""))</f>
      </c>
      <c r="C168">
        <f>IF([@Bib]="","",XLOOKUP([@Bib],tblReg[Bib],tblReg[FirstName],""))</f>
      </c>
      <c r="D168">
        <f>IF([@Bib]="","",XLOOKUP([@Bib],tblReg[Bib],tblReg[LastName],""))</f>
      </c>
      <c r="E168">
        <f>IF([@Bib]="","",XLOOKUP([@Bib],tblReg[Bib],tblReg[Team],""))</f>
      </c>
      <c r="F168">
        <f>IF([@Bib]="","",XLOOKUP([@Bib],tblReg[Bib],tblReg[Status],""))</f>
      </c>
      <c r="G168">
        <f>IF([@Bib]="","",XLOOKUP([@Bib],tblStage1[Bib],tblStage1[NetSeconds],""))</f>
      </c>
      <c r="H168">
        <f>IF([@Bib]="","",XLOOKUP([@Bib],tblStage2[Bib],tblStage2[NetSeconds],""))</f>
      </c>
      <c r="I168">
        <f>IF([@Bib]="","",XLOOKUP([@Bib],tblStage3[Bib],tblStage3[NetSeconds],""))</f>
      </c>
      <c r="J168">
        <f>IF(COUNTA([@S1NetSec],[@S2NetSec],[@S3NetSec])=0,"",[@S1NetSec]+[@S2NetSec]+[@S3NetSec])</f>
      </c>
      <c r="K168" s="3">
        <f>IF([@TotalSec]="","",[@TotalSec]/86400)</f>
      </c>
      <c r="L168">
        <f>IF([@Status]&lt;&gt;"Active","",RANK([@TotalSec],FILTER(tblGC[TotalSec],tblGC[Status]="Active"),1))</f>
      </c>
    </row>
    <row r="169" spans="1:12" x14ac:dyDescent="0.25">
      <c r="A169">
        <f>IFERROR(INDEX(tblReg[Bib],ROW()-ROW(tblGC[#Headers])),"")</f>
      </c>
      <c r="B169">
        <f>IF([@Bib]="","",XLOOKUP([@Bib],tblReg[Bib],tblReg[Field],""))</f>
      </c>
      <c r="C169">
        <f>IF([@Bib]="","",XLOOKUP([@Bib],tblReg[Bib],tblReg[FirstName],""))</f>
      </c>
      <c r="D169">
        <f>IF([@Bib]="","",XLOOKUP([@Bib],tblReg[Bib],tblReg[LastName],""))</f>
      </c>
      <c r="E169">
        <f>IF([@Bib]="","",XLOOKUP([@Bib],tblReg[Bib],tblReg[Team],""))</f>
      </c>
      <c r="F169">
        <f>IF([@Bib]="","",XLOOKUP([@Bib],tblReg[Bib],tblReg[Status],""))</f>
      </c>
      <c r="G169">
        <f>IF([@Bib]="","",XLOOKUP([@Bib],tblStage1[Bib],tblStage1[NetSeconds],""))</f>
      </c>
      <c r="H169">
        <f>IF([@Bib]="","",XLOOKUP([@Bib],tblStage2[Bib],tblStage2[NetSeconds],""))</f>
      </c>
      <c r="I169">
        <f>IF([@Bib]="","",XLOOKUP([@Bib],tblStage3[Bib],tblStage3[NetSeconds],""))</f>
      </c>
      <c r="J169">
        <f>IF(COUNTA([@S1NetSec],[@S2NetSec],[@S3NetSec])=0,"",[@S1NetSec]+[@S2NetSec]+[@S3NetSec])</f>
      </c>
      <c r="K169" s="3">
        <f>IF([@TotalSec]="","",[@TotalSec]/86400)</f>
      </c>
      <c r="L169">
        <f>IF([@Status]&lt;&gt;"Active","",RANK([@TotalSec],FILTER(tblGC[TotalSec],tblGC[Status]="Active"),1))</f>
      </c>
    </row>
    <row r="170" spans="1:12" x14ac:dyDescent="0.25">
      <c r="A170">
        <f>IFERROR(INDEX(tblReg[Bib],ROW()-ROW(tblGC[#Headers])),"")</f>
      </c>
      <c r="B170">
        <f>IF([@Bib]="","",XLOOKUP([@Bib],tblReg[Bib],tblReg[Field],""))</f>
      </c>
      <c r="C170">
        <f>IF([@Bib]="","",XLOOKUP([@Bib],tblReg[Bib],tblReg[FirstName],""))</f>
      </c>
      <c r="D170">
        <f>IF([@Bib]="","",XLOOKUP([@Bib],tblReg[Bib],tblReg[LastName],""))</f>
      </c>
      <c r="E170">
        <f>IF([@Bib]="","",XLOOKUP([@Bib],tblReg[Bib],tblReg[Team],""))</f>
      </c>
      <c r="F170">
        <f>IF([@Bib]="","",XLOOKUP([@Bib],tblReg[Bib],tblReg[Status],""))</f>
      </c>
      <c r="G170">
        <f>IF([@Bib]="","",XLOOKUP([@Bib],tblStage1[Bib],tblStage1[NetSeconds],""))</f>
      </c>
      <c r="H170">
        <f>IF([@Bib]="","",XLOOKUP([@Bib],tblStage2[Bib],tblStage2[NetSeconds],""))</f>
      </c>
      <c r="I170">
        <f>IF([@Bib]="","",XLOOKUP([@Bib],tblStage3[Bib],tblStage3[NetSeconds],""))</f>
      </c>
      <c r="J170">
        <f>IF(COUNTA([@S1NetSec],[@S2NetSec],[@S3NetSec])=0,"",[@S1NetSec]+[@S2NetSec]+[@S3NetSec])</f>
      </c>
      <c r="K170" s="3">
        <f>IF([@TotalSec]="","",[@TotalSec]/86400)</f>
      </c>
      <c r="L170">
        <f>IF([@Status]&lt;&gt;"Active","",RANK([@TotalSec],FILTER(tblGC[TotalSec],tblGC[Status]="Active"),1))</f>
      </c>
    </row>
    <row r="171" spans="1:12" x14ac:dyDescent="0.25">
      <c r="A171">
        <f>IFERROR(INDEX(tblReg[Bib],ROW()-ROW(tblGC[#Headers])),"")</f>
      </c>
      <c r="B171">
        <f>IF([@Bib]="","",XLOOKUP([@Bib],tblReg[Bib],tblReg[Field],""))</f>
      </c>
      <c r="C171">
        <f>IF([@Bib]="","",XLOOKUP([@Bib],tblReg[Bib],tblReg[FirstName],""))</f>
      </c>
      <c r="D171">
        <f>IF([@Bib]="","",XLOOKUP([@Bib],tblReg[Bib],tblReg[LastName],""))</f>
      </c>
      <c r="E171">
        <f>IF([@Bib]="","",XLOOKUP([@Bib],tblReg[Bib],tblReg[Team],""))</f>
      </c>
      <c r="F171">
        <f>IF([@Bib]="","",XLOOKUP([@Bib],tblReg[Bib],tblReg[Status],""))</f>
      </c>
      <c r="G171">
        <f>IF([@Bib]="","",XLOOKUP([@Bib],tblStage1[Bib],tblStage1[NetSeconds],""))</f>
      </c>
      <c r="H171">
        <f>IF([@Bib]="","",XLOOKUP([@Bib],tblStage2[Bib],tblStage2[NetSeconds],""))</f>
      </c>
      <c r="I171">
        <f>IF([@Bib]="","",XLOOKUP([@Bib],tblStage3[Bib],tblStage3[NetSeconds],""))</f>
      </c>
      <c r="J171">
        <f>IF(COUNTA([@S1NetSec],[@S2NetSec],[@S3NetSec])=0,"",[@S1NetSec]+[@S2NetSec]+[@S3NetSec])</f>
      </c>
      <c r="K171" s="3">
        <f>IF([@TotalSec]="","",[@TotalSec]/86400)</f>
      </c>
      <c r="L171">
        <f>IF([@Status]&lt;&gt;"Active","",RANK([@TotalSec],FILTER(tblGC[TotalSec],tblGC[Status]="Active"),1))</f>
      </c>
    </row>
    <row r="172" spans="1:12" x14ac:dyDescent="0.25">
      <c r="A172">
        <f>IFERROR(INDEX(tblReg[Bib],ROW()-ROW(tblGC[#Headers])),"")</f>
      </c>
      <c r="B172">
        <f>IF([@Bib]="","",XLOOKUP([@Bib],tblReg[Bib],tblReg[Field],""))</f>
      </c>
      <c r="C172">
        <f>IF([@Bib]="","",XLOOKUP([@Bib],tblReg[Bib],tblReg[FirstName],""))</f>
      </c>
      <c r="D172">
        <f>IF([@Bib]="","",XLOOKUP([@Bib],tblReg[Bib],tblReg[LastName],""))</f>
      </c>
      <c r="E172">
        <f>IF([@Bib]="","",XLOOKUP([@Bib],tblReg[Bib],tblReg[Team],""))</f>
      </c>
      <c r="F172">
        <f>IF([@Bib]="","",XLOOKUP([@Bib],tblReg[Bib],tblReg[Status],""))</f>
      </c>
      <c r="G172">
        <f>IF([@Bib]="","",XLOOKUP([@Bib],tblStage1[Bib],tblStage1[NetSeconds],""))</f>
      </c>
      <c r="H172">
        <f>IF([@Bib]="","",XLOOKUP([@Bib],tblStage2[Bib],tblStage2[NetSeconds],""))</f>
      </c>
      <c r="I172">
        <f>IF([@Bib]="","",XLOOKUP([@Bib],tblStage3[Bib],tblStage3[NetSeconds],""))</f>
      </c>
      <c r="J172">
        <f>IF(COUNTA([@S1NetSec],[@S2NetSec],[@S3NetSec])=0,"",[@S1NetSec]+[@S2NetSec]+[@S3NetSec])</f>
      </c>
      <c r="K172" s="3">
        <f>IF([@TotalSec]="","",[@TotalSec]/86400)</f>
      </c>
      <c r="L172">
        <f>IF([@Status]&lt;&gt;"Active","",RANK([@TotalSec],FILTER(tblGC[TotalSec],tblGC[Status]="Active"),1))</f>
      </c>
    </row>
    <row r="173" spans="1:12" x14ac:dyDescent="0.25">
      <c r="A173">
        <f>IFERROR(INDEX(tblReg[Bib],ROW()-ROW(tblGC[#Headers])),"")</f>
      </c>
      <c r="B173">
        <f>IF([@Bib]="","",XLOOKUP([@Bib],tblReg[Bib],tblReg[Field],""))</f>
      </c>
      <c r="C173">
        <f>IF([@Bib]="","",XLOOKUP([@Bib],tblReg[Bib],tblReg[FirstName],""))</f>
      </c>
      <c r="D173">
        <f>IF([@Bib]="","",XLOOKUP([@Bib],tblReg[Bib],tblReg[LastName],""))</f>
      </c>
      <c r="E173">
        <f>IF([@Bib]="","",XLOOKUP([@Bib],tblReg[Bib],tblReg[Team],""))</f>
      </c>
      <c r="F173">
        <f>IF([@Bib]="","",XLOOKUP([@Bib],tblReg[Bib],tblReg[Status],""))</f>
      </c>
      <c r="G173">
        <f>IF([@Bib]="","",XLOOKUP([@Bib],tblStage1[Bib],tblStage1[NetSeconds],""))</f>
      </c>
      <c r="H173">
        <f>IF([@Bib]="","",XLOOKUP([@Bib],tblStage2[Bib],tblStage2[NetSeconds],""))</f>
      </c>
      <c r="I173">
        <f>IF([@Bib]="","",XLOOKUP([@Bib],tblStage3[Bib],tblStage3[NetSeconds],""))</f>
      </c>
      <c r="J173">
        <f>IF(COUNTA([@S1NetSec],[@S2NetSec],[@S3NetSec])=0,"",[@S1NetSec]+[@S2NetSec]+[@S3NetSec])</f>
      </c>
      <c r="K173" s="3">
        <f>IF([@TotalSec]="","",[@TotalSec]/86400)</f>
      </c>
      <c r="L173">
        <f>IF([@Status]&lt;&gt;"Active","",RANK([@TotalSec],FILTER(tblGC[TotalSec],tblGC[Status]="Active"),1))</f>
      </c>
    </row>
    <row r="174" spans="1:12" x14ac:dyDescent="0.25">
      <c r="A174">
        <f>IFERROR(INDEX(tblReg[Bib],ROW()-ROW(tblGC[#Headers])),"")</f>
      </c>
      <c r="B174">
        <f>IF([@Bib]="","",XLOOKUP([@Bib],tblReg[Bib],tblReg[Field],""))</f>
      </c>
      <c r="C174">
        <f>IF([@Bib]="","",XLOOKUP([@Bib],tblReg[Bib],tblReg[FirstName],""))</f>
      </c>
      <c r="D174">
        <f>IF([@Bib]="","",XLOOKUP([@Bib],tblReg[Bib],tblReg[LastName],""))</f>
      </c>
      <c r="E174">
        <f>IF([@Bib]="","",XLOOKUP([@Bib],tblReg[Bib],tblReg[Team],""))</f>
      </c>
      <c r="F174">
        <f>IF([@Bib]="","",XLOOKUP([@Bib],tblReg[Bib],tblReg[Status],""))</f>
      </c>
      <c r="G174">
        <f>IF([@Bib]="","",XLOOKUP([@Bib],tblStage1[Bib],tblStage1[NetSeconds],""))</f>
      </c>
      <c r="H174">
        <f>IF([@Bib]="","",XLOOKUP([@Bib],tblStage2[Bib],tblStage2[NetSeconds],""))</f>
      </c>
      <c r="I174">
        <f>IF([@Bib]="","",XLOOKUP([@Bib],tblStage3[Bib],tblStage3[NetSeconds],""))</f>
      </c>
      <c r="J174">
        <f>IF(COUNTA([@S1NetSec],[@S2NetSec],[@S3NetSec])=0,"",[@S1NetSec]+[@S2NetSec]+[@S3NetSec])</f>
      </c>
      <c r="K174" s="3">
        <f>IF([@TotalSec]="","",[@TotalSec]/86400)</f>
      </c>
      <c r="L174">
        <f>IF([@Status]&lt;&gt;"Active","",RANK([@TotalSec],FILTER(tblGC[TotalSec],tblGC[Status]="Active"),1))</f>
      </c>
    </row>
    <row r="175" spans="1:12" x14ac:dyDescent="0.25">
      <c r="A175">
        <f>IFERROR(INDEX(tblReg[Bib],ROW()-ROW(tblGC[#Headers])),"")</f>
      </c>
      <c r="B175">
        <f>IF([@Bib]="","",XLOOKUP([@Bib],tblReg[Bib],tblReg[Field],""))</f>
      </c>
      <c r="C175">
        <f>IF([@Bib]="","",XLOOKUP([@Bib],tblReg[Bib],tblReg[FirstName],""))</f>
      </c>
      <c r="D175">
        <f>IF([@Bib]="","",XLOOKUP([@Bib],tblReg[Bib],tblReg[LastName],""))</f>
      </c>
      <c r="E175">
        <f>IF([@Bib]="","",XLOOKUP([@Bib],tblReg[Bib],tblReg[Team],""))</f>
      </c>
      <c r="F175">
        <f>IF([@Bib]="","",XLOOKUP([@Bib],tblReg[Bib],tblReg[Status],""))</f>
      </c>
      <c r="G175">
        <f>IF([@Bib]="","",XLOOKUP([@Bib],tblStage1[Bib],tblStage1[NetSeconds],""))</f>
      </c>
      <c r="H175">
        <f>IF([@Bib]="","",XLOOKUP([@Bib],tblStage2[Bib],tblStage2[NetSeconds],""))</f>
      </c>
      <c r="I175">
        <f>IF([@Bib]="","",XLOOKUP([@Bib],tblStage3[Bib],tblStage3[NetSeconds],""))</f>
      </c>
      <c r="J175">
        <f>IF(COUNTA([@S1NetSec],[@S2NetSec],[@S3NetSec])=0,"",[@S1NetSec]+[@S2NetSec]+[@S3NetSec])</f>
      </c>
      <c r="K175" s="3">
        <f>IF([@TotalSec]="","",[@TotalSec]/86400)</f>
      </c>
      <c r="L175">
        <f>IF([@Status]&lt;&gt;"Active","",RANK([@TotalSec],FILTER(tblGC[TotalSec],tblGC[Status]="Active"),1))</f>
      </c>
    </row>
    <row r="176" spans="1:12" x14ac:dyDescent="0.25">
      <c r="A176">
        <f>IFERROR(INDEX(tblReg[Bib],ROW()-ROW(tblGC[#Headers])),"")</f>
      </c>
      <c r="B176">
        <f>IF([@Bib]="","",XLOOKUP([@Bib],tblReg[Bib],tblReg[Field],""))</f>
      </c>
      <c r="C176">
        <f>IF([@Bib]="","",XLOOKUP([@Bib],tblReg[Bib],tblReg[FirstName],""))</f>
      </c>
      <c r="D176">
        <f>IF([@Bib]="","",XLOOKUP([@Bib],tblReg[Bib],tblReg[LastName],""))</f>
      </c>
      <c r="E176">
        <f>IF([@Bib]="","",XLOOKUP([@Bib],tblReg[Bib],tblReg[Team],""))</f>
      </c>
      <c r="F176">
        <f>IF([@Bib]="","",XLOOKUP([@Bib],tblReg[Bib],tblReg[Status],""))</f>
      </c>
      <c r="G176">
        <f>IF([@Bib]="","",XLOOKUP([@Bib],tblStage1[Bib],tblStage1[NetSeconds],""))</f>
      </c>
      <c r="H176">
        <f>IF([@Bib]="","",XLOOKUP([@Bib],tblStage2[Bib],tblStage2[NetSeconds],""))</f>
      </c>
      <c r="I176">
        <f>IF([@Bib]="","",XLOOKUP([@Bib],tblStage3[Bib],tblStage3[NetSeconds],""))</f>
      </c>
      <c r="J176">
        <f>IF(COUNTA([@S1NetSec],[@S2NetSec],[@S3NetSec])=0,"",[@S1NetSec]+[@S2NetSec]+[@S3NetSec])</f>
      </c>
      <c r="K176" s="3">
        <f>IF([@TotalSec]="","",[@TotalSec]/86400)</f>
      </c>
      <c r="L176">
        <f>IF([@Status]&lt;&gt;"Active","",RANK([@TotalSec],FILTER(tblGC[TotalSec],tblGC[Status]="Active"),1))</f>
      </c>
    </row>
    <row r="177" spans="1:12" x14ac:dyDescent="0.25">
      <c r="A177">
        <f>IFERROR(INDEX(tblReg[Bib],ROW()-ROW(tblGC[#Headers])),"")</f>
      </c>
      <c r="B177">
        <f>IF([@Bib]="","",XLOOKUP([@Bib],tblReg[Bib],tblReg[Field],""))</f>
      </c>
      <c r="C177">
        <f>IF([@Bib]="","",XLOOKUP([@Bib],tblReg[Bib],tblReg[FirstName],""))</f>
      </c>
      <c r="D177">
        <f>IF([@Bib]="","",XLOOKUP([@Bib],tblReg[Bib],tblReg[LastName],""))</f>
      </c>
      <c r="E177">
        <f>IF([@Bib]="","",XLOOKUP([@Bib],tblReg[Bib],tblReg[Team],""))</f>
      </c>
      <c r="F177">
        <f>IF([@Bib]="","",XLOOKUP([@Bib],tblReg[Bib],tblReg[Status],""))</f>
      </c>
      <c r="G177">
        <f>IF([@Bib]="","",XLOOKUP([@Bib],tblStage1[Bib],tblStage1[NetSeconds],""))</f>
      </c>
      <c r="H177">
        <f>IF([@Bib]="","",XLOOKUP([@Bib],tblStage2[Bib],tblStage2[NetSeconds],""))</f>
      </c>
      <c r="I177">
        <f>IF([@Bib]="","",XLOOKUP([@Bib],tblStage3[Bib],tblStage3[NetSeconds],""))</f>
      </c>
      <c r="J177">
        <f>IF(COUNTA([@S1NetSec],[@S2NetSec],[@S3NetSec])=0,"",[@S1NetSec]+[@S2NetSec]+[@S3NetSec])</f>
      </c>
      <c r="K177" s="3">
        <f>IF([@TotalSec]="","",[@TotalSec]/86400)</f>
      </c>
      <c r="L177">
        <f>IF([@Status]&lt;&gt;"Active","",RANK([@TotalSec],FILTER(tblGC[TotalSec],tblGC[Status]="Active"),1))</f>
      </c>
    </row>
    <row r="178" spans="1:12" x14ac:dyDescent="0.25">
      <c r="A178">
        <f>IFERROR(INDEX(tblReg[Bib],ROW()-ROW(tblGC[#Headers])),"")</f>
      </c>
      <c r="B178">
        <f>IF([@Bib]="","",XLOOKUP([@Bib],tblReg[Bib],tblReg[Field],""))</f>
      </c>
      <c r="C178">
        <f>IF([@Bib]="","",XLOOKUP([@Bib],tblReg[Bib],tblReg[FirstName],""))</f>
      </c>
      <c r="D178">
        <f>IF([@Bib]="","",XLOOKUP([@Bib],tblReg[Bib],tblReg[LastName],""))</f>
      </c>
      <c r="E178">
        <f>IF([@Bib]="","",XLOOKUP([@Bib],tblReg[Bib],tblReg[Team],""))</f>
      </c>
      <c r="F178">
        <f>IF([@Bib]="","",XLOOKUP([@Bib],tblReg[Bib],tblReg[Status],""))</f>
      </c>
      <c r="G178">
        <f>IF([@Bib]="","",XLOOKUP([@Bib],tblStage1[Bib],tblStage1[NetSeconds],""))</f>
      </c>
      <c r="H178">
        <f>IF([@Bib]="","",XLOOKUP([@Bib],tblStage2[Bib],tblStage2[NetSeconds],""))</f>
      </c>
      <c r="I178">
        <f>IF([@Bib]="","",XLOOKUP([@Bib],tblStage3[Bib],tblStage3[NetSeconds],""))</f>
      </c>
      <c r="J178">
        <f>IF(COUNTA([@S1NetSec],[@S2NetSec],[@S3NetSec])=0,"",[@S1NetSec]+[@S2NetSec]+[@S3NetSec])</f>
      </c>
      <c r="K178" s="3">
        <f>IF([@TotalSec]="","",[@TotalSec]/86400)</f>
      </c>
      <c r="L178">
        <f>IF([@Status]&lt;&gt;"Active","",RANK([@TotalSec],FILTER(tblGC[TotalSec],tblGC[Status]="Active"),1))</f>
      </c>
    </row>
    <row r="179" spans="1:12" x14ac:dyDescent="0.25">
      <c r="A179">
        <f>IFERROR(INDEX(tblReg[Bib],ROW()-ROW(tblGC[#Headers])),"")</f>
      </c>
      <c r="B179">
        <f>IF([@Bib]="","",XLOOKUP([@Bib],tblReg[Bib],tblReg[Field],""))</f>
      </c>
      <c r="C179">
        <f>IF([@Bib]="","",XLOOKUP([@Bib],tblReg[Bib],tblReg[FirstName],""))</f>
      </c>
      <c r="D179">
        <f>IF([@Bib]="","",XLOOKUP([@Bib],tblReg[Bib],tblReg[LastName],""))</f>
      </c>
      <c r="E179">
        <f>IF([@Bib]="","",XLOOKUP([@Bib],tblReg[Bib],tblReg[Team],""))</f>
      </c>
      <c r="F179">
        <f>IF([@Bib]="","",XLOOKUP([@Bib],tblReg[Bib],tblReg[Status],""))</f>
      </c>
      <c r="G179">
        <f>IF([@Bib]="","",XLOOKUP([@Bib],tblStage1[Bib],tblStage1[NetSeconds],""))</f>
      </c>
      <c r="H179">
        <f>IF([@Bib]="","",XLOOKUP([@Bib],tblStage2[Bib],tblStage2[NetSeconds],""))</f>
      </c>
      <c r="I179">
        <f>IF([@Bib]="","",XLOOKUP([@Bib],tblStage3[Bib],tblStage3[NetSeconds],""))</f>
      </c>
      <c r="J179">
        <f>IF(COUNTA([@S1NetSec],[@S2NetSec],[@S3NetSec])=0,"",[@S1NetSec]+[@S2NetSec]+[@S3NetSec])</f>
      </c>
      <c r="K179" s="3">
        <f>IF([@TotalSec]="","",[@TotalSec]/86400)</f>
      </c>
      <c r="L179">
        <f>IF([@Status]&lt;&gt;"Active","",RANK([@TotalSec],FILTER(tblGC[TotalSec],tblGC[Status]="Active"),1))</f>
      </c>
    </row>
    <row r="180" spans="1:12" x14ac:dyDescent="0.25">
      <c r="A180">
        <f>IFERROR(INDEX(tblReg[Bib],ROW()-ROW(tblGC[#Headers])),"")</f>
      </c>
      <c r="B180">
        <f>IF([@Bib]="","",XLOOKUP([@Bib],tblReg[Bib],tblReg[Field],""))</f>
      </c>
      <c r="C180">
        <f>IF([@Bib]="","",XLOOKUP([@Bib],tblReg[Bib],tblReg[FirstName],""))</f>
      </c>
      <c r="D180">
        <f>IF([@Bib]="","",XLOOKUP([@Bib],tblReg[Bib],tblReg[LastName],""))</f>
      </c>
      <c r="E180">
        <f>IF([@Bib]="","",XLOOKUP([@Bib],tblReg[Bib],tblReg[Team],""))</f>
      </c>
      <c r="F180">
        <f>IF([@Bib]="","",XLOOKUP([@Bib],tblReg[Bib],tblReg[Status],""))</f>
      </c>
      <c r="G180">
        <f>IF([@Bib]="","",XLOOKUP([@Bib],tblStage1[Bib],tblStage1[NetSeconds],""))</f>
      </c>
      <c r="H180">
        <f>IF([@Bib]="","",XLOOKUP([@Bib],tblStage2[Bib],tblStage2[NetSeconds],""))</f>
      </c>
      <c r="I180">
        <f>IF([@Bib]="","",XLOOKUP([@Bib],tblStage3[Bib],tblStage3[NetSeconds],""))</f>
      </c>
      <c r="J180">
        <f>IF(COUNTA([@S1NetSec],[@S2NetSec],[@S3NetSec])=0,"",[@S1NetSec]+[@S2NetSec]+[@S3NetSec])</f>
      </c>
      <c r="K180" s="3">
        <f>IF([@TotalSec]="","",[@TotalSec]/86400)</f>
      </c>
      <c r="L180">
        <f>IF([@Status]&lt;&gt;"Active","",RANK([@TotalSec],FILTER(tblGC[TotalSec],tblGC[Status]="Active"),1))</f>
      </c>
    </row>
    <row r="181" spans="1:12" x14ac:dyDescent="0.25">
      <c r="A181">
        <f>IFERROR(INDEX(tblReg[Bib],ROW()-ROW(tblGC[#Headers])),"")</f>
      </c>
      <c r="B181">
        <f>IF([@Bib]="","",XLOOKUP([@Bib],tblReg[Bib],tblReg[Field],""))</f>
      </c>
      <c r="C181">
        <f>IF([@Bib]="","",XLOOKUP([@Bib],tblReg[Bib],tblReg[FirstName],""))</f>
      </c>
      <c r="D181">
        <f>IF([@Bib]="","",XLOOKUP([@Bib],tblReg[Bib],tblReg[LastName],""))</f>
      </c>
      <c r="E181">
        <f>IF([@Bib]="","",XLOOKUP([@Bib],tblReg[Bib],tblReg[Team],""))</f>
      </c>
      <c r="F181">
        <f>IF([@Bib]="","",XLOOKUP([@Bib],tblReg[Bib],tblReg[Status],""))</f>
      </c>
      <c r="G181">
        <f>IF([@Bib]="","",XLOOKUP([@Bib],tblStage1[Bib],tblStage1[NetSeconds],""))</f>
      </c>
      <c r="H181">
        <f>IF([@Bib]="","",XLOOKUP([@Bib],tblStage2[Bib],tblStage2[NetSeconds],""))</f>
      </c>
      <c r="I181">
        <f>IF([@Bib]="","",XLOOKUP([@Bib],tblStage3[Bib],tblStage3[NetSeconds],""))</f>
      </c>
      <c r="J181">
        <f>IF(COUNTA([@S1NetSec],[@S2NetSec],[@S3NetSec])=0,"",[@S1NetSec]+[@S2NetSec]+[@S3NetSec])</f>
      </c>
      <c r="K181" s="3">
        <f>IF([@TotalSec]="","",[@TotalSec]/86400)</f>
      </c>
      <c r="L181">
        <f>IF([@Status]&lt;&gt;"Active","",RANK([@TotalSec],FILTER(tblGC[TotalSec],tblGC[Status]="Active"),1))</f>
      </c>
    </row>
    <row r="182" spans="1:12" x14ac:dyDescent="0.25">
      <c r="A182">
        <f>IFERROR(INDEX(tblReg[Bib],ROW()-ROW(tblGC[#Headers])),"")</f>
      </c>
      <c r="B182">
        <f>IF([@Bib]="","",XLOOKUP([@Bib],tblReg[Bib],tblReg[Field],""))</f>
      </c>
      <c r="C182">
        <f>IF([@Bib]="","",XLOOKUP([@Bib],tblReg[Bib],tblReg[FirstName],""))</f>
      </c>
      <c r="D182">
        <f>IF([@Bib]="","",XLOOKUP([@Bib],tblReg[Bib],tblReg[LastName],""))</f>
      </c>
      <c r="E182">
        <f>IF([@Bib]="","",XLOOKUP([@Bib],tblReg[Bib],tblReg[Team],""))</f>
      </c>
      <c r="F182">
        <f>IF([@Bib]="","",XLOOKUP([@Bib],tblReg[Bib],tblReg[Status],""))</f>
      </c>
      <c r="G182">
        <f>IF([@Bib]="","",XLOOKUP([@Bib],tblStage1[Bib],tblStage1[NetSeconds],""))</f>
      </c>
      <c r="H182">
        <f>IF([@Bib]="","",XLOOKUP([@Bib],tblStage2[Bib],tblStage2[NetSeconds],""))</f>
      </c>
      <c r="I182">
        <f>IF([@Bib]="","",XLOOKUP([@Bib],tblStage3[Bib],tblStage3[NetSeconds],""))</f>
      </c>
      <c r="J182">
        <f>IF(COUNTA([@S1NetSec],[@S2NetSec],[@S3NetSec])=0,"",[@S1NetSec]+[@S2NetSec]+[@S3NetSec])</f>
      </c>
      <c r="K182" s="3">
        <f>IF([@TotalSec]="","",[@TotalSec]/86400)</f>
      </c>
      <c r="L182">
        <f>IF([@Status]&lt;&gt;"Active","",RANK([@TotalSec],FILTER(tblGC[TotalSec],tblGC[Status]="Active"),1))</f>
      </c>
    </row>
    <row r="183" spans="1:12" x14ac:dyDescent="0.25">
      <c r="A183">
        <f>IFERROR(INDEX(tblReg[Bib],ROW()-ROW(tblGC[#Headers])),"")</f>
      </c>
      <c r="B183">
        <f>IF([@Bib]="","",XLOOKUP([@Bib],tblReg[Bib],tblReg[Field],""))</f>
      </c>
      <c r="C183">
        <f>IF([@Bib]="","",XLOOKUP([@Bib],tblReg[Bib],tblReg[FirstName],""))</f>
      </c>
      <c r="D183">
        <f>IF([@Bib]="","",XLOOKUP([@Bib],tblReg[Bib],tblReg[LastName],""))</f>
      </c>
      <c r="E183">
        <f>IF([@Bib]="","",XLOOKUP([@Bib],tblReg[Bib],tblReg[Team],""))</f>
      </c>
      <c r="F183">
        <f>IF([@Bib]="","",XLOOKUP([@Bib],tblReg[Bib],tblReg[Status],""))</f>
      </c>
      <c r="G183">
        <f>IF([@Bib]="","",XLOOKUP([@Bib],tblStage1[Bib],tblStage1[NetSeconds],""))</f>
      </c>
      <c r="H183">
        <f>IF([@Bib]="","",XLOOKUP([@Bib],tblStage2[Bib],tblStage2[NetSeconds],""))</f>
      </c>
      <c r="I183">
        <f>IF([@Bib]="","",XLOOKUP([@Bib],tblStage3[Bib],tblStage3[NetSeconds],""))</f>
      </c>
      <c r="J183">
        <f>IF(COUNTA([@S1NetSec],[@S2NetSec],[@S3NetSec])=0,"",[@S1NetSec]+[@S2NetSec]+[@S3NetSec])</f>
      </c>
      <c r="K183" s="3">
        <f>IF([@TotalSec]="","",[@TotalSec]/86400)</f>
      </c>
      <c r="L183">
        <f>IF([@Status]&lt;&gt;"Active","",RANK([@TotalSec],FILTER(tblGC[TotalSec],tblGC[Status]="Active"),1))</f>
      </c>
    </row>
    <row r="184" spans="1:12" x14ac:dyDescent="0.25">
      <c r="A184">
        <f>IFERROR(INDEX(tblReg[Bib],ROW()-ROW(tblGC[#Headers])),"")</f>
      </c>
      <c r="B184">
        <f>IF([@Bib]="","",XLOOKUP([@Bib],tblReg[Bib],tblReg[Field],""))</f>
      </c>
      <c r="C184">
        <f>IF([@Bib]="","",XLOOKUP([@Bib],tblReg[Bib],tblReg[FirstName],""))</f>
      </c>
      <c r="D184">
        <f>IF([@Bib]="","",XLOOKUP([@Bib],tblReg[Bib],tblReg[LastName],""))</f>
      </c>
      <c r="E184">
        <f>IF([@Bib]="","",XLOOKUP([@Bib],tblReg[Bib],tblReg[Team],""))</f>
      </c>
      <c r="F184">
        <f>IF([@Bib]="","",XLOOKUP([@Bib],tblReg[Bib],tblReg[Status],""))</f>
      </c>
      <c r="G184">
        <f>IF([@Bib]="","",XLOOKUP([@Bib],tblStage1[Bib],tblStage1[NetSeconds],""))</f>
      </c>
      <c r="H184">
        <f>IF([@Bib]="","",XLOOKUP([@Bib],tblStage2[Bib],tblStage2[NetSeconds],""))</f>
      </c>
      <c r="I184">
        <f>IF([@Bib]="","",XLOOKUP([@Bib],tblStage3[Bib],tblStage3[NetSeconds],""))</f>
      </c>
      <c r="J184">
        <f>IF(COUNTA([@S1NetSec],[@S2NetSec],[@S3NetSec])=0,"",[@S1NetSec]+[@S2NetSec]+[@S3NetSec])</f>
      </c>
      <c r="K184" s="3">
        <f>IF([@TotalSec]="","",[@TotalSec]/86400)</f>
      </c>
      <c r="L184">
        <f>IF([@Status]&lt;&gt;"Active","",RANK([@TotalSec],FILTER(tblGC[TotalSec],tblGC[Status]="Active"),1))</f>
      </c>
    </row>
    <row r="185" spans="1:12" x14ac:dyDescent="0.25">
      <c r="A185">
        <f>IFERROR(INDEX(tblReg[Bib],ROW()-ROW(tblGC[#Headers])),"")</f>
      </c>
      <c r="B185">
        <f>IF([@Bib]="","",XLOOKUP([@Bib],tblReg[Bib],tblReg[Field],""))</f>
      </c>
      <c r="C185">
        <f>IF([@Bib]="","",XLOOKUP([@Bib],tblReg[Bib],tblReg[FirstName],""))</f>
      </c>
      <c r="D185">
        <f>IF([@Bib]="","",XLOOKUP([@Bib],tblReg[Bib],tblReg[LastName],""))</f>
      </c>
      <c r="E185">
        <f>IF([@Bib]="","",XLOOKUP([@Bib],tblReg[Bib],tblReg[Team],""))</f>
      </c>
      <c r="F185">
        <f>IF([@Bib]="","",XLOOKUP([@Bib],tblReg[Bib],tblReg[Status],""))</f>
      </c>
      <c r="G185">
        <f>IF([@Bib]="","",XLOOKUP([@Bib],tblStage1[Bib],tblStage1[NetSeconds],""))</f>
      </c>
      <c r="H185">
        <f>IF([@Bib]="","",XLOOKUP([@Bib],tblStage2[Bib],tblStage2[NetSeconds],""))</f>
      </c>
      <c r="I185">
        <f>IF([@Bib]="","",XLOOKUP([@Bib],tblStage3[Bib],tblStage3[NetSeconds],""))</f>
      </c>
      <c r="J185">
        <f>IF(COUNTA([@S1NetSec],[@S2NetSec],[@S3NetSec])=0,"",[@S1NetSec]+[@S2NetSec]+[@S3NetSec])</f>
      </c>
      <c r="K185" s="3">
        <f>IF([@TotalSec]="","",[@TotalSec]/86400)</f>
      </c>
      <c r="L185">
        <f>IF([@Status]&lt;&gt;"Active","",RANK([@TotalSec],FILTER(tblGC[TotalSec],tblGC[Status]="Active"),1))</f>
      </c>
    </row>
    <row r="186" spans="1:12" x14ac:dyDescent="0.25">
      <c r="A186">
        <f>IFERROR(INDEX(tblReg[Bib],ROW()-ROW(tblGC[#Headers])),"")</f>
      </c>
      <c r="B186">
        <f>IF([@Bib]="","",XLOOKUP([@Bib],tblReg[Bib],tblReg[Field],""))</f>
      </c>
      <c r="C186">
        <f>IF([@Bib]="","",XLOOKUP([@Bib],tblReg[Bib],tblReg[FirstName],""))</f>
      </c>
      <c r="D186">
        <f>IF([@Bib]="","",XLOOKUP([@Bib],tblReg[Bib],tblReg[LastName],""))</f>
      </c>
      <c r="E186">
        <f>IF([@Bib]="","",XLOOKUP([@Bib],tblReg[Bib],tblReg[Team],""))</f>
      </c>
      <c r="F186">
        <f>IF([@Bib]="","",XLOOKUP([@Bib],tblReg[Bib],tblReg[Status],""))</f>
      </c>
      <c r="G186">
        <f>IF([@Bib]="","",XLOOKUP([@Bib],tblStage1[Bib],tblStage1[NetSeconds],""))</f>
      </c>
      <c r="H186">
        <f>IF([@Bib]="","",XLOOKUP([@Bib],tblStage2[Bib],tblStage2[NetSeconds],""))</f>
      </c>
      <c r="I186">
        <f>IF([@Bib]="","",XLOOKUP([@Bib],tblStage3[Bib],tblStage3[NetSeconds],""))</f>
      </c>
      <c r="J186">
        <f>IF(COUNTA([@S1NetSec],[@S2NetSec],[@S3NetSec])=0,"",[@S1NetSec]+[@S2NetSec]+[@S3NetSec])</f>
      </c>
      <c r="K186" s="3">
        <f>IF([@TotalSec]="","",[@TotalSec]/86400)</f>
      </c>
      <c r="L186">
        <f>IF([@Status]&lt;&gt;"Active","",RANK([@TotalSec],FILTER(tblGC[TotalSec],tblGC[Status]="Active"),1))</f>
      </c>
    </row>
    <row r="187" spans="1:12" x14ac:dyDescent="0.25">
      <c r="A187">
        <f>IFERROR(INDEX(tblReg[Bib],ROW()-ROW(tblGC[#Headers])),"")</f>
      </c>
      <c r="B187">
        <f>IF([@Bib]="","",XLOOKUP([@Bib],tblReg[Bib],tblReg[Field],""))</f>
      </c>
      <c r="C187">
        <f>IF([@Bib]="","",XLOOKUP([@Bib],tblReg[Bib],tblReg[FirstName],""))</f>
      </c>
      <c r="D187">
        <f>IF([@Bib]="","",XLOOKUP([@Bib],tblReg[Bib],tblReg[LastName],""))</f>
      </c>
      <c r="E187">
        <f>IF([@Bib]="","",XLOOKUP([@Bib],tblReg[Bib],tblReg[Team],""))</f>
      </c>
      <c r="F187">
        <f>IF([@Bib]="","",XLOOKUP([@Bib],tblReg[Bib],tblReg[Status],""))</f>
      </c>
      <c r="G187">
        <f>IF([@Bib]="","",XLOOKUP([@Bib],tblStage1[Bib],tblStage1[NetSeconds],""))</f>
      </c>
      <c r="H187">
        <f>IF([@Bib]="","",XLOOKUP([@Bib],tblStage2[Bib],tblStage2[NetSeconds],""))</f>
      </c>
      <c r="I187">
        <f>IF([@Bib]="","",XLOOKUP([@Bib],tblStage3[Bib],tblStage3[NetSeconds],""))</f>
      </c>
      <c r="J187">
        <f>IF(COUNTA([@S1NetSec],[@S2NetSec],[@S3NetSec])=0,"",[@S1NetSec]+[@S2NetSec]+[@S3NetSec])</f>
      </c>
      <c r="K187" s="3">
        <f>IF([@TotalSec]="","",[@TotalSec]/86400)</f>
      </c>
      <c r="L187">
        <f>IF([@Status]&lt;&gt;"Active","",RANK([@TotalSec],FILTER(tblGC[TotalSec],tblGC[Status]="Active"),1))</f>
      </c>
    </row>
    <row r="188" spans="1:12" x14ac:dyDescent="0.25">
      <c r="A188">
        <f>IFERROR(INDEX(tblReg[Bib],ROW()-ROW(tblGC[#Headers])),"")</f>
      </c>
      <c r="B188">
        <f>IF([@Bib]="","",XLOOKUP([@Bib],tblReg[Bib],tblReg[Field],""))</f>
      </c>
      <c r="C188">
        <f>IF([@Bib]="","",XLOOKUP([@Bib],tblReg[Bib],tblReg[FirstName],""))</f>
      </c>
      <c r="D188">
        <f>IF([@Bib]="","",XLOOKUP([@Bib],tblReg[Bib],tblReg[LastName],""))</f>
      </c>
      <c r="E188">
        <f>IF([@Bib]="","",XLOOKUP([@Bib],tblReg[Bib],tblReg[Team],""))</f>
      </c>
      <c r="F188">
        <f>IF([@Bib]="","",XLOOKUP([@Bib],tblReg[Bib],tblReg[Status],""))</f>
      </c>
      <c r="G188">
        <f>IF([@Bib]="","",XLOOKUP([@Bib],tblStage1[Bib],tblStage1[NetSeconds],""))</f>
      </c>
      <c r="H188">
        <f>IF([@Bib]="","",XLOOKUP([@Bib],tblStage2[Bib],tblStage2[NetSeconds],""))</f>
      </c>
      <c r="I188">
        <f>IF([@Bib]="","",XLOOKUP([@Bib],tblStage3[Bib],tblStage3[NetSeconds],""))</f>
      </c>
      <c r="J188">
        <f>IF(COUNTA([@S1NetSec],[@S2NetSec],[@S3NetSec])=0,"",[@S1NetSec]+[@S2NetSec]+[@S3NetSec])</f>
      </c>
      <c r="K188" s="3">
        <f>IF([@TotalSec]="","",[@TotalSec]/86400)</f>
      </c>
      <c r="L188">
        <f>IF([@Status]&lt;&gt;"Active","",RANK([@TotalSec],FILTER(tblGC[TotalSec],tblGC[Status]="Active"),1))</f>
      </c>
    </row>
    <row r="189" spans="1:12" x14ac:dyDescent="0.25">
      <c r="A189">
        <f>IFERROR(INDEX(tblReg[Bib],ROW()-ROW(tblGC[#Headers])),"")</f>
      </c>
      <c r="B189">
        <f>IF([@Bib]="","",XLOOKUP([@Bib],tblReg[Bib],tblReg[Field],""))</f>
      </c>
      <c r="C189">
        <f>IF([@Bib]="","",XLOOKUP([@Bib],tblReg[Bib],tblReg[FirstName],""))</f>
      </c>
      <c r="D189">
        <f>IF([@Bib]="","",XLOOKUP([@Bib],tblReg[Bib],tblReg[LastName],""))</f>
      </c>
      <c r="E189">
        <f>IF([@Bib]="","",XLOOKUP([@Bib],tblReg[Bib],tblReg[Team],""))</f>
      </c>
      <c r="F189">
        <f>IF([@Bib]="","",XLOOKUP([@Bib],tblReg[Bib],tblReg[Status],""))</f>
      </c>
      <c r="G189">
        <f>IF([@Bib]="","",XLOOKUP([@Bib],tblStage1[Bib],tblStage1[NetSeconds],""))</f>
      </c>
      <c r="H189">
        <f>IF([@Bib]="","",XLOOKUP([@Bib],tblStage2[Bib],tblStage2[NetSeconds],""))</f>
      </c>
      <c r="I189">
        <f>IF([@Bib]="","",XLOOKUP([@Bib],tblStage3[Bib],tblStage3[NetSeconds],""))</f>
      </c>
      <c r="J189">
        <f>IF(COUNTA([@S1NetSec],[@S2NetSec],[@S3NetSec])=0,"",[@S1NetSec]+[@S2NetSec]+[@S3NetSec])</f>
      </c>
      <c r="K189" s="3">
        <f>IF([@TotalSec]="","",[@TotalSec]/86400)</f>
      </c>
      <c r="L189">
        <f>IF([@Status]&lt;&gt;"Active","",RANK([@TotalSec],FILTER(tblGC[TotalSec],tblGC[Status]="Active"),1))</f>
      </c>
    </row>
    <row r="190" spans="1:12" x14ac:dyDescent="0.25">
      <c r="A190">
        <f>IFERROR(INDEX(tblReg[Bib],ROW()-ROW(tblGC[#Headers])),"")</f>
      </c>
      <c r="B190">
        <f>IF([@Bib]="","",XLOOKUP([@Bib],tblReg[Bib],tblReg[Field],""))</f>
      </c>
      <c r="C190">
        <f>IF([@Bib]="","",XLOOKUP([@Bib],tblReg[Bib],tblReg[FirstName],""))</f>
      </c>
      <c r="D190">
        <f>IF([@Bib]="","",XLOOKUP([@Bib],tblReg[Bib],tblReg[LastName],""))</f>
      </c>
      <c r="E190">
        <f>IF([@Bib]="","",XLOOKUP([@Bib],tblReg[Bib],tblReg[Team],""))</f>
      </c>
      <c r="F190">
        <f>IF([@Bib]="","",XLOOKUP([@Bib],tblReg[Bib],tblReg[Status],""))</f>
      </c>
      <c r="G190">
        <f>IF([@Bib]="","",XLOOKUP([@Bib],tblStage1[Bib],tblStage1[NetSeconds],""))</f>
      </c>
      <c r="H190">
        <f>IF([@Bib]="","",XLOOKUP([@Bib],tblStage2[Bib],tblStage2[NetSeconds],""))</f>
      </c>
      <c r="I190">
        <f>IF([@Bib]="","",XLOOKUP([@Bib],tblStage3[Bib],tblStage3[NetSeconds],""))</f>
      </c>
      <c r="J190">
        <f>IF(COUNTA([@S1NetSec],[@S2NetSec],[@S3NetSec])=0,"",[@S1NetSec]+[@S2NetSec]+[@S3NetSec])</f>
      </c>
      <c r="K190" s="3">
        <f>IF([@TotalSec]="","",[@TotalSec]/86400)</f>
      </c>
      <c r="L190">
        <f>IF([@Status]&lt;&gt;"Active","",RANK([@TotalSec],FILTER(tblGC[TotalSec],tblGC[Status]="Active"),1))</f>
      </c>
    </row>
    <row r="191" spans="1:12" x14ac:dyDescent="0.25">
      <c r="A191">
        <f>IFERROR(INDEX(tblReg[Bib],ROW()-ROW(tblGC[#Headers])),"")</f>
      </c>
      <c r="B191">
        <f>IF([@Bib]="","",XLOOKUP([@Bib],tblReg[Bib],tblReg[Field],""))</f>
      </c>
      <c r="C191">
        <f>IF([@Bib]="","",XLOOKUP([@Bib],tblReg[Bib],tblReg[FirstName],""))</f>
      </c>
      <c r="D191">
        <f>IF([@Bib]="","",XLOOKUP([@Bib],tblReg[Bib],tblReg[LastName],""))</f>
      </c>
      <c r="E191">
        <f>IF([@Bib]="","",XLOOKUP([@Bib],tblReg[Bib],tblReg[Team],""))</f>
      </c>
      <c r="F191">
        <f>IF([@Bib]="","",XLOOKUP([@Bib],tblReg[Bib],tblReg[Status],""))</f>
      </c>
      <c r="G191">
        <f>IF([@Bib]="","",XLOOKUP([@Bib],tblStage1[Bib],tblStage1[NetSeconds],""))</f>
      </c>
      <c r="H191">
        <f>IF([@Bib]="","",XLOOKUP([@Bib],tblStage2[Bib],tblStage2[NetSeconds],""))</f>
      </c>
      <c r="I191">
        <f>IF([@Bib]="","",XLOOKUP([@Bib],tblStage3[Bib],tblStage3[NetSeconds],""))</f>
      </c>
      <c r="J191">
        <f>IF(COUNTA([@S1NetSec],[@S2NetSec],[@S3NetSec])=0,"",[@S1NetSec]+[@S2NetSec]+[@S3NetSec])</f>
      </c>
      <c r="K191" s="3">
        <f>IF([@TotalSec]="","",[@TotalSec]/86400)</f>
      </c>
      <c r="L191">
        <f>IF([@Status]&lt;&gt;"Active","",RANK([@TotalSec],FILTER(tblGC[TotalSec],tblGC[Status]="Active"),1))</f>
      </c>
    </row>
    <row r="192" spans="1:12" x14ac:dyDescent="0.25">
      <c r="A192">
        <f>IFERROR(INDEX(tblReg[Bib],ROW()-ROW(tblGC[#Headers])),"")</f>
      </c>
      <c r="B192">
        <f>IF([@Bib]="","",XLOOKUP([@Bib],tblReg[Bib],tblReg[Field],""))</f>
      </c>
      <c r="C192">
        <f>IF([@Bib]="","",XLOOKUP([@Bib],tblReg[Bib],tblReg[FirstName],""))</f>
      </c>
      <c r="D192">
        <f>IF([@Bib]="","",XLOOKUP([@Bib],tblReg[Bib],tblReg[LastName],""))</f>
      </c>
      <c r="E192">
        <f>IF([@Bib]="","",XLOOKUP([@Bib],tblReg[Bib],tblReg[Team],""))</f>
      </c>
      <c r="F192">
        <f>IF([@Bib]="","",XLOOKUP([@Bib],tblReg[Bib],tblReg[Status],""))</f>
      </c>
      <c r="G192">
        <f>IF([@Bib]="","",XLOOKUP([@Bib],tblStage1[Bib],tblStage1[NetSeconds],""))</f>
      </c>
      <c r="H192">
        <f>IF([@Bib]="","",XLOOKUP([@Bib],tblStage2[Bib],tblStage2[NetSeconds],""))</f>
      </c>
      <c r="I192">
        <f>IF([@Bib]="","",XLOOKUP([@Bib],tblStage3[Bib],tblStage3[NetSeconds],""))</f>
      </c>
      <c r="J192">
        <f>IF(COUNTA([@S1NetSec],[@S2NetSec],[@S3NetSec])=0,"",[@S1NetSec]+[@S2NetSec]+[@S3NetSec])</f>
      </c>
      <c r="K192" s="3">
        <f>IF([@TotalSec]="","",[@TotalSec]/86400)</f>
      </c>
      <c r="L192">
        <f>IF([@Status]&lt;&gt;"Active","",RANK([@TotalSec],FILTER(tblGC[TotalSec],tblGC[Status]="Active"),1))</f>
      </c>
    </row>
    <row r="193" spans="1:12" x14ac:dyDescent="0.25">
      <c r="A193">
        <f>IFERROR(INDEX(tblReg[Bib],ROW()-ROW(tblGC[#Headers])),"")</f>
      </c>
      <c r="B193">
        <f>IF([@Bib]="","",XLOOKUP([@Bib],tblReg[Bib],tblReg[Field],""))</f>
      </c>
      <c r="C193">
        <f>IF([@Bib]="","",XLOOKUP([@Bib],tblReg[Bib],tblReg[FirstName],""))</f>
      </c>
      <c r="D193">
        <f>IF([@Bib]="","",XLOOKUP([@Bib],tblReg[Bib],tblReg[LastName],""))</f>
      </c>
      <c r="E193">
        <f>IF([@Bib]="","",XLOOKUP([@Bib],tblReg[Bib],tblReg[Team],""))</f>
      </c>
      <c r="F193">
        <f>IF([@Bib]="","",XLOOKUP([@Bib],tblReg[Bib],tblReg[Status],""))</f>
      </c>
      <c r="G193">
        <f>IF([@Bib]="","",XLOOKUP([@Bib],tblStage1[Bib],tblStage1[NetSeconds],""))</f>
      </c>
      <c r="H193">
        <f>IF([@Bib]="","",XLOOKUP([@Bib],tblStage2[Bib],tblStage2[NetSeconds],""))</f>
      </c>
      <c r="I193">
        <f>IF([@Bib]="","",XLOOKUP([@Bib],tblStage3[Bib],tblStage3[NetSeconds],""))</f>
      </c>
      <c r="J193">
        <f>IF(COUNTA([@S1NetSec],[@S2NetSec],[@S3NetSec])=0,"",[@S1NetSec]+[@S2NetSec]+[@S3NetSec])</f>
      </c>
      <c r="K193" s="3">
        <f>IF([@TotalSec]="","",[@TotalSec]/86400)</f>
      </c>
      <c r="L193">
        <f>IF([@Status]&lt;&gt;"Active","",RANK([@TotalSec],FILTER(tblGC[TotalSec],tblGC[Status]="Active"),1))</f>
      </c>
    </row>
    <row r="194" spans="1:12" x14ac:dyDescent="0.25">
      <c r="A194">
        <f>IFERROR(INDEX(tblReg[Bib],ROW()-ROW(tblGC[#Headers])),"")</f>
      </c>
      <c r="B194">
        <f>IF([@Bib]="","",XLOOKUP([@Bib],tblReg[Bib],tblReg[Field],""))</f>
      </c>
      <c r="C194">
        <f>IF([@Bib]="","",XLOOKUP([@Bib],tblReg[Bib],tblReg[FirstName],""))</f>
      </c>
      <c r="D194">
        <f>IF([@Bib]="","",XLOOKUP([@Bib],tblReg[Bib],tblReg[LastName],""))</f>
      </c>
      <c r="E194">
        <f>IF([@Bib]="","",XLOOKUP([@Bib],tblReg[Bib],tblReg[Team],""))</f>
      </c>
      <c r="F194">
        <f>IF([@Bib]="","",XLOOKUP([@Bib],tblReg[Bib],tblReg[Status],""))</f>
      </c>
      <c r="G194">
        <f>IF([@Bib]="","",XLOOKUP([@Bib],tblStage1[Bib],tblStage1[NetSeconds],""))</f>
      </c>
      <c r="H194">
        <f>IF([@Bib]="","",XLOOKUP([@Bib],tblStage2[Bib],tblStage2[NetSeconds],""))</f>
      </c>
      <c r="I194">
        <f>IF([@Bib]="","",XLOOKUP([@Bib],tblStage3[Bib],tblStage3[NetSeconds],""))</f>
      </c>
      <c r="J194">
        <f>IF(COUNTA([@S1NetSec],[@S2NetSec],[@S3NetSec])=0,"",[@S1NetSec]+[@S2NetSec]+[@S3NetSec])</f>
      </c>
      <c r="K194" s="3">
        <f>IF([@TotalSec]="","",[@TotalSec]/86400)</f>
      </c>
      <c r="L194">
        <f>IF([@Status]&lt;&gt;"Active","",RANK([@TotalSec],FILTER(tblGC[TotalSec],tblGC[Status]="Active"),1))</f>
      </c>
    </row>
    <row r="195" spans="1:12" x14ac:dyDescent="0.25">
      <c r="A195">
        <f>IFERROR(INDEX(tblReg[Bib],ROW()-ROW(tblGC[#Headers])),"")</f>
      </c>
      <c r="B195">
        <f>IF([@Bib]="","",XLOOKUP([@Bib],tblReg[Bib],tblReg[Field],""))</f>
      </c>
      <c r="C195">
        <f>IF([@Bib]="","",XLOOKUP([@Bib],tblReg[Bib],tblReg[FirstName],""))</f>
      </c>
      <c r="D195">
        <f>IF([@Bib]="","",XLOOKUP([@Bib],tblReg[Bib],tblReg[LastName],""))</f>
      </c>
      <c r="E195">
        <f>IF([@Bib]="","",XLOOKUP([@Bib],tblReg[Bib],tblReg[Team],""))</f>
      </c>
      <c r="F195">
        <f>IF([@Bib]="","",XLOOKUP([@Bib],tblReg[Bib],tblReg[Status],""))</f>
      </c>
      <c r="G195">
        <f>IF([@Bib]="","",XLOOKUP([@Bib],tblStage1[Bib],tblStage1[NetSeconds],""))</f>
      </c>
      <c r="H195">
        <f>IF([@Bib]="","",XLOOKUP([@Bib],tblStage2[Bib],tblStage2[NetSeconds],""))</f>
      </c>
      <c r="I195">
        <f>IF([@Bib]="","",XLOOKUP([@Bib],tblStage3[Bib],tblStage3[NetSeconds],""))</f>
      </c>
      <c r="J195">
        <f>IF(COUNTA([@S1NetSec],[@S2NetSec],[@S3NetSec])=0,"",[@S1NetSec]+[@S2NetSec]+[@S3NetSec])</f>
      </c>
      <c r="K195" s="3">
        <f>IF([@TotalSec]="","",[@TotalSec]/86400)</f>
      </c>
      <c r="L195">
        <f>IF([@Status]&lt;&gt;"Active","",RANK([@TotalSec],FILTER(tblGC[TotalSec],tblGC[Status]="Active"),1))</f>
      </c>
    </row>
    <row r="196" spans="1:12" x14ac:dyDescent="0.25">
      <c r="A196">
        <f>IFERROR(INDEX(tblReg[Bib],ROW()-ROW(tblGC[#Headers])),"")</f>
      </c>
      <c r="B196">
        <f>IF([@Bib]="","",XLOOKUP([@Bib],tblReg[Bib],tblReg[Field],""))</f>
      </c>
      <c r="C196">
        <f>IF([@Bib]="","",XLOOKUP([@Bib],tblReg[Bib],tblReg[FirstName],""))</f>
      </c>
      <c r="D196">
        <f>IF([@Bib]="","",XLOOKUP([@Bib],tblReg[Bib],tblReg[LastName],""))</f>
      </c>
      <c r="E196">
        <f>IF([@Bib]="","",XLOOKUP([@Bib],tblReg[Bib],tblReg[Team],""))</f>
      </c>
      <c r="F196">
        <f>IF([@Bib]="","",XLOOKUP([@Bib],tblReg[Bib],tblReg[Status],""))</f>
      </c>
      <c r="G196">
        <f>IF([@Bib]="","",XLOOKUP([@Bib],tblStage1[Bib],tblStage1[NetSeconds],""))</f>
      </c>
      <c r="H196">
        <f>IF([@Bib]="","",XLOOKUP([@Bib],tblStage2[Bib],tblStage2[NetSeconds],""))</f>
      </c>
      <c r="I196">
        <f>IF([@Bib]="","",XLOOKUP([@Bib],tblStage3[Bib],tblStage3[NetSeconds],""))</f>
      </c>
      <c r="J196">
        <f>IF(COUNTA([@S1NetSec],[@S2NetSec],[@S3NetSec])=0,"",[@S1NetSec]+[@S2NetSec]+[@S3NetSec])</f>
      </c>
      <c r="K196" s="3">
        <f>IF([@TotalSec]="","",[@TotalSec]/86400)</f>
      </c>
      <c r="L196">
        <f>IF([@Status]&lt;&gt;"Active","",RANK([@TotalSec],FILTER(tblGC[TotalSec],tblGC[Status]="Active"),1))</f>
      </c>
    </row>
    <row r="197" spans="1:12" x14ac:dyDescent="0.25">
      <c r="A197">
        <f>IFERROR(INDEX(tblReg[Bib],ROW()-ROW(tblGC[#Headers])),"")</f>
      </c>
      <c r="B197">
        <f>IF([@Bib]="","",XLOOKUP([@Bib],tblReg[Bib],tblReg[Field],""))</f>
      </c>
      <c r="C197">
        <f>IF([@Bib]="","",XLOOKUP([@Bib],tblReg[Bib],tblReg[FirstName],""))</f>
      </c>
      <c r="D197">
        <f>IF([@Bib]="","",XLOOKUP([@Bib],tblReg[Bib],tblReg[LastName],""))</f>
      </c>
      <c r="E197">
        <f>IF([@Bib]="","",XLOOKUP([@Bib],tblReg[Bib],tblReg[Team],""))</f>
      </c>
      <c r="F197">
        <f>IF([@Bib]="","",XLOOKUP([@Bib],tblReg[Bib],tblReg[Status],""))</f>
      </c>
      <c r="G197">
        <f>IF([@Bib]="","",XLOOKUP([@Bib],tblStage1[Bib],tblStage1[NetSeconds],""))</f>
      </c>
      <c r="H197">
        <f>IF([@Bib]="","",XLOOKUP([@Bib],tblStage2[Bib],tblStage2[NetSeconds],""))</f>
      </c>
      <c r="I197">
        <f>IF([@Bib]="","",XLOOKUP([@Bib],tblStage3[Bib],tblStage3[NetSeconds],""))</f>
      </c>
      <c r="J197">
        <f>IF(COUNTA([@S1NetSec],[@S2NetSec],[@S3NetSec])=0,"",[@S1NetSec]+[@S2NetSec]+[@S3NetSec])</f>
      </c>
      <c r="K197" s="3">
        <f>IF([@TotalSec]="","",[@TotalSec]/86400)</f>
      </c>
      <c r="L197">
        <f>IF([@Status]&lt;&gt;"Active","",RANK([@TotalSec],FILTER(tblGC[TotalSec],tblGC[Status]="Active"),1))</f>
      </c>
    </row>
    <row r="198" spans="1:12" x14ac:dyDescent="0.25">
      <c r="A198">
        <f>IFERROR(INDEX(tblReg[Bib],ROW()-ROW(tblGC[#Headers])),"")</f>
      </c>
      <c r="B198">
        <f>IF([@Bib]="","",XLOOKUP([@Bib],tblReg[Bib],tblReg[Field],""))</f>
      </c>
      <c r="C198">
        <f>IF([@Bib]="","",XLOOKUP([@Bib],tblReg[Bib],tblReg[FirstName],""))</f>
      </c>
      <c r="D198">
        <f>IF([@Bib]="","",XLOOKUP([@Bib],tblReg[Bib],tblReg[LastName],""))</f>
      </c>
      <c r="E198">
        <f>IF([@Bib]="","",XLOOKUP([@Bib],tblReg[Bib],tblReg[Team],""))</f>
      </c>
      <c r="F198">
        <f>IF([@Bib]="","",XLOOKUP([@Bib],tblReg[Bib],tblReg[Status],""))</f>
      </c>
      <c r="G198">
        <f>IF([@Bib]="","",XLOOKUP([@Bib],tblStage1[Bib],tblStage1[NetSeconds],""))</f>
      </c>
      <c r="H198">
        <f>IF([@Bib]="","",XLOOKUP([@Bib],tblStage2[Bib],tblStage2[NetSeconds],""))</f>
      </c>
      <c r="I198">
        <f>IF([@Bib]="","",XLOOKUP([@Bib],tblStage3[Bib],tblStage3[NetSeconds],""))</f>
      </c>
      <c r="J198">
        <f>IF(COUNTA([@S1NetSec],[@S2NetSec],[@S3NetSec])=0,"",[@S1NetSec]+[@S2NetSec]+[@S3NetSec])</f>
      </c>
      <c r="K198" s="3">
        <f>IF([@TotalSec]="","",[@TotalSec]/86400)</f>
      </c>
      <c r="L198">
        <f>IF([@Status]&lt;&gt;"Active","",RANK([@TotalSec],FILTER(tblGC[TotalSec],tblGC[Status]="Active"),1))</f>
      </c>
    </row>
    <row r="199" spans="1:12" x14ac:dyDescent="0.25">
      <c r="A199">
        <f>IFERROR(INDEX(tblReg[Bib],ROW()-ROW(tblGC[#Headers])),"")</f>
      </c>
      <c r="B199">
        <f>IF([@Bib]="","",XLOOKUP([@Bib],tblReg[Bib],tblReg[Field],""))</f>
      </c>
      <c r="C199">
        <f>IF([@Bib]="","",XLOOKUP([@Bib],tblReg[Bib],tblReg[FirstName],""))</f>
      </c>
      <c r="D199">
        <f>IF([@Bib]="","",XLOOKUP([@Bib],tblReg[Bib],tblReg[LastName],""))</f>
      </c>
      <c r="E199">
        <f>IF([@Bib]="","",XLOOKUP([@Bib],tblReg[Bib],tblReg[Team],""))</f>
      </c>
      <c r="F199">
        <f>IF([@Bib]="","",XLOOKUP([@Bib],tblReg[Bib],tblReg[Status],""))</f>
      </c>
      <c r="G199">
        <f>IF([@Bib]="","",XLOOKUP([@Bib],tblStage1[Bib],tblStage1[NetSeconds],""))</f>
      </c>
      <c r="H199">
        <f>IF([@Bib]="","",XLOOKUP([@Bib],tblStage2[Bib],tblStage2[NetSeconds],""))</f>
      </c>
      <c r="I199">
        <f>IF([@Bib]="","",XLOOKUP([@Bib],tblStage3[Bib],tblStage3[NetSeconds],""))</f>
      </c>
      <c r="J199">
        <f>IF(COUNTA([@S1NetSec],[@S2NetSec],[@S3NetSec])=0,"",[@S1NetSec]+[@S2NetSec]+[@S3NetSec])</f>
      </c>
      <c r="K199" s="3">
        <f>IF([@TotalSec]="","",[@TotalSec]/86400)</f>
      </c>
      <c r="L199">
        <f>IF([@Status]&lt;&gt;"Active","",RANK([@TotalSec],FILTER(tblGC[TotalSec],tblGC[Status]="Active"),1))</f>
      </c>
    </row>
    <row r="200" spans="1:12" x14ac:dyDescent="0.25">
      <c r="A200">
        <f>IFERROR(INDEX(tblReg[Bib],ROW()-ROW(tblGC[#Headers])),"")</f>
      </c>
      <c r="B200">
        <f>IF([@Bib]="","",XLOOKUP([@Bib],tblReg[Bib],tblReg[Field],""))</f>
      </c>
      <c r="C200">
        <f>IF([@Bib]="","",XLOOKUP([@Bib],tblReg[Bib],tblReg[FirstName],""))</f>
      </c>
      <c r="D200">
        <f>IF([@Bib]="","",XLOOKUP([@Bib],tblReg[Bib],tblReg[LastName],""))</f>
      </c>
      <c r="E200">
        <f>IF([@Bib]="","",XLOOKUP([@Bib],tblReg[Bib],tblReg[Team],""))</f>
      </c>
      <c r="F200">
        <f>IF([@Bib]="","",XLOOKUP([@Bib],tblReg[Bib],tblReg[Status],""))</f>
      </c>
      <c r="G200">
        <f>IF([@Bib]="","",XLOOKUP([@Bib],tblStage1[Bib],tblStage1[NetSeconds],""))</f>
      </c>
      <c r="H200">
        <f>IF([@Bib]="","",XLOOKUP([@Bib],tblStage2[Bib],tblStage2[NetSeconds],""))</f>
      </c>
      <c r="I200">
        <f>IF([@Bib]="","",XLOOKUP([@Bib],tblStage3[Bib],tblStage3[NetSeconds],""))</f>
      </c>
      <c r="J200">
        <f>IF(COUNTA([@S1NetSec],[@S2NetSec],[@S3NetSec])=0,"",[@S1NetSec]+[@S2NetSec]+[@S3NetSec])</f>
      </c>
      <c r="K200" s="3">
        <f>IF([@TotalSec]="","",[@TotalSec]/86400)</f>
      </c>
      <c r="L200">
        <f>IF([@Status]&lt;&gt;"Active","",RANK([@TotalSec],FILTER(tblGC[TotalSec],tblGC[Status]="Active"),1))</f>
      </c>
    </row>
    <row r="201" spans="1:12" x14ac:dyDescent="0.25">
      <c r="A201">
        <f>IFERROR(INDEX(tblReg[Bib],ROW()-ROW(tblGC[#Headers])),"")</f>
      </c>
      <c r="B201">
        <f>IF([@Bib]="","",XLOOKUP([@Bib],tblReg[Bib],tblReg[Field],""))</f>
      </c>
      <c r="C201">
        <f>IF([@Bib]="","",XLOOKUP([@Bib],tblReg[Bib],tblReg[FirstName],""))</f>
      </c>
      <c r="D201">
        <f>IF([@Bib]="","",XLOOKUP([@Bib],tblReg[Bib],tblReg[LastName],""))</f>
      </c>
      <c r="E201">
        <f>IF([@Bib]="","",XLOOKUP([@Bib],tblReg[Bib],tblReg[Team],""))</f>
      </c>
      <c r="F201">
        <f>IF([@Bib]="","",XLOOKUP([@Bib],tblReg[Bib],tblReg[Status],""))</f>
      </c>
      <c r="G201">
        <f>IF([@Bib]="","",XLOOKUP([@Bib],tblStage1[Bib],tblStage1[NetSeconds],""))</f>
      </c>
      <c r="H201">
        <f>IF([@Bib]="","",XLOOKUP([@Bib],tblStage2[Bib],tblStage2[NetSeconds],""))</f>
      </c>
      <c r="I201">
        <f>IF([@Bib]="","",XLOOKUP([@Bib],tblStage3[Bib],tblStage3[NetSeconds],""))</f>
      </c>
      <c r="J201">
        <f>IF(COUNTA([@S1NetSec],[@S2NetSec],[@S3NetSec])=0,"",[@S1NetSec]+[@S2NetSec]+[@S3NetSec])</f>
      </c>
      <c r="K201" s="3">
        <f>IF([@TotalSec]="","",[@TotalSec]/86400)</f>
      </c>
      <c r="L201">
        <f>IF([@Status]&lt;&gt;"Active","",RANK([@TotalSec],FILTER(tblGC[TotalSec],tblGC[Status]="Active"),1))</f>
      </c>
    </row>
    <row r="230" spans="1:4" x14ac:dyDescent="0.25">
      <c r="A230" s="1" t="s">
        <v>30</v>
      </c>
      <c r="B230" s="1"/>
      <c r="C230" s="1"/>
      <c r="D230" s="1"/>
    </row>
    <row r="231" spans="1:1" x14ac:dyDescent="0.25">
      <c r="A231" t="s">
        <v>52</v>
      </c>
    </row>
    <row r="290" spans="1:4" x14ac:dyDescent="0.25">
      <c r="A290" s="1" t="s">
        <v>32</v>
      </c>
      <c r="B290" s="1"/>
      <c r="C290" s="1"/>
      <c r="D290" s="1"/>
    </row>
    <row r="291" spans="1:1" x14ac:dyDescent="0.25">
      <c r="A291" t="s">
        <v>53</v>
      </c>
    </row>
    <row r="350" spans="1:4" x14ac:dyDescent="0.25">
      <c r="A350" s="1" t="s">
        <v>34</v>
      </c>
      <c r="B350" s="1"/>
      <c r="C350" s="1"/>
      <c r="D350" s="1"/>
    </row>
    <row r="351" spans="1:1" x14ac:dyDescent="0.25">
      <c r="A351" t="s">
        <v>54</v>
      </c>
    </row>
    <row r="410" spans="1:4" x14ac:dyDescent="0.25">
      <c r="A410" s="1" t="s">
        <v>36</v>
      </c>
      <c r="B410" s="1"/>
      <c r="C410" s="1"/>
      <c r="D410" s="1"/>
    </row>
    <row r="411" spans="1:1" x14ac:dyDescent="0.25">
      <c r="A411" t="s">
        <v>55</v>
      </c>
    </row>
  </sheetData>
  <mergeCells count="4">
    <mergeCell ref="A230:D230"/>
    <mergeCell ref="A290:D290"/>
    <mergeCell ref="A350:D350"/>
    <mergeCell ref="A410:D410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4" width="14" customWidth="1"/>
    <col min="5" max="5" width="18" customWidth="1"/>
    <col min="6" max="13" width="14" customWidth="1"/>
  </cols>
  <sheetData>
    <row r="1" spans="1:5" x14ac:dyDescent="0.25">
      <c r="A1" s="1" t="s">
        <v>56</v>
      </c>
      <c r="B1" s="1"/>
      <c r="C1" s="1"/>
      <c r="D1" s="1"/>
      <c r="E1" s="1"/>
    </row>
    <row r="3" spans="1:4" x14ac:dyDescent="0.25">
      <c r="A3" s="1" t="s">
        <v>57</v>
      </c>
      <c r="D3" s="1" t="s">
        <v>58</v>
      </c>
    </row>
    <row r="4" spans="1:4" x14ac:dyDescent="0.25">
      <c r="A4" t="s">
        <v>18</v>
      </c>
      <c r="B4" t="s">
        <v>59</v>
      </c>
      <c r="C4" t="s">
        <v>23</v>
      </c>
      <c r="D4" s="4" t="s">
        <v>60</v>
      </c>
    </row>
    <row r="5" spans="1:4" x14ac:dyDescent="0.25">
      <c r="A5" t="s">
        <v>8</v>
      </c>
      <c r="B5">
        <f>COUNTIFS(tblReg[Field],A5)</f>
      </c>
      <c r="C5">
        <f>COUNTIFS(tblReg[Field],A5,tblReg[Status],"Active")</f>
      </c>
      <c r="D5" s="4" t="s">
        <v>61</v>
      </c>
    </row>
    <row r="6" spans="1:4" x14ac:dyDescent="0.25">
      <c r="A6" t="s">
        <v>9</v>
      </c>
      <c r="B6">
        <f>COUNTIFS(tblReg[Field],A6)</f>
      </c>
      <c r="C6">
        <f>COUNTIFS(tblReg[Field],A6,tblReg[Status],"Active")</f>
      </c>
      <c r="D6" s="4" t="s">
        <v>62</v>
      </c>
    </row>
    <row r="7" spans="1:4" x14ac:dyDescent="0.25">
      <c r="A7" t="s">
        <v>10</v>
      </c>
      <c r="B7">
        <f>COUNTIFS(tblReg[Field],A7)</f>
      </c>
      <c r="C7">
        <f>COUNTIFS(tblReg[Field],A7,tblReg[Status],"Active")</f>
      </c>
      <c r="D7" s="4" t="s">
        <v>63</v>
      </c>
    </row>
    <row r="8" spans="1:4" x14ac:dyDescent="0.25">
      <c r="A8" t="s">
        <v>11</v>
      </c>
      <c r="B8">
        <f>COUNTIFS(tblReg[Field],A8)</f>
      </c>
      <c r="C8">
        <f>COUNTIFS(tblReg[Field],A8,tblReg[Status],"Active")</f>
      </c>
      <c r="D8" s="4" t="s">
        <v>64</v>
      </c>
    </row>
    <row r="9" spans="4:4" x14ac:dyDescent="0.25">
      <c r="D9" s="4" t="s">
        <v>65</v>
      </c>
    </row>
    <row r="10" spans="4:4" x14ac:dyDescent="0.25">
      <c r="D10" s="4" t="s">
        <v>66</v>
      </c>
    </row>
    <row r="11" spans="1:1" x14ac:dyDescent="0.25">
      <c r="A11" s="1" t="s">
        <v>67</v>
      </c>
    </row>
    <row r="12" spans="1:4" x14ac:dyDescent="0.25">
      <c r="A12" t="s">
        <v>68</v>
      </c>
      <c r="B12" t="s">
        <v>69</v>
      </c>
      <c r="C12" t="s">
        <v>70</v>
      </c>
      <c r="D12" t="s">
        <v>71</v>
      </c>
    </row>
    <row r="13" spans="1:4" x14ac:dyDescent="0.25">
      <c r="A13" t="s">
        <v>72</v>
      </c>
      <c r="B13">
        <f>IFERROR(XLOOKUP(MIN(FILTER(tblStage1[NetSeconds],tblStage1[NetSeconds]&lt;&gt;"")),tblStage1[NetSeconds],tblStage1[Bib]),"")</f>
      </c>
      <c r="C13">
        <f>IF(B13="","",XLOOKUP(B13,tblReg[Bib],tblReg[FirstName]&amp;" "&amp;tblReg[LastName],""))</f>
      </c>
      <c r="D13" s="3">
        <f>IF(B13="","",MIN(FILTER(tblStage1[NetSeconds],tblStage1[NetSeconds]&lt;&gt;""))/86400)</f>
      </c>
    </row>
    <row r="14" spans="1:4" x14ac:dyDescent="0.25">
      <c r="A14" t="s">
        <v>73</v>
      </c>
      <c r="B14">
        <f>IFERROR(XLOOKUP(MIN(FILTER(tblStage2[NetSeconds],tblStage2[NetSeconds]&lt;&gt;"")),tblStage2[NetSeconds],tblStage2[Bib]),"")</f>
      </c>
      <c r="C14">
        <f>IF(B14="","",XLOOKUP(B14,tblReg[Bib],tblReg[FirstName]&amp;" "&amp;tblReg[LastName],""))</f>
      </c>
      <c r="D14" s="3">
        <f>IF(B14="","",MIN(FILTER(tblStage2[NetSeconds],tblStage2[NetSeconds]&lt;&gt;""))/86400)</f>
      </c>
    </row>
    <row r="15" spans="1:4" x14ac:dyDescent="0.25">
      <c r="A15" t="s">
        <v>74</v>
      </c>
      <c r="B15">
        <f>IFERROR(XLOOKUP(MIN(FILTER(tblStage3[NetSeconds],tblStage3[NetSeconds]&lt;&gt;"")),tblStage3[NetSeconds],tblStage3[Bib]),"")</f>
      </c>
      <c r="C15">
        <f>IF(B15="","",XLOOKUP(B15,tblReg[Bib],tblReg[FirstName]&amp;" "&amp;tblReg[LastName],""))</f>
      </c>
      <c r="D15" s="3">
        <f>IF(B15="","",MIN(FILTER(tblStage3[NetSeconds],tblStage3[NetSeconds]&lt;&gt;""))/86400)</f>
      </c>
    </row>
    <row r="18" spans="1:1" x14ac:dyDescent="0.25">
      <c r="A18" s="1" t="s">
        <v>75</v>
      </c>
    </row>
    <row r="19" spans="1:2" x14ac:dyDescent="0.25">
      <c r="A19" t="s">
        <v>69</v>
      </c>
      <c r="B19">
        <f>IFERROR(XLOOKUP(MIN(FILTER(tblGC[TotalSec],tblGC[Status]="Active")),tblGC[TotalSec],tblGC[Bib]),"")</f>
      </c>
    </row>
    <row r="20" spans="1:2" x14ac:dyDescent="0.25">
      <c r="A20" t="s">
        <v>70</v>
      </c>
      <c r="B20">
        <f>IF(B19="","",XLOOKUP(B19,tblReg[Bib],tblReg[FirstName]&amp;" "&amp;tblReg[LastName],""))</f>
      </c>
    </row>
    <row r="21" spans="1:2" x14ac:dyDescent="0.25">
      <c r="A21" t="s">
        <v>76</v>
      </c>
      <c r="B21" s="3">
        <f>IF(B19="","",MIN(FILTER(tblGC[TotalSec],tblGC[Status]="Active"))/86400)</f>
      </c>
    </row>
    <row r="23" spans="1:1" x14ac:dyDescent="0.25">
      <c r="A23" s="1" t="s">
        <v>77</v>
      </c>
    </row>
    <row r="24" spans="1:2" x14ac:dyDescent="0.25">
      <c r="A24" t="s">
        <v>78</v>
      </c>
      <c r="B24">
        <f>COUNTIF(tblReg[Bib],"RANGE FULL")</f>
      </c>
    </row>
    <row r="25" spans="1:2" x14ac:dyDescent="0.25">
      <c r="A25" t="s">
        <v>79</v>
      </c>
      <c r="B25">
        <f>COUNTIFS(tblStage1[Bib],"&lt;&gt;",tblStage1[StageTime],"")</f>
      </c>
    </row>
    <row r="26" spans="1:2" x14ac:dyDescent="0.25">
      <c r="A26" t="s">
        <v>80</v>
      </c>
      <c r="B26">
        <f>COUNTIFS(tblStage2[Bib],"&lt;&gt;",tblStage2[StageTime],"")</f>
      </c>
    </row>
    <row r="27" spans="1:2" x14ac:dyDescent="0.25">
      <c r="A27" t="s">
        <v>81</v>
      </c>
      <c r="B27">
        <f>COUNTIFS(tblStage3[Bib],"&lt;&gt;",tblStage3[StageTime],"")</f>
      </c>
    </row>
    <row r="28" spans="1:2" x14ac:dyDescent="0.25">
      <c r="A28" t="s">
        <v>82</v>
      </c>
      <c r="B28">
        <f>IFERROR(SUMPRODUCT(--(tblReg[Bib]&lt;&gt;""),--(COUNTIF(tblReg[Bib],tblReg[Bib])&gt;1))/2,0)</f>
      </c>
    </row>
  </sheetData>
  <mergeCells count="1">
    <mergeCell ref="A1:E1"/>
  </mergeCells>
  <hyperlinks>
    <hyperlink ref="D4" r:id="rId1" location="#'Config'!A1"/>
    <hyperlink ref="D5" r:id="rId2" location="#'Registration'!A1"/>
    <hyperlink ref="D6" r:id="rId3" location="#'Stage1'!A1"/>
    <hyperlink ref="D7" r:id="rId4" location="#'Stage2'!A1"/>
    <hyperlink ref="D8" r:id="rId5" location="#'Stage3'!A1"/>
    <hyperlink ref="D9" r:id="rId6" location="#'GC'!A1"/>
    <hyperlink ref="D10" r:id="rId7" location="#'Dashboar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</vt:lpstr>
      <vt:lpstr>Registration</vt:lpstr>
      <vt:lpstr>Stage1</vt:lpstr>
      <vt:lpstr>Stage2</vt:lpstr>
      <vt:lpstr>Stage3</vt:lpstr>
      <vt:lpstr>GC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dc:title/>
  <dc:subject/>
  <dc:description/>
  <cp:keywords/>
  <cp:category/>
  <cp:lastModifiedBy>Unknown</cp:lastModifiedBy>
  <dcterms:created xsi:type="dcterms:W3CDTF">2026-06-05T15:35:35Z</dcterms:created>
  <dcterms:modified xsi:type="dcterms:W3CDTF">2026-06-05T15:35:35Z</dcterms:modified>
</cp:coreProperties>
</file>