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026" codeName="{28389E77-7640-9E18-AD5C-E98E2F4A8B83}"/>
  <workbookPr filterPrivacy="1" codeName="ThisWorkbook"/>
  <xr:revisionPtr revIDLastSave="0" documentId="8_{B60DE09E-969B-4BC5-A979-817C4259E683}" xr6:coauthVersionLast="47" xr6:coauthVersionMax="47" xr10:uidLastSave="{00000000-0000-0000-0000-000000000000}"/>
  <workbookProtection workbookAlgorithmName="SHA-512" workbookHashValue="qa8ZaeE55A+Bs9NirSW7tL6Z2qNjSlGJUFa/3oYy/W4/kCwjVJ36gE4pRgNTqOSjlt/hu4UWsFhudnpEPoSUfQ==" workbookSaltValue="6fSpTQmIBZw3VjPbKVE/nA==" workbookSpinCount="100000" lockStructure="1"/>
  <bookViews>
    <workbookView xWindow="-120" yWindow="-120" windowWidth="38640" windowHeight="21120" xr2:uid="{00000000-000D-0000-FFFF-FFFF00000000}"/>
  </bookViews>
  <sheets>
    <sheet name="Config" sheetId="1" r:id="rId1"/>
    <sheet name="Registration" sheetId="2" r:id="rId2"/>
    <sheet name="Group Stage" sheetId="3" r:id="rId3"/>
    <sheet name="TT Stage" sheetId="4" r:id="rId4"/>
    <sheet name="Mountain Stage" sheetId="5" r:id="rId5"/>
    <sheet name="GC" sheetId="6" r:id="rId6"/>
    <sheet name="Dashboard" sheetId="7" r:id="rId7"/>
  </sheets>
  <definedNames>
    <definedName name="NavConfig">Config!$A$1</definedName>
    <definedName name="NavDashboard">Dashboard!$A$1</definedName>
    <definedName name="NavGC">GC!$A$1</definedName>
    <definedName name="NavRegistration">Registration!$A$1</definedName>
    <definedName name="NavStage1">'Group Stage'!$A$1</definedName>
    <definedName name="NavStage2">'TT Stage'!$A$1</definedName>
    <definedName name="NavStage3">'Mountain Stage'!$A$1</definedName>
    <definedName name="NumStages">Config!$B$11</definedName>
    <definedName name="TimeFormat">Config!$B$10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41" i="6" l="1"/>
  <c r="K41" i="6"/>
  <c r="J41" i="6"/>
  <c r="I41" i="6"/>
  <c r="H41" i="6"/>
  <c r="G41" i="6"/>
  <c r="F41" i="6"/>
  <c r="E41" i="6"/>
  <c r="D41" i="6"/>
  <c r="C41" i="6"/>
  <c r="B41" i="6"/>
  <c r="M40" i="6"/>
  <c r="K40" i="6"/>
  <c r="J40" i="6"/>
  <c r="I40" i="6"/>
  <c r="H40" i="6"/>
  <c r="G40" i="6"/>
  <c r="F40" i="6"/>
  <c r="E40" i="6"/>
  <c r="D40" i="6"/>
  <c r="C40" i="6"/>
  <c r="B40" i="6"/>
  <c r="M39" i="6"/>
  <c r="K39" i="6"/>
  <c r="J39" i="6"/>
  <c r="I39" i="6"/>
  <c r="H39" i="6"/>
  <c r="G39" i="6"/>
  <c r="F39" i="6"/>
  <c r="E39" i="6"/>
  <c r="D39" i="6"/>
  <c r="C39" i="6"/>
  <c r="B39" i="6"/>
  <c r="M38" i="6"/>
  <c r="K38" i="6"/>
  <c r="J38" i="6"/>
  <c r="I38" i="6"/>
  <c r="H38" i="6"/>
  <c r="G38" i="6"/>
  <c r="F38" i="6"/>
  <c r="E38" i="6"/>
  <c r="D38" i="6"/>
  <c r="C38" i="6"/>
  <c r="B38" i="6"/>
  <c r="M37" i="6"/>
  <c r="K37" i="6"/>
  <c r="J37" i="6"/>
  <c r="I37" i="6"/>
  <c r="H37" i="6"/>
  <c r="G37" i="6"/>
  <c r="F37" i="6"/>
  <c r="E37" i="6"/>
  <c r="D37" i="6"/>
  <c r="C37" i="6"/>
  <c r="B37" i="6"/>
  <c r="M36" i="6"/>
  <c r="K36" i="6"/>
  <c r="J36" i="6"/>
  <c r="I36" i="6"/>
  <c r="H36" i="6"/>
  <c r="G36" i="6"/>
  <c r="F36" i="6"/>
  <c r="E36" i="6"/>
  <c r="D36" i="6"/>
  <c r="C36" i="6"/>
  <c r="B36" i="6"/>
  <c r="M35" i="6"/>
  <c r="K35" i="6"/>
  <c r="J35" i="6"/>
  <c r="I35" i="6"/>
  <c r="H35" i="6"/>
  <c r="G35" i="6"/>
  <c r="F35" i="6"/>
  <c r="E35" i="6"/>
  <c r="D35" i="6"/>
  <c r="C35" i="6"/>
  <c r="B35" i="6"/>
  <c r="M34" i="6"/>
  <c r="K34" i="6"/>
  <c r="J34" i="6"/>
  <c r="I34" i="6"/>
  <c r="H34" i="6"/>
  <c r="G34" i="6"/>
  <c r="F34" i="6"/>
  <c r="E34" i="6"/>
  <c r="D34" i="6"/>
  <c r="C34" i="6"/>
  <c r="B34" i="6"/>
  <c r="M33" i="6"/>
  <c r="K33" i="6"/>
  <c r="J33" i="6"/>
  <c r="I33" i="6"/>
  <c r="H33" i="6"/>
  <c r="G33" i="6"/>
  <c r="F33" i="6"/>
  <c r="E33" i="6"/>
  <c r="D33" i="6"/>
  <c r="C33" i="6"/>
  <c r="B33" i="6"/>
  <c r="K32" i="6"/>
  <c r="J32" i="6"/>
  <c r="I32" i="6"/>
  <c r="H32" i="6"/>
  <c r="G32" i="6"/>
  <c r="F32" i="6"/>
  <c r="E32" i="6"/>
  <c r="D32" i="6"/>
  <c r="C32" i="6"/>
  <c r="B32" i="6"/>
  <c r="M31" i="6"/>
  <c r="K31" i="6"/>
  <c r="J31" i="6"/>
  <c r="I31" i="6"/>
  <c r="H31" i="6"/>
  <c r="G31" i="6"/>
  <c r="F31" i="6"/>
  <c r="E31" i="6"/>
  <c r="D31" i="6"/>
  <c r="C31" i="6"/>
  <c r="B31" i="6"/>
  <c r="K30" i="6"/>
  <c r="J30" i="6"/>
  <c r="I30" i="6"/>
  <c r="H30" i="6"/>
  <c r="G30" i="6"/>
  <c r="F30" i="6"/>
  <c r="E30" i="6"/>
  <c r="D30" i="6"/>
  <c r="C30" i="6"/>
  <c r="B30" i="6"/>
  <c r="M29" i="6"/>
  <c r="K29" i="6"/>
  <c r="J29" i="6"/>
  <c r="I29" i="6"/>
  <c r="H29" i="6"/>
  <c r="G29" i="6"/>
  <c r="F29" i="6"/>
  <c r="E29" i="6"/>
  <c r="D29" i="6"/>
  <c r="C29" i="6"/>
  <c r="B29" i="6"/>
  <c r="M28" i="6"/>
  <c r="K28" i="6"/>
  <c r="J28" i="6"/>
  <c r="I28" i="6"/>
  <c r="H28" i="6"/>
  <c r="G28" i="6"/>
  <c r="F28" i="6"/>
  <c r="E28" i="6"/>
  <c r="D28" i="6"/>
  <c r="C28" i="6"/>
  <c r="B28" i="6"/>
  <c r="M27" i="6"/>
  <c r="K27" i="6"/>
  <c r="J27" i="6"/>
  <c r="I27" i="6"/>
  <c r="H27" i="6"/>
  <c r="G27" i="6"/>
  <c r="F27" i="6"/>
  <c r="E27" i="6"/>
  <c r="D27" i="6"/>
  <c r="C27" i="6"/>
  <c r="B27" i="6"/>
  <c r="K26" i="6"/>
  <c r="J26" i="6"/>
  <c r="I26" i="6"/>
  <c r="H26" i="6"/>
  <c r="G26" i="6"/>
  <c r="F26" i="6"/>
  <c r="E26" i="6"/>
  <c r="D26" i="6"/>
  <c r="C26" i="6"/>
  <c r="B26" i="6"/>
  <c r="K25" i="6"/>
  <c r="J25" i="6"/>
  <c r="I25" i="6"/>
  <c r="H25" i="6"/>
  <c r="G25" i="6"/>
  <c r="F25" i="6"/>
  <c r="E25" i="6"/>
  <c r="D25" i="6"/>
  <c r="C25" i="6"/>
  <c r="B25" i="6"/>
  <c r="M24" i="6"/>
  <c r="K24" i="6"/>
  <c r="J24" i="6"/>
  <c r="I24" i="6"/>
  <c r="H24" i="6"/>
  <c r="G24" i="6"/>
  <c r="F24" i="6"/>
  <c r="E24" i="6"/>
  <c r="D24" i="6"/>
  <c r="C24" i="6"/>
  <c r="B24" i="6"/>
  <c r="M23" i="6"/>
  <c r="K23" i="6"/>
  <c r="J23" i="6"/>
  <c r="I23" i="6"/>
  <c r="H23" i="6"/>
  <c r="G23" i="6"/>
  <c r="F23" i="6"/>
  <c r="E23" i="6"/>
  <c r="D23" i="6"/>
  <c r="C23" i="6"/>
  <c r="B23" i="6"/>
  <c r="M22" i="6"/>
  <c r="K22" i="6"/>
  <c r="J22" i="6"/>
  <c r="I22" i="6"/>
  <c r="H22" i="6"/>
  <c r="G22" i="6"/>
  <c r="F22" i="6"/>
  <c r="E22" i="6"/>
  <c r="D22" i="6"/>
  <c r="C22" i="6"/>
  <c r="B22" i="6"/>
  <c r="M21" i="6"/>
  <c r="K21" i="6"/>
  <c r="J21" i="6"/>
  <c r="I21" i="6"/>
  <c r="H21" i="6"/>
  <c r="G21" i="6"/>
  <c r="F21" i="6"/>
  <c r="E21" i="6"/>
  <c r="D21" i="6"/>
  <c r="C21" i="6"/>
  <c r="B21" i="6"/>
  <c r="M20" i="6"/>
  <c r="K20" i="6"/>
  <c r="J20" i="6"/>
  <c r="I20" i="6"/>
  <c r="H20" i="6"/>
  <c r="G20" i="6"/>
  <c r="F20" i="6"/>
  <c r="E20" i="6"/>
  <c r="D20" i="6"/>
  <c r="C20" i="6"/>
  <c r="B20" i="6"/>
  <c r="M19" i="6"/>
  <c r="K19" i="6"/>
  <c r="J19" i="6"/>
  <c r="I19" i="6"/>
  <c r="H19" i="6"/>
  <c r="G19" i="6"/>
  <c r="F19" i="6"/>
  <c r="E19" i="6"/>
  <c r="D19" i="6"/>
  <c r="C19" i="6"/>
  <c r="B19" i="6"/>
  <c r="M18" i="6"/>
  <c r="K18" i="6"/>
  <c r="J18" i="6"/>
  <c r="I18" i="6"/>
  <c r="H18" i="6"/>
  <c r="G18" i="6"/>
  <c r="F18" i="6"/>
  <c r="E18" i="6"/>
  <c r="D18" i="6"/>
  <c r="C18" i="6"/>
  <c r="B18" i="6"/>
  <c r="K17" i="6"/>
  <c r="J17" i="6"/>
  <c r="I17" i="6"/>
  <c r="H17" i="6"/>
  <c r="G17" i="6"/>
  <c r="F17" i="6"/>
  <c r="E17" i="6"/>
  <c r="D17" i="6"/>
  <c r="C17" i="6"/>
  <c r="B17" i="6"/>
  <c r="M16" i="6"/>
  <c r="K16" i="6"/>
  <c r="J16" i="6"/>
  <c r="I16" i="6"/>
  <c r="H16" i="6"/>
  <c r="G16" i="6"/>
  <c r="F16" i="6"/>
  <c r="E16" i="6"/>
  <c r="D16" i="6"/>
  <c r="C16" i="6"/>
  <c r="B16" i="6"/>
  <c r="K15" i="6"/>
  <c r="J15" i="6"/>
  <c r="I15" i="6"/>
  <c r="H15" i="6"/>
  <c r="G15" i="6"/>
  <c r="F15" i="6"/>
  <c r="E15" i="6"/>
  <c r="D15" i="6"/>
  <c r="C15" i="6"/>
  <c r="B15" i="6"/>
  <c r="K14" i="6"/>
  <c r="J14" i="6"/>
  <c r="I14" i="6"/>
  <c r="H14" i="6"/>
  <c r="G14" i="6"/>
  <c r="F14" i="6"/>
  <c r="E14" i="6"/>
  <c r="D14" i="6"/>
  <c r="C14" i="6"/>
  <c r="B14" i="6"/>
  <c r="K13" i="6"/>
  <c r="J13" i="6"/>
  <c r="I13" i="6"/>
  <c r="H13" i="6"/>
  <c r="G13" i="6"/>
  <c r="F13" i="6"/>
  <c r="E13" i="6"/>
  <c r="D13" i="6"/>
  <c r="C13" i="6"/>
  <c r="B13" i="6"/>
  <c r="K12" i="6"/>
  <c r="J12" i="6"/>
  <c r="I12" i="6"/>
  <c r="H12" i="6"/>
  <c r="G12" i="6"/>
  <c r="F12" i="6"/>
  <c r="E12" i="6"/>
  <c r="D12" i="6"/>
  <c r="C12" i="6"/>
  <c r="B12" i="6"/>
  <c r="M11" i="6"/>
  <c r="K11" i="6"/>
  <c r="J11" i="6"/>
  <c r="I11" i="6"/>
  <c r="H11" i="6"/>
  <c r="G11" i="6"/>
  <c r="F11" i="6"/>
  <c r="E11" i="6"/>
  <c r="D11" i="6"/>
  <c r="C11" i="6"/>
  <c r="B11" i="6"/>
  <c r="M10" i="6"/>
  <c r="K10" i="6"/>
  <c r="J10" i="6"/>
  <c r="I10" i="6"/>
  <c r="H10" i="6"/>
  <c r="G10" i="6"/>
  <c r="F10" i="6"/>
  <c r="E10" i="6"/>
  <c r="D10" i="6"/>
  <c r="C10" i="6"/>
  <c r="B10" i="6"/>
  <c r="M9" i="6"/>
  <c r="K9" i="6"/>
  <c r="J9" i="6"/>
  <c r="I9" i="6"/>
  <c r="H9" i="6"/>
  <c r="G9" i="6"/>
  <c r="F9" i="6"/>
  <c r="E9" i="6"/>
  <c r="D9" i="6"/>
  <c r="C9" i="6"/>
  <c r="B9" i="6"/>
  <c r="K8" i="6"/>
  <c r="J8" i="6"/>
  <c r="I8" i="6"/>
  <c r="H8" i="6"/>
  <c r="G8" i="6"/>
  <c r="F8" i="6"/>
  <c r="E8" i="6"/>
  <c r="D8" i="6"/>
  <c r="C8" i="6"/>
  <c r="B8" i="6"/>
  <c r="K7" i="6"/>
  <c r="J7" i="6"/>
  <c r="I7" i="6"/>
  <c r="H7" i="6"/>
  <c r="G7" i="6"/>
  <c r="F7" i="6"/>
  <c r="E7" i="6"/>
  <c r="D7" i="6"/>
  <c r="C7" i="6"/>
  <c r="B7" i="6"/>
  <c r="K6" i="6"/>
  <c r="J6" i="6"/>
  <c r="I6" i="6"/>
  <c r="H6" i="6"/>
  <c r="G6" i="6"/>
  <c r="F6" i="6"/>
  <c r="E6" i="6"/>
  <c r="D6" i="6"/>
  <c r="C6" i="6"/>
  <c r="B6" i="6"/>
  <c r="K5" i="6"/>
  <c r="J5" i="6"/>
  <c r="I5" i="6"/>
  <c r="H5" i="6"/>
  <c r="G5" i="6"/>
  <c r="F5" i="6"/>
  <c r="E5" i="6"/>
  <c r="D5" i="6"/>
  <c r="C5" i="6"/>
  <c r="B5" i="6"/>
  <c r="K4" i="6"/>
  <c r="J4" i="6"/>
  <c r="I4" i="6"/>
  <c r="H4" i="6"/>
  <c r="G4" i="6"/>
  <c r="F4" i="6"/>
  <c r="E4" i="6"/>
  <c r="D4" i="6"/>
  <c r="C4" i="6"/>
  <c r="B4" i="6"/>
  <c r="K3" i="6"/>
  <c r="J3" i="6"/>
  <c r="I3" i="6"/>
  <c r="H3" i="6"/>
  <c r="G3" i="6"/>
  <c r="F3" i="6"/>
  <c r="E3" i="6"/>
  <c r="D3" i="6"/>
  <c r="C3" i="6"/>
  <c r="B3" i="6"/>
  <c r="K2" i="6"/>
  <c r="J2" i="6"/>
  <c r="I2" i="6"/>
  <c r="H2" i="6"/>
  <c r="G2" i="6"/>
  <c r="F2" i="6"/>
  <c r="E2" i="6"/>
  <c r="D2" i="6"/>
  <c r="C2" i="6"/>
  <c r="B2" i="6"/>
  <c r="B42" i="7"/>
  <c r="B41" i="7"/>
  <c r="B40" i="7"/>
  <c r="B39" i="7"/>
  <c r="B38" i="7"/>
  <c r="B32" i="7"/>
  <c r="B29" i="7"/>
  <c r="B28" i="7"/>
  <c r="B27" i="7"/>
  <c r="B26" i="7"/>
  <c r="B8" i="7"/>
  <c r="B7" i="7"/>
  <c r="B6" i="7"/>
  <c r="B5" i="7"/>
  <c r="L251" i="5"/>
  <c r="G251" i="5"/>
  <c r="E251" i="5"/>
  <c r="D251" i="5"/>
  <c r="C251" i="5"/>
  <c r="B251" i="5"/>
  <c r="L250" i="5"/>
  <c r="G250" i="5"/>
  <c r="E250" i="5"/>
  <c r="D250" i="5"/>
  <c r="C250" i="5"/>
  <c r="B250" i="5"/>
  <c r="L249" i="5"/>
  <c r="G249" i="5"/>
  <c r="E249" i="5"/>
  <c r="D249" i="5"/>
  <c r="C249" i="5"/>
  <c r="B249" i="5"/>
  <c r="L248" i="5"/>
  <c r="G248" i="5"/>
  <c r="E248" i="5"/>
  <c r="D248" i="5"/>
  <c r="C248" i="5"/>
  <c r="B248" i="5"/>
  <c r="L247" i="5"/>
  <c r="G247" i="5"/>
  <c r="E247" i="5"/>
  <c r="D247" i="5"/>
  <c r="C247" i="5"/>
  <c r="B247" i="5"/>
  <c r="L246" i="5"/>
  <c r="G246" i="5"/>
  <c r="E246" i="5"/>
  <c r="D246" i="5"/>
  <c r="C246" i="5"/>
  <c r="B246" i="5"/>
  <c r="L245" i="5"/>
  <c r="G245" i="5"/>
  <c r="E245" i="5"/>
  <c r="D245" i="5"/>
  <c r="C245" i="5"/>
  <c r="B245" i="5"/>
  <c r="L244" i="5"/>
  <c r="G244" i="5"/>
  <c r="E244" i="5"/>
  <c r="D244" i="5"/>
  <c r="C244" i="5"/>
  <c r="B244" i="5"/>
  <c r="L243" i="5"/>
  <c r="G243" i="5"/>
  <c r="E243" i="5"/>
  <c r="D243" i="5"/>
  <c r="C243" i="5"/>
  <c r="B243" i="5"/>
  <c r="L242" i="5"/>
  <c r="G242" i="5"/>
  <c r="E242" i="5"/>
  <c r="D242" i="5"/>
  <c r="C242" i="5"/>
  <c r="B242" i="5"/>
  <c r="L241" i="5"/>
  <c r="G241" i="5"/>
  <c r="E241" i="5"/>
  <c r="D241" i="5"/>
  <c r="C241" i="5"/>
  <c r="B241" i="5"/>
  <c r="L240" i="5"/>
  <c r="G240" i="5"/>
  <c r="E240" i="5"/>
  <c r="D240" i="5"/>
  <c r="C240" i="5"/>
  <c r="B240" i="5"/>
  <c r="L239" i="5"/>
  <c r="G239" i="5"/>
  <c r="E239" i="5"/>
  <c r="D239" i="5"/>
  <c r="C239" i="5"/>
  <c r="B239" i="5"/>
  <c r="L238" i="5"/>
  <c r="G238" i="5"/>
  <c r="E238" i="5"/>
  <c r="D238" i="5"/>
  <c r="C238" i="5"/>
  <c r="B238" i="5"/>
  <c r="L237" i="5"/>
  <c r="G237" i="5"/>
  <c r="E237" i="5"/>
  <c r="D237" i="5"/>
  <c r="C237" i="5"/>
  <c r="B237" i="5"/>
  <c r="L236" i="5"/>
  <c r="G236" i="5"/>
  <c r="E236" i="5"/>
  <c r="D236" i="5"/>
  <c r="C236" i="5"/>
  <c r="B236" i="5"/>
  <c r="L235" i="5"/>
  <c r="G235" i="5"/>
  <c r="E235" i="5"/>
  <c r="D235" i="5"/>
  <c r="C235" i="5"/>
  <c r="B235" i="5"/>
  <c r="L234" i="5"/>
  <c r="G234" i="5"/>
  <c r="E234" i="5"/>
  <c r="D234" i="5"/>
  <c r="C234" i="5"/>
  <c r="B234" i="5"/>
  <c r="L233" i="5"/>
  <c r="G233" i="5"/>
  <c r="E233" i="5"/>
  <c r="D233" i="5"/>
  <c r="C233" i="5"/>
  <c r="B233" i="5"/>
  <c r="L232" i="5"/>
  <c r="G232" i="5"/>
  <c r="E232" i="5"/>
  <c r="D232" i="5"/>
  <c r="C232" i="5"/>
  <c r="B232" i="5"/>
  <c r="L231" i="5"/>
  <c r="G231" i="5"/>
  <c r="E231" i="5"/>
  <c r="D231" i="5"/>
  <c r="C231" i="5"/>
  <c r="B231" i="5"/>
  <c r="L230" i="5"/>
  <c r="G230" i="5"/>
  <c r="E230" i="5"/>
  <c r="D230" i="5"/>
  <c r="C230" i="5"/>
  <c r="B230" i="5"/>
  <c r="L229" i="5"/>
  <c r="G229" i="5"/>
  <c r="E229" i="5"/>
  <c r="D229" i="5"/>
  <c r="C229" i="5"/>
  <c r="B229" i="5"/>
  <c r="L228" i="5"/>
  <c r="G228" i="5"/>
  <c r="E228" i="5"/>
  <c r="D228" i="5"/>
  <c r="C228" i="5"/>
  <c r="B228" i="5"/>
  <c r="L227" i="5"/>
  <c r="G227" i="5"/>
  <c r="E227" i="5"/>
  <c r="D227" i="5"/>
  <c r="C227" i="5"/>
  <c r="B227" i="5"/>
  <c r="L226" i="5"/>
  <c r="G226" i="5"/>
  <c r="E226" i="5"/>
  <c r="D226" i="5"/>
  <c r="C226" i="5"/>
  <c r="B226" i="5"/>
  <c r="L225" i="5"/>
  <c r="G225" i="5"/>
  <c r="E225" i="5"/>
  <c r="D225" i="5"/>
  <c r="C225" i="5"/>
  <c r="B225" i="5"/>
  <c r="L224" i="5"/>
  <c r="G224" i="5"/>
  <c r="E224" i="5"/>
  <c r="D224" i="5"/>
  <c r="C224" i="5"/>
  <c r="B224" i="5"/>
  <c r="L223" i="5"/>
  <c r="G223" i="5"/>
  <c r="E223" i="5"/>
  <c r="D223" i="5"/>
  <c r="C223" i="5"/>
  <c r="B223" i="5"/>
  <c r="L222" i="5"/>
  <c r="G222" i="5"/>
  <c r="E222" i="5"/>
  <c r="D222" i="5"/>
  <c r="C222" i="5"/>
  <c r="B222" i="5"/>
  <c r="L221" i="5"/>
  <c r="G221" i="5"/>
  <c r="E221" i="5"/>
  <c r="D221" i="5"/>
  <c r="C221" i="5"/>
  <c r="B221" i="5"/>
  <c r="L220" i="5"/>
  <c r="G220" i="5"/>
  <c r="E220" i="5"/>
  <c r="D220" i="5"/>
  <c r="C220" i="5"/>
  <c r="B220" i="5"/>
  <c r="L219" i="5"/>
  <c r="G219" i="5"/>
  <c r="E219" i="5"/>
  <c r="D219" i="5"/>
  <c r="C219" i="5"/>
  <c r="B219" i="5"/>
  <c r="L218" i="5"/>
  <c r="G218" i="5"/>
  <c r="E218" i="5"/>
  <c r="D218" i="5"/>
  <c r="C218" i="5"/>
  <c r="B218" i="5"/>
  <c r="L217" i="5"/>
  <c r="G217" i="5"/>
  <c r="E217" i="5"/>
  <c r="D217" i="5"/>
  <c r="C217" i="5"/>
  <c r="B217" i="5"/>
  <c r="L216" i="5"/>
  <c r="G216" i="5"/>
  <c r="E216" i="5"/>
  <c r="D216" i="5"/>
  <c r="C216" i="5"/>
  <c r="B216" i="5"/>
  <c r="L215" i="5"/>
  <c r="G215" i="5"/>
  <c r="E215" i="5"/>
  <c r="D215" i="5"/>
  <c r="C215" i="5"/>
  <c r="B215" i="5"/>
  <c r="L214" i="5"/>
  <c r="G214" i="5"/>
  <c r="E214" i="5"/>
  <c r="D214" i="5"/>
  <c r="C214" i="5"/>
  <c r="B214" i="5"/>
  <c r="L213" i="5"/>
  <c r="G213" i="5"/>
  <c r="E213" i="5"/>
  <c r="D213" i="5"/>
  <c r="C213" i="5"/>
  <c r="B213" i="5"/>
  <c r="L212" i="5"/>
  <c r="G212" i="5"/>
  <c r="E212" i="5"/>
  <c r="D212" i="5"/>
  <c r="C212" i="5"/>
  <c r="B212" i="5"/>
  <c r="L211" i="5"/>
  <c r="G211" i="5"/>
  <c r="E211" i="5"/>
  <c r="D211" i="5"/>
  <c r="C211" i="5"/>
  <c r="B211" i="5"/>
  <c r="L210" i="5"/>
  <c r="G210" i="5"/>
  <c r="E210" i="5"/>
  <c r="D210" i="5"/>
  <c r="C210" i="5"/>
  <c r="B210" i="5"/>
  <c r="L209" i="5"/>
  <c r="G209" i="5"/>
  <c r="E209" i="5"/>
  <c r="D209" i="5"/>
  <c r="C209" i="5"/>
  <c r="B209" i="5"/>
  <c r="L208" i="5"/>
  <c r="G208" i="5"/>
  <c r="E208" i="5"/>
  <c r="D208" i="5"/>
  <c r="C208" i="5"/>
  <c r="B208" i="5"/>
  <c r="L207" i="5"/>
  <c r="G207" i="5"/>
  <c r="E207" i="5"/>
  <c r="D207" i="5"/>
  <c r="C207" i="5"/>
  <c r="B207" i="5"/>
  <c r="L206" i="5"/>
  <c r="G206" i="5"/>
  <c r="E206" i="5"/>
  <c r="D206" i="5"/>
  <c r="C206" i="5"/>
  <c r="B206" i="5"/>
  <c r="L205" i="5"/>
  <c r="G205" i="5"/>
  <c r="E205" i="5"/>
  <c r="D205" i="5"/>
  <c r="C205" i="5"/>
  <c r="B205" i="5"/>
  <c r="L204" i="5"/>
  <c r="G204" i="5"/>
  <c r="E204" i="5"/>
  <c r="D204" i="5"/>
  <c r="C204" i="5"/>
  <c r="B204" i="5"/>
  <c r="L203" i="5"/>
  <c r="G203" i="5"/>
  <c r="E203" i="5"/>
  <c r="D203" i="5"/>
  <c r="C203" i="5"/>
  <c r="B203" i="5"/>
  <c r="L202" i="5"/>
  <c r="G202" i="5"/>
  <c r="E202" i="5"/>
  <c r="D202" i="5"/>
  <c r="C202" i="5"/>
  <c r="B202" i="5"/>
  <c r="L201" i="5"/>
  <c r="G201" i="5"/>
  <c r="E201" i="5"/>
  <c r="D201" i="5"/>
  <c r="C201" i="5"/>
  <c r="B201" i="5"/>
  <c r="L200" i="5"/>
  <c r="G200" i="5"/>
  <c r="E200" i="5"/>
  <c r="D200" i="5"/>
  <c r="C200" i="5"/>
  <c r="B200" i="5"/>
  <c r="L199" i="5"/>
  <c r="G199" i="5"/>
  <c r="E199" i="5"/>
  <c r="D199" i="5"/>
  <c r="C199" i="5"/>
  <c r="B199" i="5"/>
  <c r="L198" i="5"/>
  <c r="G198" i="5"/>
  <c r="E198" i="5"/>
  <c r="D198" i="5"/>
  <c r="C198" i="5"/>
  <c r="B198" i="5"/>
  <c r="L197" i="5"/>
  <c r="G197" i="5"/>
  <c r="E197" i="5"/>
  <c r="D197" i="5"/>
  <c r="C197" i="5"/>
  <c r="B197" i="5"/>
  <c r="L196" i="5"/>
  <c r="G196" i="5"/>
  <c r="E196" i="5"/>
  <c r="D196" i="5"/>
  <c r="C196" i="5"/>
  <c r="B196" i="5"/>
  <c r="L195" i="5"/>
  <c r="G195" i="5"/>
  <c r="E195" i="5"/>
  <c r="D195" i="5"/>
  <c r="C195" i="5"/>
  <c r="B195" i="5"/>
  <c r="L194" i="5"/>
  <c r="G194" i="5"/>
  <c r="E194" i="5"/>
  <c r="D194" i="5"/>
  <c r="C194" i="5"/>
  <c r="B194" i="5"/>
  <c r="L193" i="5"/>
  <c r="G193" i="5"/>
  <c r="E193" i="5"/>
  <c r="D193" i="5"/>
  <c r="C193" i="5"/>
  <c r="B193" i="5"/>
  <c r="L192" i="5"/>
  <c r="G192" i="5"/>
  <c r="E192" i="5"/>
  <c r="D192" i="5"/>
  <c r="C192" i="5"/>
  <c r="B192" i="5"/>
  <c r="L191" i="5"/>
  <c r="G191" i="5"/>
  <c r="E191" i="5"/>
  <c r="D191" i="5"/>
  <c r="C191" i="5"/>
  <c r="B191" i="5"/>
  <c r="L190" i="5"/>
  <c r="G190" i="5"/>
  <c r="E190" i="5"/>
  <c r="D190" i="5"/>
  <c r="C190" i="5"/>
  <c r="B190" i="5"/>
  <c r="L189" i="5"/>
  <c r="G189" i="5"/>
  <c r="E189" i="5"/>
  <c r="D189" i="5"/>
  <c r="C189" i="5"/>
  <c r="B189" i="5"/>
  <c r="L188" i="5"/>
  <c r="G188" i="5"/>
  <c r="E188" i="5"/>
  <c r="D188" i="5"/>
  <c r="C188" i="5"/>
  <c r="B188" i="5"/>
  <c r="L187" i="5"/>
  <c r="G187" i="5"/>
  <c r="E187" i="5"/>
  <c r="D187" i="5"/>
  <c r="C187" i="5"/>
  <c r="B187" i="5"/>
  <c r="L186" i="5"/>
  <c r="G186" i="5"/>
  <c r="E186" i="5"/>
  <c r="D186" i="5"/>
  <c r="C186" i="5"/>
  <c r="B186" i="5"/>
  <c r="L185" i="5"/>
  <c r="G185" i="5"/>
  <c r="E185" i="5"/>
  <c r="D185" i="5"/>
  <c r="C185" i="5"/>
  <c r="B185" i="5"/>
  <c r="L184" i="5"/>
  <c r="G184" i="5"/>
  <c r="E184" i="5"/>
  <c r="D184" i="5"/>
  <c r="C184" i="5"/>
  <c r="B184" i="5"/>
  <c r="L183" i="5"/>
  <c r="G183" i="5"/>
  <c r="E183" i="5"/>
  <c r="D183" i="5"/>
  <c r="C183" i="5"/>
  <c r="B183" i="5"/>
  <c r="L182" i="5"/>
  <c r="G182" i="5"/>
  <c r="E182" i="5"/>
  <c r="D182" i="5"/>
  <c r="C182" i="5"/>
  <c r="B182" i="5"/>
  <c r="L181" i="5"/>
  <c r="G181" i="5"/>
  <c r="E181" i="5"/>
  <c r="D181" i="5"/>
  <c r="C181" i="5"/>
  <c r="B181" i="5"/>
  <c r="L180" i="5"/>
  <c r="G180" i="5"/>
  <c r="E180" i="5"/>
  <c r="D180" i="5"/>
  <c r="C180" i="5"/>
  <c r="B180" i="5"/>
  <c r="L179" i="5"/>
  <c r="G179" i="5"/>
  <c r="E179" i="5"/>
  <c r="D179" i="5"/>
  <c r="C179" i="5"/>
  <c r="B179" i="5"/>
  <c r="L178" i="5"/>
  <c r="G178" i="5"/>
  <c r="E178" i="5"/>
  <c r="D178" i="5"/>
  <c r="C178" i="5"/>
  <c r="B178" i="5"/>
  <c r="L177" i="5"/>
  <c r="G177" i="5"/>
  <c r="E177" i="5"/>
  <c r="D177" i="5"/>
  <c r="C177" i="5"/>
  <c r="B177" i="5"/>
  <c r="L176" i="5"/>
  <c r="G176" i="5"/>
  <c r="E176" i="5"/>
  <c r="D176" i="5"/>
  <c r="C176" i="5"/>
  <c r="B176" i="5"/>
  <c r="L175" i="5"/>
  <c r="G175" i="5"/>
  <c r="E175" i="5"/>
  <c r="D175" i="5"/>
  <c r="C175" i="5"/>
  <c r="B175" i="5"/>
  <c r="L174" i="5"/>
  <c r="G174" i="5"/>
  <c r="E174" i="5"/>
  <c r="D174" i="5"/>
  <c r="C174" i="5"/>
  <c r="B174" i="5"/>
  <c r="L173" i="5"/>
  <c r="G173" i="5"/>
  <c r="E173" i="5"/>
  <c r="D173" i="5"/>
  <c r="C173" i="5"/>
  <c r="B173" i="5"/>
  <c r="L172" i="5"/>
  <c r="G172" i="5"/>
  <c r="E172" i="5"/>
  <c r="D172" i="5"/>
  <c r="C172" i="5"/>
  <c r="B172" i="5"/>
  <c r="L171" i="5"/>
  <c r="G171" i="5"/>
  <c r="E171" i="5"/>
  <c r="D171" i="5"/>
  <c r="C171" i="5"/>
  <c r="B171" i="5"/>
  <c r="L170" i="5"/>
  <c r="G170" i="5"/>
  <c r="E170" i="5"/>
  <c r="D170" i="5"/>
  <c r="C170" i="5"/>
  <c r="B170" i="5"/>
  <c r="L169" i="5"/>
  <c r="G169" i="5"/>
  <c r="E169" i="5"/>
  <c r="D169" i="5"/>
  <c r="C169" i="5"/>
  <c r="B169" i="5"/>
  <c r="L168" i="5"/>
  <c r="G168" i="5"/>
  <c r="E168" i="5"/>
  <c r="D168" i="5"/>
  <c r="C168" i="5"/>
  <c r="B168" i="5"/>
  <c r="L167" i="5"/>
  <c r="G167" i="5"/>
  <c r="E167" i="5"/>
  <c r="D167" i="5"/>
  <c r="C167" i="5"/>
  <c r="B167" i="5"/>
  <c r="L166" i="5"/>
  <c r="G166" i="5"/>
  <c r="E166" i="5"/>
  <c r="D166" i="5"/>
  <c r="C166" i="5"/>
  <c r="B166" i="5"/>
  <c r="L165" i="5"/>
  <c r="G165" i="5"/>
  <c r="E165" i="5"/>
  <c r="D165" i="5"/>
  <c r="C165" i="5"/>
  <c r="B165" i="5"/>
  <c r="L164" i="5"/>
  <c r="G164" i="5"/>
  <c r="E164" i="5"/>
  <c r="D164" i="5"/>
  <c r="C164" i="5"/>
  <c r="B164" i="5"/>
  <c r="L163" i="5"/>
  <c r="G163" i="5"/>
  <c r="E163" i="5"/>
  <c r="D163" i="5"/>
  <c r="C163" i="5"/>
  <c r="B163" i="5"/>
  <c r="L162" i="5"/>
  <c r="G162" i="5"/>
  <c r="E162" i="5"/>
  <c r="D162" i="5"/>
  <c r="C162" i="5"/>
  <c r="B162" i="5"/>
  <c r="L161" i="5"/>
  <c r="G161" i="5"/>
  <c r="E161" i="5"/>
  <c r="D161" i="5"/>
  <c r="C161" i="5"/>
  <c r="B161" i="5"/>
  <c r="L160" i="5"/>
  <c r="G160" i="5"/>
  <c r="E160" i="5"/>
  <c r="D160" i="5"/>
  <c r="C160" i="5"/>
  <c r="B160" i="5"/>
  <c r="L159" i="5"/>
  <c r="G159" i="5"/>
  <c r="E159" i="5"/>
  <c r="D159" i="5"/>
  <c r="C159" i="5"/>
  <c r="B159" i="5"/>
  <c r="L158" i="5"/>
  <c r="G158" i="5"/>
  <c r="E158" i="5"/>
  <c r="D158" i="5"/>
  <c r="C158" i="5"/>
  <c r="B158" i="5"/>
  <c r="L157" i="5"/>
  <c r="G157" i="5"/>
  <c r="E157" i="5"/>
  <c r="D157" i="5"/>
  <c r="C157" i="5"/>
  <c r="B157" i="5"/>
  <c r="L156" i="5"/>
  <c r="G156" i="5"/>
  <c r="E156" i="5"/>
  <c r="D156" i="5"/>
  <c r="C156" i="5"/>
  <c r="B156" i="5"/>
  <c r="L155" i="5"/>
  <c r="G155" i="5"/>
  <c r="E155" i="5"/>
  <c r="D155" i="5"/>
  <c r="C155" i="5"/>
  <c r="B155" i="5"/>
  <c r="L154" i="5"/>
  <c r="G154" i="5"/>
  <c r="E154" i="5"/>
  <c r="D154" i="5"/>
  <c r="C154" i="5"/>
  <c r="B154" i="5"/>
  <c r="L153" i="5"/>
  <c r="G153" i="5"/>
  <c r="E153" i="5"/>
  <c r="D153" i="5"/>
  <c r="C153" i="5"/>
  <c r="B153" i="5"/>
  <c r="L152" i="5"/>
  <c r="G152" i="5"/>
  <c r="E152" i="5"/>
  <c r="D152" i="5"/>
  <c r="C152" i="5"/>
  <c r="B152" i="5"/>
  <c r="L151" i="5"/>
  <c r="G151" i="5"/>
  <c r="E151" i="5"/>
  <c r="D151" i="5"/>
  <c r="C151" i="5"/>
  <c r="B151" i="5"/>
  <c r="L150" i="5"/>
  <c r="G150" i="5"/>
  <c r="E150" i="5"/>
  <c r="D150" i="5"/>
  <c r="C150" i="5"/>
  <c r="B150" i="5"/>
  <c r="L149" i="5"/>
  <c r="G149" i="5"/>
  <c r="E149" i="5"/>
  <c r="D149" i="5"/>
  <c r="C149" i="5"/>
  <c r="B149" i="5"/>
  <c r="L148" i="5"/>
  <c r="G148" i="5"/>
  <c r="E148" i="5"/>
  <c r="D148" i="5"/>
  <c r="C148" i="5"/>
  <c r="B148" i="5"/>
  <c r="L147" i="5"/>
  <c r="G147" i="5"/>
  <c r="E147" i="5"/>
  <c r="D147" i="5"/>
  <c r="C147" i="5"/>
  <c r="B147" i="5"/>
  <c r="L146" i="5"/>
  <c r="G146" i="5"/>
  <c r="E146" i="5"/>
  <c r="D146" i="5"/>
  <c r="C146" i="5"/>
  <c r="B146" i="5"/>
  <c r="L145" i="5"/>
  <c r="G145" i="5"/>
  <c r="E145" i="5"/>
  <c r="D145" i="5"/>
  <c r="C145" i="5"/>
  <c r="B145" i="5"/>
  <c r="L144" i="5"/>
  <c r="G144" i="5"/>
  <c r="E144" i="5"/>
  <c r="D144" i="5"/>
  <c r="C144" i="5"/>
  <c r="B144" i="5"/>
  <c r="L143" i="5"/>
  <c r="G143" i="5"/>
  <c r="E143" i="5"/>
  <c r="D143" i="5"/>
  <c r="C143" i="5"/>
  <c r="B143" i="5"/>
  <c r="L142" i="5"/>
  <c r="G142" i="5"/>
  <c r="E142" i="5"/>
  <c r="D142" i="5"/>
  <c r="C142" i="5"/>
  <c r="B142" i="5"/>
  <c r="L141" i="5"/>
  <c r="G141" i="5"/>
  <c r="E141" i="5"/>
  <c r="D141" i="5"/>
  <c r="C141" i="5"/>
  <c r="B141" i="5"/>
  <c r="L140" i="5"/>
  <c r="G140" i="5"/>
  <c r="E140" i="5"/>
  <c r="D140" i="5"/>
  <c r="C140" i="5"/>
  <c r="B140" i="5"/>
  <c r="L139" i="5"/>
  <c r="G139" i="5"/>
  <c r="E139" i="5"/>
  <c r="D139" i="5"/>
  <c r="C139" i="5"/>
  <c r="B139" i="5"/>
  <c r="L138" i="5"/>
  <c r="G138" i="5"/>
  <c r="E138" i="5"/>
  <c r="D138" i="5"/>
  <c r="C138" i="5"/>
  <c r="B138" i="5"/>
  <c r="L137" i="5"/>
  <c r="G137" i="5"/>
  <c r="E137" i="5"/>
  <c r="D137" i="5"/>
  <c r="C137" i="5"/>
  <c r="B137" i="5"/>
  <c r="L136" i="5"/>
  <c r="G136" i="5"/>
  <c r="E136" i="5"/>
  <c r="D136" i="5"/>
  <c r="C136" i="5"/>
  <c r="B136" i="5"/>
  <c r="L135" i="5"/>
  <c r="G135" i="5"/>
  <c r="E135" i="5"/>
  <c r="D135" i="5"/>
  <c r="C135" i="5"/>
  <c r="B135" i="5"/>
  <c r="L134" i="5"/>
  <c r="G134" i="5"/>
  <c r="E134" i="5"/>
  <c r="D134" i="5"/>
  <c r="C134" i="5"/>
  <c r="B134" i="5"/>
  <c r="L133" i="5"/>
  <c r="G133" i="5"/>
  <c r="E133" i="5"/>
  <c r="D133" i="5"/>
  <c r="C133" i="5"/>
  <c r="B133" i="5"/>
  <c r="L132" i="5"/>
  <c r="G132" i="5"/>
  <c r="E132" i="5"/>
  <c r="D132" i="5"/>
  <c r="C132" i="5"/>
  <c r="B132" i="5"/>
  <c r="L131" i="5"/>
  <c r="G131" i="5"/>
  <c r="E131" i="5"/>
  <c r="D131" i="5"/>
  <c r="C131" i="5"/>
  <c r="B131" i="5"/>
  <c r="L130" i="5"/>
  <c r="G130" i="5"/>
  <c r="E130" i="5"/>
  <c r="D130" i="5"/>
  <c r="C130" i="5"/>
  <c r="B130" i="5"/>
  <c r="L129" i="5"/>
  <c r="G129" i="5"/>
  <c r="E129" i="5"/>
  <c r="D129" i="5"/>
  <c r="C129" i="5"/>
  <c r="B129" i="5"/>
  <c r="L128" i="5"/>
  <c r="G128" i="5"/>
  <c r="E128" i="5"/>
  <c r="D128" i="5"/>
  <c r="C128" i="5"/>
  <c r="B128" i="5"/>
  <c r="L127" i="5"/>
  <c r="G127" i="5"/>
  <c r="E127" i="5"/>
  <c r="D127" i="5"/>
  <c r="C127" i="5"/>
  <c r="B127" i="5"/>
  <c r="L126" i="5"/>
  <c r="G126" i="5"/>
  <c r="E126" i="5"/>
  <c r="D126" i="5"/>
  <c r="C126" i="5"/>
  <c r="B126" i="5"/>
  <c r="L125" i="5"/>
  <c r="G125" i="5"/>
  <c r="E125" i="5"/>
  <c r="D125" i="5"/>
  <c r="C125" i="5"/>
  <c r="B125" i="5"/>
  <c r="L124" i="5"/>
  <c r="G124" i="5"/>
  <c r="E124" i="5"/>
  <c r="D124" i="5"/>
  <c r="C124" i="5"/>
  <c r="B124" i="5"/>
  <c r="L123" i="5"/>
  <c r="G123" i="5"/>
  <c r="E123" i="5"/>
  <c r="D123" i="5"/>
  <c r="C123" i="5"/>
  <c r="B123" i="5"/>
  <c r="L122" i="5"/>
  <c r="G122" i="5"/>
  <c r="E122" i="5"/>
  <c r="D122" i="5"/>
  <c r="C122" i="5"/>
  <c r="B122" i="5"/>
  <c r="L121" i="5"/>
  <c r="G121" i="5"/>
  <c r="E121" i="5"/>
  <c r="D121" i="5"/>
  <c r="C121" i="5"/>
  <c r="B121" i="5"/>
  <c r="L120" i="5"/>
  <c r="G120" i="5"/>
  <c r="E120" i="5"/>
  <c r="D120" i="5"/>
  <c r="C120" i="5"/>
  <c r="B120" i="5"/>
  <c r="L119" i="5"/>
  <c r="G119" i="5"/>
  <c r="E119" i="5"/>
  <c r="D119" i="5"/>
  <c r="C119" i="5"/>
  <c r="B119" i="5"/>
  <c r="L118" i="5"/>
  <c r="G118" i="5"/>
  <c r="E118" i="5"/>
  <c r="D118" i="5"/>
  <c r="C118" i="5"/>
  <c r="B118" i="5"/>
  <c r="L117" i="5"/>
  <c r="G117" i="5"/>
  <c r="E117" i="5"/>
  <c r="D117" i="5"/>
  <c r="C117" i="5"/>
  <c r="B117" i="5"/>
  <c r="L116" i="5"/>
  <c r="G116" i="5"/>
  <c r="E116" i="5"/>
  <c r="D116" i="5"/>
  <c r="C116" i="5"/>
  <c r="B116" i="5"/>
  <c r="L115" i="5"/>
  <c r="G115" i="5"/>
  <c r="E115" i="5"/>
  <c r="D115" i="5"/>
  <c r="C115" i="5"/>
  <c r="B115" i="5"/>
  <c r="L114" i="5"/>
  <c r="G114" i="5"/>
  <c r="E114" i="5"/>
  <c r="D114" i="5"/>
  <c r="C114" i="5"/>
  <c r="B114" i="5"/>
  <c r="L113" i="5"/>
  <c r="G113" i="5"/>
  <c r="E113" i="5"/>
  <c r="D113" i="5"/>
  <c r="C113" i="5"/>
  <c r="B113" i="5"/>
  <c r="L112" i="5"/>
  <c r="G112" i="5"/>
  <c r="E112" i="5"/>
  <c r="D112" i="5"/>
  <c r="C112" i="5"/>
  <c r="B112" i="5"/>
  <c r="L111" i="5"/>
  <c r="G111" i="5"/>
  <c r="E111" i="5"/>
  <c r="D111" i="5"/>
  <c r="C111" i="5"/>
  <c r="B111" i="5"/>
  <c r="L110" i="5"/>
  <c r="G110" i="5"/>
  <c r="E110" i="5"/>
  <c r="D110" i="5"/>
  <c r="C110" i="5"/>
  <c r="B110" i="5"/>
  <c r="L109" i="5"/>
  <c r="G109" i="5"/>
  <c r="E109" i="5"/>
  <c r="D109" i="5"/>
  <c r="C109" i="5"/>
  <c r="B109" i="5"/>
  <c r="L108" i="5"/>
  <c r="G108" i="5"/>
  <c r="E108" i="5"/>
  <c r="D108" i="5"/>
  <c r="C108" i="5"/>
  <c r="B108" i="5"/>
  <c r="L107" i="5"/>
  <c r="G107" i="5"/>
  <c r="E107" i="5"/>
  <c r="D107" i="5"/>
  <c r="C107" i="5"/>
  <c r="B107" i="5"/>
  <c r="L106" i="5"/>
  <c r="G106" i="5"/>
  <c r="E106" i="5"/>
  <c r="D106" i="5"/>
  <c r="C106" i="5"/>
  <c r="B106" i="5"/>
  <c r="L105" i="5"/>
  <c r="G105" i="5"/>
  <c r="E105" i="5"/>
  <c r="D105" i="5"/>
  <c r="C105" i="5"/>
  <c r="B105" i="5"/>
  <c r="L104" i="5"/>
  <c r="G104" i="5"/>
  <c r="E104" i="5"/>
  <c r="D104" i="5"/>
  <c r="C104" i="5"/>
  <c r="B104" i="5"/>
  <c r="L103" i="5"/>
  <c r="G103" i="5"/>
  <c r="E103" i="5"/>
  <c r="D103" i="5"/>
  <c r="C103" i="5"/>
  <c r="B103" i="5"/>
  <c r="L102" i="5"/>
  <c r="G102" i="5"/>
  <c r="E102" i="5"/>
  <c r="D102" i="5"/>
  <c r="C102" i="5"/>
  <c r="B102" i="5"/>
  <c r="L101" i="5"/>
  <c r="G101" i="5"/>
  <c r="E101" i="5"/>
  <c r="D101" i="5"/>
  <c r="C101" i="5"/>
  <c r="B101" i="5"/>
  <c r="L100" i="5"/>
  <c r="G100" i="5"/>
  <c r="E100" i="5"/>
  <c r="D100" i="5"/>
  <c r="C100" i="5"/>
  <c r="B100" i="5"/>
  <c r="L99" i="5"/>
  <c r="G99" i="5"/>
  <c r="E99" i="5"/>
  <c r="D99" i="5"/>
  <c r="C99" i="5"/>
  <c r="B99" i="5"/>
  <c r="L98" i="5"/>
  <c r="G98" i="5"/>
  <c r="E98" i="5"/>
  <c r="D98" i="5"/>
  <c r="C98" i="5"/>
  <c r="B98" i="5"/>
  <c r="L97" i="5"/>
  <c r="G97" i="5"/>
  <c r="E97" i="5"/>
  <c r="D97" i="5"/>
  <c r="C97" i="5"/>
  <c r="B97" i="5"/>
  <c r="L96" i="5"/>
  <c r="G96" i="5"/>
  <c r="E96" i="5"/>
  <c r="D96" i="5"/>
  <c r="C96" i="5"/>
  <c r="B96" i="5"/>
  <c r="L95" i="5"/>
  <c r="G95" i="5"/>
  <c r="E95" i="5"/>
  <c r="D95" i="5"/>
  <c r="C95" i="5"/>
  <c r="B95" i="5"/>
  <c r="L94" i="5"/>
  <c r="G94" i="5"/>
  <c r="E94" i="5"/>
  <c r="D94" i="5"/>
  <c r="C94" i="5"/>
  <c r="B94" i="5"/>
  <c r="L93" i="5"/>
  <c r="G93" i="5"/>
  <c r="E93" i="5"/>
  <c r="D93" i="5"/>
  <c r="C93" i="5"/>
  <c r="B93" i="5"/>
  <c r="L92" i="5"/>
  <c r="G92" i="5"/>
  <c r="E92" i="5"/>
  <c r="D92" i="5"/>
  <c r="C92" i="5"/>
  <c r="B92" i="5"/>
  <c r="L91" i="5"/>
  <c r="G91" i="5"/>
  <c r="E91" i="5"/>
  <c r="D91" i="5"/>
  <c r="C91" i="5"/>
  <c r="B91" i="5"/>
  <c r="L90" i="5"/>
  <c r="G90" i="5"/>
  <c r="E90" i="5"/>
  <c r="D90" i="5"/>
  <c r="C90" i="5"/>
  <c r="B90" i="5"/>
  <c r="L89" i="5"/>
  <c r="G89" i="5"/>
  <c r="E89" i="5"/>
  <c r="D89" i="5"/>
  <c r="C89" i="5"/>
  <c r="B89" i="5"/>
  <c r="L88" i="5"/>
  <c r="G88" i="5"/>
  <c r="E88" i="5"/>
  <c r="D88" i="5"/>
  <c r="C88" i="5"/>
  <c r="B88" i="5"/>
  <c r="L87" i="5"/>
  <c r="G87" i="5"/>
  <c r="E87" i="5"/>
  <c r="D87" i="5"/>
  <c r="C87" i="5"/>
  <c r="B87" i="5"/>
  <c r="L86" i="5"/>
  <c r="G86" i="5"/>
  <c r="E86" i="5"/>
  <c r="D86" i="5"/>
  <c r="C86" i="5"/>
  <c r="B86" i="5"/>
  <c r="L85" i="5"/>
  <c r="G85" i="5"/>
  <c r="E85" i="5"/>
  <c r="D85" i="5"/>
  <c r="C85" i="5"/>
  <c r="B85" i="5"/>
  <c r="L84" i="5"/>
  <c r="G84" i="5"/>
  <c r="E84" i="5"/>
  <c r="D84" i="5"/>
  <c r="C84" i="5"/>
  <c r="B84" i="5"/>
  <c r="L83" i="5"/>
  <c r="G83" i="5"/>
  <c r="E83" i="5"/>
  <c r="D83" i="5"/>
  <c r="C83" i="5"/>
  <c r="B83" i="5"/>
  <c r="L82" i="5"/>
  <c r="G82" i="5"/>
  <c r="E82" i="5"/>
  <c r="D82" i="5"/>
  <c r="C82" i="5"/>
  <c r="B82" i="5"/>
  <c r="L81" i="5"/>
  <c r="G81" i="5"/>
  <c r="E81" i="5"/>
  <c r="D81" i="5"/>
  <c r="C81" i="5"/>
  <c r="B81" i="5"/>
  <c r="L80" i="5"/>
  <c r="G80" i="5"/>
  <c r="E80" i="5"/>
  <c r="D80" i="5"/>
  <c r="C80" i="5"/>
  <c r="B80" i="5"/>
  <c r="L79" i="5"/>
  <c r="G79" i="5"/>
  <c r="E79" i="5"/>
  <c r="D79" i="5"/>
  <c r="C79" i="5"/>
  <c r="B79" i="5"/>
  <c r="L78" i="5"/>
  <c r="G78" i="5"/>
  <c r="E78" i="5"/>
  <c r="D78" i="5"/>
  <c r="C78" i="5"/>
  <c r="B78" i="5"/>
  <c r="L77" i="5"/>
  <c r="G77" i="5"/>
  <c r="E77" i="5"/>
  <c r="D77" i="5"/>
  <c r="C77" i="5"/>
  <c r="B77" i="5"/>
  <c r="L76" i="5"/>
  <c r="G76" i="5"/>
  <c r="E76" i="5"/>
  <c r="D76" i="5"/>
  <c r="C76" i="5"/>
  <c r="B76" i="5"/>
  <c r="L75" i="5"/>
  <c r="G75" i="5"/>
  <c r="E75" i="5"/>
  <c r="D75" i="5"/>
  <c r="C75" i="5"/>
  <c r="B75" i="5"/>
  <c r="L74" i="5"/>
  <c r="G74" i="5"/>
  <c r="E74" i="5"/>
  <c r="D74" i="5"/>
  <c r="C74" i="5"/>
  <c r="B74" i="5"/>
  <c r="L73" i="5"/>
  <c r="G73" i="5"/>
  <c r="E73" i="5"/>
  <c r="D73" i="5"/>
  <c r="C73" i="5"/>
  <c r="B73" i="5"/>
  <c r="L72" i="5"/>
  <c r="G72" i="5"/>
  <c r="E72" i="5"/>
  <c r="D72" i="5"/>
  <c r="C72" i="5"/>
  <c r="B72" i="5"/>
  <c r="L71" i="5"/>
  <c r="G71" i="5"/>
  <c r="E71" i="5"/>
  <c r="D71" i="5"/>
  <c r="C71" i="5"/>
  <c r="B71" i="5"/>
  <c r="L70" i="5"/>
  <c r="G70" i="5"/>
  <c r="E70" i="5"/>
  <c r="D70" i="5"/>
  <c r="C70" i="5"/>
  <c r="B70" i="5"/>
  <c r="L69" i="5"/>
  <c r="G69" i="5"/>
  <c r="E69" i="5"/>
  <c r="D69" i="5"/>
  <c r="C69" i="5"/>
  <c r="B69" i="5"/>
  <c r="L68" i="5"/>
  <c r="G68" i="5"/>
  <c r="E68" i="5"/>
  <c r="D68" i="5"/>
  <c r="C68" i="5"/>
  <c r="B68" i="5"/>
  <c r="L67" i="5"/>
  <c r="G67" i="5"/>
  <c r="E67" i="5"/>
  <c r="D67" i="5"/>
  <c r="C67" i="5"/>
  <c r="B67" i="5"/>
  <c r="L66" i="5"/>
  <c r="G66" i="5"/>
  <c r="E66" i="5"/>
  <c r="D66" i="5"/>
  <c r="C66" i="5"/>
  <c r="B66" i="5"/>
  <c r="L65" i="5"/>
  <c r="G65" i="5"/>
  <c r="E65" i="5"/>
  <c r="D65" i="5"/>
  <c r="C65" i="5"/>
  <c r="B65" i="5"/>
  <c r="L64" i="5"/>
  <c r="G64" i="5"/>
  <c r="E64" i="5"/>
  <c r="D64" i="5"/>
  <c r="C64" i="5"/>
  <c r="B64" i="5"/>
  <c r="L63" i="5"/>
  <c r="G63" i="5"/>
  <c r="E63" i="5"/>
  <c r="D63" i="5"/>
  <c r="C63" i="5"/>
  <c r="B63" i="5"/>
  <c r="L62" i="5"/>
  <c r="G62" i="5"/>
  <c r="E62" i="5"/>
  <c r="D62" i="5"/>
  <c r="C62" i="5"/>
  <c r="B62" i="5"/>
  <c r="L61" i="5"/>
  <c r="G61" i="5"/>
  <c r="E61" i="5"/>
  <c r="D61" i="5"/>
  <c r="C61" i="5"/>
  <c r="B61" i="5"/>
  <c r="L60" i="5"/>
  <c r="G60" i="5"/>
  <c r="E60" i="5"/>
  <c r="D60" i="5"/>
  <c r="C60" i="5"/>
  <c r="B60" i="5"/>
  <c r="L59" i="5"/>
  <c r="G59" i="5"/>
  <c r="E59" i="5"/>
  <c r="D59" i="5"/>
  <c r="C59" i="5"/>
  <c r="B59" i="5"/>
  <c r="L58" i="5"/>
  <c r="G58" i="5"/>
  <c r="E58" i="5"/>
  <c r="D58" i="5"/>
  <c r="C58" i="5"/>
  <c r="B58" i="5"/>
  <c r="L57" i="5"/>
  <c r="G57" i="5"/>
  <c r="E57" i="5"/>
  <c r="D57" i="5"/>
  <c r="C57" i="5"/>
  <c r="B57" i="5"/>
  <c r="L56" i="5"/>
  <c r="G56" i="5"/>
  <c r="E56" i="5"/>
  <c r="D56" i="5"/>
  <c r="C56" i="5"/>
  <c r="B56" i="5"/>
  <c r="L55" i="5"/>
  <c r="G55" i="5"/>
  <c r="E55" i="5"/>
  <c r="D55" i="5"/>
  <c r="C55" i="5"/>
  <c r="B55" i="5"/>
  <c r="L54" i="5"/>
  <c r="G54" i="5"/>
  <c r="E54" i="5"/>
  <c r="D54" i="5"/>
  <c r="C54" i="5"/>
  <c r="B54" i="5"/>
  <c r="L53" i="5"/>
  <c r="G53" i="5"/>
  <c r="E53" i="5"/>
  <c r="D53" i="5"/>
  <c r="C53" i="5"/>
  <c r="B53" i="5"/>
  <c r="L52" i="5"/>
  <c r="G52" i="5"/>
  <c r="E52" i="5"/>
  <c r="D52" i="5"/>
  <c r="C52" i="5"/>
  <c r="B52" i="5"/>
  <c r="L51" i="5"/>
  <c r="G51" i="5"/>
  <c r="E51" i="5"/>
  <c r="D51" i="5"/>
  <c r="C51" i="5"/>
  <c r="B51" i="5"/>
  <c r="L50" i="5"/>
  <c r="G50" i="5"/>
  <c r="E50" i="5"/>
  <c r="D50" i="5"/>
  <c r="C50" i="5"/>
  <c r="B50" i="5"/>
  <c r="L49" i="5"/>
  <c r="G49" i="5"/>
  <c r="E49" i="5"/>
  <c r="D49" i="5"/>
  <c r="C49" i="5"/>
  <c r="B49" i="5"/>
  <c r="L48" i="5"/>
  <c r="G48" i="5"/>
  <c r="E48" i="5"/>
  <c r="D48" i="5"/>
  <c r="C48" i="5"/>
  <c r="B48" i="5"/>
  <c r="L47" i="5"/>
  <c r="G47" i="5"/>
  <c r="E47" i="5"/>
  <c r="D47" i="5"/>
  <c r="C47" i="5"/>
  <c r="B47" i="5"/>
  <c r="L46" i="5"/>
  <c r="G46" i="5"/>
  <c r="E46" i="5"/>
  <c r="D46" i="5"/>
  <c r="C46" i="5"/>
  <c r="B46" i="5"/>
  <c r="L45" i="5"/>
  <c r="G45" i="5"/>
  <c r="E45" i="5"/>
  <c r="D45" i="5"/>
  <c r="C45" i="5"/>
  <c r="B45" i="5"/>
  <c r="L44" i="5"/>
  <c r="G44" i="5"/>
  <c r="E44" i="5"/>
  <c r="D44" i="5"/>
  <c r="C44" i="5"/>
  <c r="B44" i="5"/>
  <c r="L43" i="5"/>
  <c r="G43" i="5"/>
  <c r="E43" i="5"/>
  <c r="D43" i="5"/>
  <c r="C43" i="5"/>
  <c r="B43" i="5"/>
  <c r="L42" i="5"/>
  <c r="G42" i="5"/>
  <c r="E42" i="5"/>
  <c r="D42" i="5"/>
  <c r="C42" i="5"/>
  <c r="B42" i="5"/>
  <c r="G41" i="5"/>
  <c r="E41" i="5"/>
  <c r="D41" i="5"/>
  <c r="C41" i="5"/>
  <c r="B41" i="5"/>
  <c r="G40" i="5"/>
  <c r="E40" i="5"/>
  <c r="D40" i="5"/>
  <c r="C40" i="5"/>
  <c r="B40" i="5"/>
  <c r="G39" i="5"/>
  <c r="E39" i="5"/>
  <c r="D39" i="5"/>
  <c r="C39" i="5"/>
  <c r="B39" i="5"/>
  <c r="G38" i="5"/>
  <c r="E38" i="5"/>
  <c r="D38" i="5"/>
  <c r="C38" i="5"/>
  <c r="B38" i="5"/>
  <c r="G37" i="5"/>
  <c r="E37" i="5"/>
  <c r="D37" i="5"/>
  <c r="C37" i="5"/>
  <c r="B37" i="5"/>
  <c r="G36" i="5"/>
  <c r="E36" i="5"/>
  <c r="D36" i="5"/>
  <c r="C36" i="5"/>
  <c r="B36" i="5"/>
  <c r="G35" i="5"/>
  <c r="E35" i="5"/>
  <c r="D35" i="5"/>
  <c r="C35" i="5"/>
  <c r="B35" i="5"/>
  <c r="G34" i="5"/>
  <c r="E34" i="5"/>
  <c r="D34" i="5"/>
  <c r="C34" i="5"/>
  <c r="B34" i="5"/>
  <c r="G33" i="5"/>
  <c r="E33" i="5"/>
  <c r="D33" i="5"/>
  <c r="C33" i="5"/>
  <c r="B33" i="5"/>
  <c r="G32" i="5"/>
  <c r="E32" i="5"/>
  <c r="D32" i="5"/>
  <c r="C32" i="5"/>
  <c r="B32" i="5"/>
  <c r="G31" i="5"/>
  <c r="E31" i="5"/>
  <c r="D31" i="5"/>
  <c r="C31" i="5"/>
  <c r="B31" i="5"/>
  <c r="G30" i="5"/>
  <c r="E30" i="5"/>
  <c r="D30" i="5"/>
  <c r="C30" i="5"/>
  <c r="B30" i="5"/>
  <c r="G29" i="5"/>
  <c r="E29" i="5"/>
  <c r="D29" i="5"/>
  <c r="C29" i="5"/>
  <c r="B29" i="5"/>
  <c r="G28" i="5"/>
  <c r="E28" i="5"/>
  <c r="D28" i="5"/>
  <c r="C28" i="5"/>
  <c r="B28" i="5"/>
  <c r="G27" i="5"/>
  <c r="E27" i="5"/>
  <c r="D27" i="5"/>
  <c r="C27" i="5"/>
  <c r="B27" i="5"/>
  <c r="G26" i="5"/>
  <c r="E26" i="5"/>
  <c r="D26" i="5"/>
  <c r="C26" i="5"/>
  <c r="B26" i="5"/>
  <c r="G25" i="5"/>
  <c r="E25" i="5"/>
  <c r="D25" i="5"/>
  <c r="C25" i="5"/>
  <c r="B25" i="5"/>
  <c r="G24" i="5"/>
  <c r="E24" i="5"/>
  <c r="D24" i="5"/>
  <c r="C24" i="5"/>
  <c r="B24" i="5"/>
  <c r="G23" i="5"/>
  <c r="E23" i="5"/>
  <c r="D23" i="5"/>
  <c r="C23" i="5"/>
  <c r="B23" i="5"/>
  <c r="G22" i="5"/>
  <c r="E22" i="5"/>
  <c r="D22" i="5"/>
  <c r="C22" i="5"/>
  <c r="B22" i="5"/>
  <c r="G21" i="5"/>
  <c r="E21" i="5"/>
  <c r="D21" i="5"/>
  <c r="C21" i="5"/>
  <c r="B21" i="5"/>
  <c r="G20" i="5"/>
  <c r="E20" i="5"/>
  <c r="D20" i="5"/>
  <c r="C20" i="5"/>
  <c r="B20" i="5"/>
  <c r="G19" i="5"/>
  <c r="E19" i="5"/>
  <c r="D19" i="5"/>
  <c r="C19" i="5"/>
  <c r="B19" i="5"/>
  <c r="G18" i="5"/>
  <c r="E18" i="5"/>
  <c r="D18" i="5"/>
  <c r="C18" i="5"/>
  <c r="B18" i="5"/>
  <c r="G17" i="5"/>
  <c r="E17" i="5"/>
  <c r="D17" i="5"/>
  <c r="C17" i="5"/>
  <c r="B17" i="5"/>
  <c r="G16" i="5"/>
  <c r="E16" i="5"/>
  <c r="D16" i="5"/>
  <c r="C16" i="5"/>
  <c r="B16" i="5"/>
  <c r="G15" i="5"/>
  <c r="E15" i="5"/>
  <c r="D15" i="5"/>
  <c r="C15" i="5"/>
  <c r="B15" i="5"/>
  <c r="G14" i="5"/>
  <c r="E14" i="5"/>
  <c r="D14" i="5"/>
  <c r="C14" i="5"/>
  <c r="B14" i="5"/>
  <c r="G13" i="5"/>
  <c r="E13" i="5"/>
  <c r="D13" i="5"/>
  <c r="C13" i="5"/>
  <c r="B13" i="5"/>
  <c r="G12" i="5"/>
  <c r="E12" i="5"/>
  <c r="D12" i="5"/>
  <c r="C12" i="5"/>
  <c r="B12" i="5"/>
  <c r="G11" i="5"/>
  <c r="E11" i="5"/>
  <c r="D11" i="5"/>
  <c r="C11" i="5"/>
  <c r="B11" i="5"/>
  <c r="G10" i="5"/>
  <c r="E10" i="5"/>
  <c r="D10" i="5"/>
  <c r="C10" i="5"/>
  <c r="B10" i="5"/>
  <c r="G9" i="5"/>
  <c r="E9" i="5"/>
  <c r="D9" i="5"/>
  <c r="C9" i="5"/>
  <c r="B9" i="5"/>
  <c r="G8" i="5"/>
  <c r="E8" i="5"/>
  <c r="D8" i="5"/>
  <c r="C8" i="5"/>
  <c r="B8" i="5"/>
  <c r="G7" i="5"/>
  <c r="E7" i="5"/>
  <c r="D7" i="5"/>
  <c r="C7" i="5"/>
  <c r="B7" i="5"/>
  <c r="G6" i="5"/>
  <c r="E6" i="5"/>
  <c r="D6" i="5"/>
  <c r="C6" i="5"/>
  <c r="B6" i="5"/>
  <c r="G5" i="5"/>
  <c r="E5" i="5"/>
  <c r="D5" i="5"/>
  <c r="C5" i="5"/>
  <c r="B5" i="5"/>
  <c r="G4" i="5"/>
  <c r="E4" i="5"/>
  <c r="D4" i="5"/>
  <c r="C4" i="5"/>
  <c r="B4" i="5"/>
  <c r="G3" i="5"/>
  <c r="E3" i="5"/>
  <c r="D3" i="5"/>
  <c r="C3" i="5"/>
  <c r="B3" i="5"/>
  <c r="G2" i="5"/>
  <c r="E2" i="5"/>
  <c r="D2" i="5"/>
  <c r="C2" i="5"/>
  <c r="B2" i="5"/>
  <c r="L251" i="4"/>
  <c r="G251" i="4"/>
  <c r="E251" i="4"/>
  <c r="D251" i="4"/>
  <c r="C251" i="4"/>
  <c r="B251" i="4"/>
  <c r="L250" i="4"/>
  <c r="G250" i="4"/>
  <c r="E250" i="4"/>
  <c r="D250" i="4"/>
  <c r="C250" i="4"/>
  <c r="B250" i="4"/>
  <c r="L249" i="4"/>
  <c r="G249" i="4"/>
  <c r="E249" i="4"/>
  <c r="D249" i="4"/>
  <c r="C249" i="4"/>
  <c r="B249" i="4"/>
  <c r="L248" i="4"/>
  <c r="G248" i="4"/>
  <c r="E248" i="4"/>
  <c r="D248" i="4"/>
  <c r="C248" i="4"/>
  <c r="B248" i="4"/>
  <c r="L247" i="4"/>
  <c r="G247" i="4"/>
  <c r="E247" i="4"/>
  <c r="D247" i="4"/>
  <c r="C247" i="4"/>
  <c r="B247" i="4"/>
  <c r="L246" i="4"/>
  <c r="G246" i="4"/>
  <c r="E246" i="4"/>
  <c r="D246" i="4"/>
  <c r="C246" i="4"/>
  <c r="B246" i="4"/>
  <c r="L245" i="4"/>
  <c r="G245" i="4"/>
  <c r="E245" i="4"/>
  <c r="D245" i="4"/>
  <c r="C245" i="4"/>
  <c r="B245" i="4"/>
  <c r="L244" i="4"/>
  <c r="G244" i="4"/>
  <c r="E244" i="4"/>
  <c r="D244" i="4"/>
  <c r="C244" i="4"/>
  <c r="B244" i="4"/>
  <c r="L243" i="4"/>
  <c r="G243" i="4"/>
  <c r="E243" i="4"/>
  <c r="D243" i="4"/>
  <c r="C243" i="4"/>
  <c r="B243" i="4"/>
  <c r="L242" i="4"/>
  <c r="G242" i="4"/>
  <c r="E242" i="4"/>
  <c r="D242" i="4"/>
  <c r="C242" i="4"/>
  <c r="B242" i="4"/>
  <c r="L241" i="4"/>
  <c r="G241" i="4"/>
  <c r="E241" i="4"/>
  <c r="D241" i="4"/>
  <c r="C241" i="4"/>
  <c r="B241" i="4"/>
  <c r="L240" i="4"/>
  <c r="G240" i="4"/>
  <c r="E240" i="4"/>
  <c r="D240" i="4"/>
  <c r="C240" i="4"/>
  <c r="B240" i="4"/>
  <c r="L239" i="4"/>
  <c r="G239" i="4"/>
  <c r="E239" i="4"/>
  <c r="D239" i="4"/>
  <c r="C239" i="4"/>
  <c r="B239" i="4"/>
  <c r="L238" i="4"/>
  <c r="G238" i="4"/>
  <c r="E238" i="4"/>
  <c r="D238" i="4"/>
  <c r="C238" i="4"/>
  <c r="B238" i="4"/>
  <c r="L237" i="4"/>
  <c r="G237" i="4"/>
  <c r="E237" i="4"/>
  <c r="D237" i="4"/>
  <c r="C237" i="4"/>
  <c r="B237" i="4"/>
  <c r="L236" i="4"/>
  <c r="G236" i="4"/>
  <c r="E236" i="4"/>
  <c r="D236" i="4"/>
  <c r="C236" i="4"/>
  <c r="B236" i="4"/>
  <c r="L235" i="4"/>
  <c r="G235" i="4"/>
  <c r="E235" i="4"/>
  <c r="D235" i="4"/>
  <c r="C235" i="4"/>
  <c r="B235" i="4"/>
  <c r="L234" i="4"/>
  <c r="G234" i="4"/>
  <c r="E234" i="4"/>
  <c r="D234" i="4"/>
  <c r="C234" i="4"/>
  <c r="B234" i="4"/>
  <c r="L233" i="4"/>
  <c r="G233" i="4"/>
  <c r="E233" i="4"/>
  <c r="D233" i="4"/>
  <c r="C233" i="4"/>
  <c r="B233" i="4"/>
  <c r="L232" i="4"/>
  <c r="G232" i="4"/>
  <c r="E232" i="4"/>
  <c r="D232" i="4"/>
  <c r="C232" i="4"/>
  <c r="B232" i="4"/>
  <c r="L231" i="4"/>
  <c r="G231" i="4"/>
  <c r="E231" i="4"/>
  <c r="D231" i="4"/>
  <c r="C231" i="4"/>
  <c r="B231" i="4"/>
  <c r="L230" i="4"/>
  <c r="G230" i="4"/>
  <c r="E230" i="4"/>
  <c r="D230" i="4"/>
  <c r="C230" i="4"/>
  <c r="B230" i="4"/>
  <c r="L229" i="4"/>
  <c r="G229" i="4"/>
  <c r="E229" i="4"/>
  <c r="D229" i="4"/>
  <c r="C229" i="4"/>
  <c r="B229" i="4"/>
  <c r="L228" i="4"/>
  <c r="G228" i="4"/>
  <c r="E228" i="4"/>
  <c r="D228" i="4"/>
  <c r="C228" i="4"/>
  <c r="B228" i="4"/>
  <c r="L227" i="4"/>
  <c r="G227" i="4"/>
  <c r="E227" i="4"/>
  <c r="D227" i="4"/>
  <c r="C227" i="4"/>
  <c r="B227" i="4"/>
  <c r="L226" i="4"/>
  <c r="G226" i="4"/>
  <c r="E226" i="4"/>
  <c r="D226" i="4"/>
  <c r="C226" i="4"/>
  <c r="B226" i="4"/>
  <c r="L225" i="4"/>
  <c r="J225" i="4"/>
  <c r="G225" i="4"/>
  <c r="E225" i="4"/>
  <c r="D225" i="4"/>
  <c r="C225" i="4"/>
  <c r="B225" i="4"/>
  <c r="L224" i="4"/>
  <c r="G224" i="4"/>
  <c r="E224" i="4"/>
  <c r="D224" i="4"/>
  <c r="C224" i="4"/>
  <c r="B224" i="4"/>
  <c r="L223" i="4"/>
  <c r="G223" i="4"/>
  <c r="E223" i="4"/>
  <c r="D223" i="4"/>
  <c r="C223" i="4"/>
  <c r="B223" i="4"/>
  <c r="L222" i="4"/>
  <c r="G222" i="4"/>
  <c r="E222" i="4"/>
  <c r="D222" i="4"/>
  <c r="C222" i="4"/>
  <c r="B222" i="4"/>
  <c r="L221" i="4"/>
  <c r="G221" i="4"/>
  <c r="E221" i="4"/>
  <c r="D221" i="4"/>
  <c r="C221" i="4"/>
  <c r="B221" i="4"/>
  <c r="L220" i="4"/>
  <c r="G220" i="4"/>
  <c r="E220" i="4"/>
  <c r="D220" i="4"/>
  <c r="C220" i="4"/>
  <c r="B220" i="4"/>
  <c r="L219" i="4"/>
  <c r="G219" i="4"/>
  <c r="E219" i="4"/>
  <c r="D219" i="4"/>
  <c r="C219" i="4"/>
  <c r="B219" i="4"/>
  <c r="L218" i="4"/>
  <c r="G218" i="4"/>
  <c r="E218" i="4"/>
  <c r="D218" i="4"/>
  <c r="C218" i="4"/>
  <c r="B218" i="4"/>
  <c r="L217" i="4"/>
  <c r="G217" i="4"/>
  <c r="E217" i="4"/>
  <c r="D217" i="4"/>
  <c r="C217" i="4"/>
  <c r="B217" i="4"/>
  <c r="L216" i="4"/>
  <c r="G216" i="4"/>
  <c r="E216" i="4"/>
  <c r="D216" i="4"/>
  <c r="C216" i="4"/>
  <c r="B216" i="4"/>
  <c r="L215" i="4"/>
  <c r="G215" i="4"/>
  <c r="E215" i="4"/>
  <c r="D215" i="4"/>
  <c r="C215" i="4"/>
  <c r="B215" i="4"/>
  <c r="L214" i="4"/>
  <c r="G214" i="4"/>
  <c r="E214" i="4"/>
  <c r="D214" i="4"/>
  <c r="C214" i="4"/>
  <c r="B214" i="4"/>
  <c r="L213" i="4"/>
  <c r="G213" i="4"/>
  <c r="E213" i="4"/>
  <c r="D213" i="4"/>
  <c r="C213" i="4"/>
  <c r="B213" i="4"/>
  <c r="L212" i="4"/>
  <c r="G212" i="4"/>
  <c r="E212" i="4"/>
  <c r="D212" i="4"/>
  <c r="C212" i="4"/>
  <c r="B212" i="4"/>
  <c r="L211" i="4"/>
  <c r="G211" i="4"/>
  <c r="E211" i="4"/>
  <c r="D211" i="4"/>
  <c r="C211" i="4"/>
  <c r="B211" i="4"/>
  <c r="L210" i="4"/>
  <c r="G210" i="4"/>
  <c r="E210" i="4"/>
  <c r="D210" i="4"/>
  <c r="C210" i="4"/>
  <c r="B210" i="4"/>
  <c r="L209" i="4"/>
  <c r="G209" i="4"/>
  <c r="E209" i="4"/>
  <c r="D209" i="4"/>
  <c r="C209" i="4"/>
  <c r="B209" i="4"/>
  <c r="L208" i="4"/>
  <c r="G208" i="4"/>
  <c r="E208" i="4"/>
  <c r="D208" i="4"/>
  <c r="C208" i="4"/>
  <c r="B208" i="4"/>
  <c r="L207" i="4"/>
  <c r="G207" i="4"/>
  <c r="E207" i="4"/>
  <c r="D207" i="4"/>
  <c r="C207" i="4"/>
  <c r="B207" i="4"/>
  <c r="L206" i="4"/>
  <c r="G206" i="4"/>
  <c r="E206" i="4"/>
  <c r="D206" i="4"/>
  <c r="C206" i="4"/>
  <c r="B206" i="4"/>
  <c r="L205" i="4"/>
  <c r="G205" i="4"/>
  <c r="E205" i="4"/>
  <c r="D205" i="4"/>
  <c r="C205" i="4"/>
  <c r="B205" i="4"/>
  <c r="L204" i="4"/>
  <c r="G204" i="4"/>
  <c r="E204" i="4"/>
  <c r="D204" i="4"/>
  <c r="C204" i="4"/>
  <c r="B204" i="4"/>
  <c r="L203" i="4"/>
  <c r="G203" i="4"/>
  <c r="E203" i="4"/>
  <c r="D203" i="4"/>
  <c r="C203" i="4"/>
  <c r="B203" i="4"/>
  <c r="L202" i="4"/>
  <c r="G202" i="4"/>
  <c r="E202" i="4"/>
  <c r="D202" i="4"/>
  <c r="C202" i="4"/>
  <c r="B202" i="4"/>
  <c r="L201" i="4"/>
  <c r="G201" i="4"/>
  <c r="E201" i="4"/>
  <c r="D201" i="4"/>
  <c r="C201" i="4"/>
  <c r="B201" i="4"/>
  <c r="L200" i="4"/>
  <c r="G200" i="4"/>
  <c r="E200" i="4"/>
  <c r="D200" i="4"/>
  <c r="C200" i="4"/>
  <c r="B200" i="4"/>
  <c r="L199" i="4"/>
  <c r="G199" i="4"/>
  <c r="E199" i="4"/>
  <c r="D199" i="4"/>
  <c r="C199" i="4"/>
  <c r="B199" i="4"/>
  <c r="L198" i="4"/>
  <c r="G198" i="4"/>
  <c r="E198" i="4"/>
  <c r="D198" i="4"/>
  <c r="C198" i="4"/>
  <c r="B198" i="4"/>
  <c r="L197" i="4"/>
  <c r="G197" i="4"/>
  <c r="E197" i="4"/>
  <c r="D197" i="4"/>
  <c r="C197" i="4"/>
  <c r="B197" i="4"/>
  <c r="L196" i="4"/>
  <c r="G196" i="4"/>
  <c r="E196" i="4"/>
  <c r="D196" i="4"/>
  <c r="C196" i="4"/>
  <c r="B196" i="4"/>
  <c r="L195" i="4"/>
  <c r="G195" i="4"/>
  <c r="E195" i="4"/>
  <c r="D195" i="4"/>
  <c r="C195" i="4"/>
  <c r="B195" i="4"/>
  <c r="L194" i="4"/>
  <c r="G194" i="4"/>
  <c r="E194" i="4"/>
  <c r="D194" i="4"/>
  <c r="C194" i="4"/>
  <c r="B194" i="4"/>
  <c r="L193" i="4"/>
  <c r="G193" i="4"/>
  <c r="E193" i="4"/>
  <c r="D193" i="4"/>
  <c r="C193" i="4"/>
  <c r="B193" i="4"/>
  <c r="L192" i="4"/>
  <c r="G192" i="4"/>
  <c r="E192" i="4"/>
  <c r="D192" i="4"/>
  <c r="C192" i="4"/>
  <c r="B192" i="4"/>
  <c r="L191" i="4"/>
  <c r="G191" i="4"/>
  <c r="E191" i="4"/>
  <c r="D191" i="4"/>
  <c r="C191" i="4"/>
  <c r="B191" i="4"/>
  <c r="L190" i="4"/>
  <c r="G190" i="4"/>
  <c r="E190" i="4"/>
  <c r="D190" i="4"/>
  <c r="C190" i="4"/>
  <c r="B190" i="4"/>
  <c r="L189" i="4"/>
  <c r="G189" i="4"/>
  <c r="E189" i="4"/>
  <c r="D189" i="4"/>
  <c r="C189" i="4"/>
  <c r="B189" i="4"/>
  <c r="L188" i="4"/>
  <c r="G188" i="4"/>
  <c r="E188" i="4"/>
  <c r="D188" i="4"/>
  <c r="C188" i="4"/>
  <c r="B188" i="4"/>
  <c r="L187" i="4"/>
  <c r="G187" i="4"/>
  <c r="E187" i="4"/>
  <c r="D187" i="4"/>
  <c r="C187" i="4"/>
  <c r="B187" i="4"/>
  <c r="L186" i="4"/>
  <c r="G186" i="4"/>
  <c r="E186" i="4"/>
  <c r="D186" i="4"/>
  <c r="C186" i="4"/>
  <c r="B186" i="4"/>
  <c r="L185" i="4"/>
  <c r="G185" i="4"/>
  <c r="E185" i="4"/>
  <c r="D185" i="4"/>
  <c r="C185" i="4"/>
  <c r="B185" i="4"/>
  <c r="L184" i="4"/>
  <c r="G184" i="4"/>
  <c r="E184" i="4"/>
  <c r="D184" i="4"/>
  <c r="C184" i="4"/>
  <c r="B184" i="4"/>
  <c r="L183" i="4"/>
  <c r="G183" i="4"/>
  <c r="E183" i="4"/>
  <c r="D183" i="4"/>
  <c r="C183" i="4"/>
  <c r="B183" i="4"/>
  <c r="L182" i="4"/>
  <c r="G182" i="4"/>
  <c r="E182" i="4"/>
  <c r="D182" i="4"/>
  <c r="C182" i="4"/>
  <c r="B182" i="4"/>
  <c r="L181" i="4"/>
  <c r="G181" i="4"/>
  <c r="E181" i="4"/>
  <c r="D181" i="4"/>
  <c r="C181" i="4"/>
  <c r="B181" i="4"/>
  <c r="L180" i="4"/>
  <c r="G180" i="4"/>
  <c r="E180" i="4"/>
  <c r="D180" i="4"/>
  <c r="C180" i="4"/>
  <c r="B180" i="4"/>
  <c r="L179" i="4"/>
  <c r="G179" i="4"/>
  <c r="E179" i="4"/>
  <c r="D179" i="4"/>
  <c r="C179" i="4"/>
  <c r="B179" i="4"/>
  <c r="L178" i="4"/>
  <c r="G178" i="4"/>
  <c r="E178" i="4"/>
  <c r="D178" i="4"/>
  <c r="C178" i="4"/>
  <c r="B178" i="4"/>
  <c r="L177" i="4"/>
  <c r="G177" i="4"/>
  <c r="E177" i="4"/>
  <c r="D177" i="4"/>
  <c r="C177" i="4"/>
  <c r="B177" i="4"/>
  <c r="L176" i="4"/>
  <c r="G176" i="4"/>
  <c r="E176" i="4"/>
  <c r="D176" i="4"/>
  <c r="C176" i="4"/>
  <c r="B176" i="4"/>
  <c r="L175" i="4"/>
  <c r="G175" i="4"/>
  <c r="E175" i="4"/>
  <c r="D175" i="4"/>
  <c r="C175" i="4"/>
  <c r="B175" i="4"/>
  <c r="L174" i="4"/>
  <c r="G174" i="4"/>
  <c r="E174" i="4"/>
  <c r="D174" i="4"/>
  <c r="C174" i="4"/>
  <c r="B174" i="4"/>
  <c r="L173" i="4"/>
  <c r="G173" i="4"/>
  <c r="E173" i="4"/>
  <c r="D173" i="4"/>
  <c r="C173" i="4"/>
  <c r="B173" i="4"/>
  <c r="L172" i="4"/>
  <c r="G172" i="4"/>
  <c r="E172" i="4"/>
  <c r="D172" i="4"/>
  <c r="C172" i="4"/>
  <c r="B172" i="4"/>
  <c r="L171" i="4"/>
  <c r="G171" i="4"/>
  <c r="E171" i="4"/>
  <c r="D171" i="4"/>
  <c r="C171" i="4"/>
  <c r="B171" i="4"/>
  <c r="L170" i="4"/>
  <c r="G170" i="4"/>
  <c r="E170" i="4"/>
  <c r="D170" i="4"/>
  <c r="C170" i="4"/>
  <c r="B170" i="4"/>
  <c r="L169" i="4"/>
  <c r="G169" i="4"/>
  <c r="E169" i="4"/>
  <c r="D169" i="4"/>
  <c r="C169" i="4"/>
  <c r="B169" i="4"/>
  <c r="L168" i="4"/>
  <c r="G168" i="4"/>
  <c r="E168" i="4"/>
  <c r="D168" i="4"/>
  <c r="C168" i="4"/>
  <c r="B168" i="4"/>
  <c r="L167" i="4"/>
  <c r="G167" i="4"/>
  <c r="E167" i="4"/>
  <c r="D167" i="4"/>
  <c r="C167" i="4"/>
  <c r="B167" i="4"/>
  <c r="L166" i="4"/>
  <c r="G166" i="4"/>
  <c r="E166" i="4"/>
  <c r="D166" i="4"/>
  <c r="C166" i="4"/>
  <c r="B166" i="4"/>
  <c r="L165" i="4"/>
  <c r="G165" i="4"/>
  <c r="E165" i="4"/>
  <c r="D165" i="4"/>
  <c r="C165" i="4"/>
  <c r="B165" i="4"/>
  <c r="L164" i="4"/>
  <c r="G164" i="4"/>
  <c r="E164" i="4"/>
  <c r="D164" i="4"/>
  <c r="C164" i="4"/>
  <c r="B164" i="4"/>
  <c r="L163" i="4"/>
  <c r="G163" i="4"/>
  <c r="E163" i="4"/>
  <c r="D163" i="4"/>
  <c r="C163" i="4"/>
  <c r="B163" i="4"/>
  <c r="L162" i="4"/>
  <c r="G162" i="4"/>
  <c r="E162" i="4"/>
  <c r="D162" i="4"/>
  <c r="C162" i="4"/>
  <c r="B162" i="4"/>
  <c r="L161" i="4"/>
  <c r="G161" i="4"/>
  <c r="E161" i="4"/>
  <c r="D161" i="4"/>
  <c r="C161" i="4"/>
  <c r="B161" i="4"/>
  <c r="L160" i="4"/>
  <c r="G160" i="4"/>
  <c r="E160" i="4"/>
  <c r="D160" i="4"/>
  <c r="C160" i="4"/>
  <c r="B160" i="4"/>
  <c r="L159" i="4"/>
  <c r="G159" i="4"/>
  <c r="E159" i="4"/>
  <c r="D159" i="4"/>
  <c r="C159" i="4"/>
  <c r="B159" i="4"/>
  <c r="L158" i="4"/>
  <c r="G158" i="4"/>
  <c r="E158" i="4"/>
  <c r="D158" i="4"/>
  <c r="C158" i="4"/>
  <c r="B158" i="4"/>
  <c r="L157" i="4"/>
  <c r="G157" i="4"/>
  <c r="E157" i="4"/>
  <c r="D157" i="4"/>
  <c r="C157" i="4"/>
  <c r="B157" i="4"/>
  <c r="L156" i="4"/>
  <c r="G156" i="4"/>
  <c r="E156" i="4"/>
  <c r="D156" i="4"/>
  <c r="C156" i="4"/>
  <c r="B156" i="4"/>
  <c r="L155" i="4"/>
  <c r="G155" i="4"/>
  <c r="E155" i="4"/>
  <c r="D155" i="4"/>
  <c r="C155" i="4"/>
  <c r="B155" i="4"/>
  <c r="L154" i="4"/>
  <c r="G154" i="4"/>
  <c r="E154" i="4"/>
  <c r="D154" i="4"/>
  <c r="C154" i="4"/>
  <c r="B154" i="4"/>
  <c r="L153" i="4"/>
  <c r="G153" i="4"/>
  <c r="E153" i="4"/>
  <c r="D153" i="4"/>
  <c r="C153" i="4"/>
  <c r="B153" i="4"/>
  <c r="L152" i="4"/>
  <c r="G152" i="4"/>
  <c r="E152" i="4"/>
  <c r="D152" i="4"/>
  <c r="C152" i="4"/>
  <c r="B152" i="4"/>
  <c r="L151" i="4"/>
  <c r="G151" i="4"/>
  <c r="E151" i="4"/>
  <c r="D151" i="4"/>
  <c r="C151" i="4"/>
  <c r="B151" i="4"/>
  <c r="L150" i="4"/>
  <c r="G150" i="4"/>
  <c r="E150" i="4"/>
  <c r="D150" i="4"/>
  <c r="C150" i="4"/>
  <c r="B150" i="4"/>
  <c r="L149" i="4"/>
  <c r="G149" i="4"/>
  <c r="E149" i="4"/>
  <c r="D149" i="4"/>
  <c r="C149" i="4"/>
  <c r="B149" i="4"/>
  <c r="L148" i="4"/>
  <c r="G148" i="4"/>
  <c r="E148" i="4"/>
  <c r="D148" i="4"/>
  <c r="C148" i="4"/>
  <c r="B148" i="4"/>
  <c r="L147" i="4"/>
  <c r="G147" i="4"/>
  <c r="E147" i="4"/>
  <c r="D147" i="4"/>
  <c r="C147" i="4"/>
  <c r="B147" i="4"/>
  <c r="L146" i="4"/>
  <c r="G146" i="4"/>
  <c r="E146" i="4"/>
  <c r="D146" i="4"/>
  <c r="C146" i="4"/>
  <c r="B146" i="4"/>
  <c r="L145" i="4"/>
  <c r="G145" i="4"/>
  <c r="E145" i="4"/>
  <c r="D145" i="4"/>
  <c r="C145" i="4"/>
  <c r="B145" i="4"/>
  <c r="L144" i="4"/>
  <c r="G144" i="4"/>
  <c r="E144" i="4"/>
  <c r="D144" i="4"/>
  <c r="C144" i="4"/>
  <c r="B144" i="4"/>
  <c r="L143" i="4"/>
  <c r="G143" i="4"/>
  <c r="E143" i="4"/>
  <c r="D143" i="4"/>
  <c r="C143" i="4"/>
  <c r="B143" i="4"/>
  <c r="L142" i="4"/>
  <c r="G142" i="4"/>
  <c r="E142" i="4"/>
  <c r="D142" i="4"/>
  <c r="C142" i="4"/>
  <c r="B142" i="4"/>
  <c r="L141" i="4"/>
  <c r="G141" i="4"/>
  <c r="E141" i="4"/>
  <c r="D141" i="4"/>
  <c r="C141" i="4"/>
  <c r="B141" i="4"/>
  <c r="L140" i="4"/>
  <c r="G140" i="4"/>
  <c r="E140" i="4"/>
  <c r="D140" i="4"/>
  <c r="C140" i="4"/>
  <c r="B140" i="4"/>
  <c r="L139" i="4"/>
  <c r="G139" i="4"/>
  <c r="E139" i="4"/>
  <c r="D139" i="4"/>
  <c r="C139" i="4"/>
  <c r="B139" i="4"/>
  <c r="L138" i="4"/>
  <c r="G138" i="4"/>
  <c r="E138" i="4"/>
  <c r="D138" i="4"/>
  <c r="C138" i="4"/>
  <c r="B138" i="4"/>
  <c r="L137" i="4"/>
  <c r="G137" i="4"/>
  <c r="E137" i="4"/>
  <c r="D137" i="4"/>
  <c r="C137" i="4"/>
  <c r="B137" i="4"/>
  <c r="L136" i="4"/>
  <c r="G136" i="4"/>
  <c r="E136" i="4"/>
  <c r="D136" i="4"/>
  <c r="C136" i="4"/>
  <c r="B136" i="4"/>
  <c r="L135" i="4"/>
  <c r="G135" i="4"/>
  <c r="E135" i="4"/>
  <c r="D135" i="4"/>
  <c r="C135" i="4"/>
  <c r="B135" i="4"/>
  <c r="L134" i="4"/>
  <c r="G134" i="4"/>
  <c r="E134" i="4"/>
  <c r="D134" i="4"/>
  <c r="C134" i="4"/>
  <c r="B134" i="4"/>
  <c r="L133" i="4"/>
  <c r="G133" i="4"/>
  <c r="E133" i="4"/>
  <c r="D133" i="4"/>
  <c r="C133" i="4"/>
  <c r="B133" i="4"/>
  <c r="L132" i="4"/>
  <c r="G132" i="4"/>
  <c r="E132" i="4"/>
  <c r="D132" i="4"/>
  <c r="C132" i="4"/>
  <c r="B132" i="4"/>
  <c r="L131" i="4"/>
  <c r="G131" i="4"/>
  <c r="E131" i="4"/>
  <c r="D131" i="4"/>
  <c r="C131" i="4"/>
  <c r="B131" i="4"/>
  <c r="L130" i="4"/>
  <c r="G130" i="4"/>
  <c r="E130" i="4"/>
  <c r="D130" i="4"/>
  <c r="C130" i="4"/>
  <c r="B130" i="4"/>
  <c r="L129" i="4"/>
  <c r="G129" i="4"/>
  <c r="E129" i="4"/>
  <c r="D129" i="4"/>
  <c r="C129" i="4"/>
  <c r="B129" i="4"/>
  <c r="L128" i="4"/>
  <c r="G128" i="4"/>
  <c r="E128" i="4"/>
  <c r="D128" i="4"/>
  <c r="C128" i="4"/>
  <c r="B128" i="4"/>
  <c r="L127" i="4"/>
  <c r="G127" i="4"/>
  <c r="E127" i="4"/>
  <c r="D127" i="4"/>
  <c r="C127" i="4"/>
  <c r="B127" i="4"/>
  <c r="L126" i="4"/>
  <c r="G126" i="4"/>
  <c r="E126" i="4"/>
  <c r="D126" i="4"/>
  <c r="C126" i="4"/>
  <c r="B126" i="4"/>
  <c r="L125" i="4"/>
  <c r="G125" i="4"/>
  <c r="E125" i="4"/>
  <c r="D125" i="4"/>
  <c r="C125" i="4"/>
  <c r="B125" i="4"/>
  <c r="L124" i="4"/>
  <c r="G124" i="4"/>
  <c r="E124" i="4"/>
  <c r="D124" i="4"/>
  <c r="C124" i="4"/>
  <c r="B124" i="4"/>
  <c r="L123" i="4"/>
  <c r="G123" i="4"/>
  <c r="E123" i="4"/>
  <c r="D123" i="4"/>
  <c r="C123" i="4"/>
  <c r="B123" i="4"/>
  <c r="L122" i="4"/>
  <c r="G122" i="4"/>
  <c r="E122" i="4"/>
  <c r="D122" i="4"/>
  <c r="C122" i="4"/>
  <c r="B122" i="4"/>
  <c r="L121" i="4"/>
  <c r="G121" i="4"/>
  <c r="E121" i="4"/>
  <c r="D121" i="4"/>
  <c r="C121" i="4"/>
  <c r="B121" i="4"/>
  <c r="L120" i="4"/>
  <c r="G120" i="4"/>
  <c r="E120" i="4"/>
  <c r="D120" i="4"/>
  <c r="C120" i="4"/>
  <c r="B120" i="4"/>
  <c r="L119" i="4"/>
  <c r="G119" i="4"/>
  <c r="E119" i="4"/>
  <c r="D119" i="4"/>
  <c r="C119" i="4"/>
  <c r="B119" i="4"/>
  <c r="L118" i="4"/>
  <c r="G118" i="4"/>
  <c r="E118" i="4"/>
  <c r="D118" i="4"/>
  <c r="C118" i="4"/>
  <c r="B118" i="4"/>
  <c r="L117" i="4"/>
  <c r="G117" i="4"/>
  <c r="E117" i="4"/>
  <c r="D117" i="4"/>
  <c r="C117" i="4"/>
  <c r="B117" i="4"/>
  <c r="L116" i="4"/>
  <c r="G116" i="4"/>
  <c r="E116" i="4"/>
  <c r="D116" i="4"/>
  <c r="C116" i="4"/>
  <c r="B116" i="4"/>
  <c r="L115" i="4"/>
  <c r="G115" i="4"/>
  <c r="E115" i="4"/>
  <c r="D115" i="4"/>
  <c r="C115" i="4"/>
  <c r="B115" i="4"/>
  <c r="L114" i="4"/>
  <c r="G114" i="4"/>
  <c r="E114" i="4"/>
  <c r="D114" i="4"/>
  <c r="C114" i="4"/>
  <c r="B114" i="4"/>
  <c r="L113" i="4"/>
  <c r="G113" i="4"/>
  <c r="E113" i="4"/>
  <c r="D113" i="4"/>
  <c r="C113" i="4"/>
  <c r="B113" i="4"/>
  <c r="L112" i="4"/>
  <c r="G112" i="4"/>
  <c r="E112" i="4"/>
  <c r="D112" i="4"/>
  <c r="C112" i="4"/>
  <c r="B112" i="4"/>
  <c r="L111" i="4"/>
  <c r="G111" i="4"/>
  <c r="E111" i="4"/>
  <c r="D111" i="4"/>
  <c r="C111" i="4"/>
  <c r="B111" i="4"/>
  <c r="L110" i="4"/>
  <c r="G110" i="4"/>
  <c r="E110" i="4"/>
  <c r="D110" i="4"/>
  <c r="C110" i="4"/>
  <c r="B110" i="4"/>
  <c r="L109" i="4"/>
  <c r="G109" i="4"/>
  <c r="E109" i="4"/>
  <c r="D109" i="4"/>
  <c r="C109" i="4"/>
  <c r="B109" i="4"/>
  <c r="L108" i="4"/>
  <c r="G108" i="4"/>
  <c r="E108" i="4"/>
  <c r="D108" i="4"/>
  <c r="C108" i="4"/>
  <c r="B108" i="4"/>
  <c r="L107" i="4"/>
  <c r="G107" i="4"/>
  <c r="E107" i="4"/>
  <c r="D107" i="4"/>
  <c r="C107" i="4"/>
  <c r="B107" i="4"/>
  <c r="L106" i="4"/>
  <c r="G106" i="4"/>
  <c r="E106" i="4"/>
  <c r="D106" i="4"/>
  <c r="C106" i="4"/>
  <c r="B106" i="4"/>
  <c r="L105" i="4"/>
  <c r="G105" i="4"/>
  <c r="E105" i="4"/>
  <c r="D105" i="4"/>
  <c r="C105" i="4"/>
  <c r="B105" i="4"/>
  <c r="L104" i="4"/>
  <c r="G104" i="4"/>
  <c r="E104" i="4"/>
  <c r="D104" i="4"/>
  <c r="C104" i="4"/>
  <c r="B104" i="4"/>
  <c r="L103" i="4"/>
  <c r="G103" i="4"/>
  <c r="E103" i="4"/>
  <c r="D103" i="4"/>
  <c r="C103" i="4"/>
  <c r="B103" i="4"/>
  <c r="L102" i="4"/>
  <c r="G102" i="4"/>
  <c r="E102" i="4"/>
  <c r="D102" i="4"/>
  <c r="C102" i="4"/>
  <c r="B102" i="4"/>
  <c r="L101" i="4"/>
  <c r="G101" i="4"/>
  <c r="E101" i="4"/>
  <c r="D101" i="4"/>
  <c r="C101" i="4"/>
  <c r="B101" i="4"/>
  <c r="L100" i="4"/>
  <c r="G100" i="4"/>
  <c r="E100" i="4"/>
  <c r="D100" i="4"/>
  <c r="C100" i="4"/>
  <c r="B100" i="4"/>
  <c r="L99" i="4"/>
  <c r="G99" i="4"/>
  <c r="E99" i="4"/>
  <c r="D99" i="4"/>
  <c r="C99" i="4"/>
  <c r="B99" i="4"/>
  <c r="L98" i="4"/>
  <c r="G98" i="4"/>
  <c r="E98" i="4"/>
  <c r="D98" i="4"/>
  <c r="C98" i="4"/>
  <c r="B98" i="4"/>
  <c r="L97" i="4"/>
  <c r="G97" i="4"/>
  <c r="E97" i="4"/>
  <c r="D97" i="4"/>
  <c r="C97" i="4"/>
  <c r="B97" i="4"/>
  <c r="L96" i="4"/>
  <c r="G96" i="4"/>
  <c r="E96" i="4"/>
  <c r="D96" i="4"/>
  <c r="C96" i="4"/>
  <c r="B96" i="4"/>
  <c r="L95" i="4"/>
  <c r="G95" i="4"/>
  <c r="E95" i="4"/>
  <c r="D95" i="4"/>
  <c r="C95" i="4"/>
  <c r="B95" i="4"/>
  <c r="L94" i="4"/>
  <c r="G94" i="4"/>
  <c r="E94" i="4"/>
  <c r="D94" i="4"/>
  <c r="C94" i="4"/>
  <c r="B94" i="4"/>
  <c r="L93" i="4"/>
  <c r="G93" i="4"/>
  <c r="E93" i="4"/>
  <c r="D93" i="4"/>
  <c r="C93" i="4"/>
  <c r="B93" i="4"/>
  <c r="L92" i="4"/>
  <c r="G92" i="4"/>
  <c r="E92" i="4"/>
  <c r="D92" i="4"/>
  <c r="C92" i="4"/>
  <c r="B92" i="4"/>
  <c r="L91" i="4"/>
  <c r="G91" i="4"/>
  <c r="E91" i="4"/>
  <c r="D91" i="4"/>
  <c r="C91" i="4"/>
  <c r="B91" i="4"/>
  <c r="L90" i="4"/>
  <c r="G90" i="4"/>
  <c r="E90" i="4"/>
  <c r="D90" i="4"/>
  <c r="C90" i="4"/>
  <c r="B90" i="4"/>
  <c r="L89" i="4"/>
  <c r="G89" i="4"/>
  <c r="E89" i="4"/>
  <c r="D89" i="4"/>
  <c r="C89" i="4"/>
  <c r="B89" i="4"/>
  <c r="L88" i="4"/>
  <c r="G88" i="4"/>
  <c r="E88" i="4"/>
  <c r="D88" i="4"/>
  <c r="C88" i="4"/>
  <c r="B88" i="4"/>
  <c r="L87" i="4"/>
  <c r="G87" i="4"/>
  <c r="E87" i="4"/>
  <c r="D87" i="4"/>
  <c r="C87" i="4"/>
  <c r="B87" i="4"/>
  <c r="L86" i="4"/>
  <c r="G86" i="4"/>
  <c r="E86" i="4"/>
  <c r="D86" i="4"/>
  <c r="C86" i="4"/>
  <c r="B86" i="4"/>
  <c r="L85" i="4"/>
  <c r="G85" i="4"/>
  <c r="E85" i="4"/>
  <c r="D85" i="4"/>
  <c r="C85" i="4"/>
  <c r="B85" i="4"/>
  <c r="L84" i="4"/>
  <c r="G84" i="4"/>
  <c r="E84" i="4"/>
  <c r="D84" i="4"/>
  <c r="C84" i="4"/>
  <c r="B84" i="4"/>
  <c r="L83" i="4"/>
  <c r="G83" i="4"/>
  <c r="E83" i="4"/>
  <c r="D83" i="4"/>
  <c r="C83" i="4"/>
  <c r="B83" i="4"/>
  <c r="L82" i="4"/>
  <c r="G82" i="4"/>
  <c r="E82" i="4"/>
  <c r="D82" i="4"/>
  <c r="C82" i="4"/>
  <c r="B82" i="4"/>
  <c r="L81" i="4"/>
  <c r="G81" i="4"/>
  <c r="E81" i="4"/>
  <c r="D81" i="4"/>
  <c r="C81" i="4"/>
  <c r="B81" i="4"/>
  <c r="L80" i="4"/>
  <c r="G80" i="4"/>
  <c r="E80" i="4"/>
  <c r="D80" i="4"/>
  <c r="C80" i="4"/>
  <c r="B80" i="4"/>
  <c r="L79" i="4"/>
  <c r="G79" i="4"/>
  <c r="E79" i="4"/>
  <c r="D79" i="4"/>
  <c r="C79" i="4"/>
  <c r="B79" i="4"/>
  <c r="L78" i="4"/>
  <c r="G78" i="4"/>
  <c r="E78" i="4"/>
  <c r="D78" i="4"/>
  <c r="C78" i="4"/>
  <c r="B78" i="4"/>
  <c r="L77" i="4"/>
  <c r="G77" i="4"/>
  <c r="E77" i="4"/>
  <c r="D77" i="4"/>
  <c r="C77" i="4"/>
  <c r="B77" i="4"/>
  <c r="L76" i="4"/>
  <c r="G76" i="4"/>
  <c r="E76" i="4"/>
  <c r="D76" i="4"/>
  <c r="C76" i="4"/>
  <c r="B76" i="4"/>
  <c r="L75" i="4"/>
  <c r="G75" i="4"/>
  <c r="E75" i="4"/>
  <c r="D75" i="4"/>
  <c r="C75" i="4"/>
  <c r="B75" i="4"/>
  <c r="L74" i="4"/>
  <c r="G74" i="4"/>
  <c r="E74" i="4"/>
  <c r="D74" i="4"/>
  <c r="C74" i="4"/>
  <c r="B74" i="4"/>
  <c r="L73" i="4"/>
  <c r="G73" i="4"/>
  <c r="E73" i="4"/>
  <c r="D73" i="4"/>
  <c r="C73" i="4"/>
  <c r="B73" i="4"/>
  <c r="L72" i="4"/>
  <c r="G72" i="4"/>
  <c r="E72" i="4"/>
  <c r="D72" i="4"/>
  <c r="C72" i="4"/>
  <c r="B72" i="4"/>
  <c r="L71" i="4"/>
  <c r="G71" i="4"/>
  <c r="E71" i="4"/>
  <c r="D71" i="4"/>
  <c r="C71" i="4"/>
  <c r="B71" i="4"/>
  <c r="L70" i="4"/>
  <c r="G70" i="4"/>
  <c r="E70" i="4"/>
  <c r="D70" i="4"/>
  <c r="C70" i="4"/>
  <c r="B70" i="4"/>
  <c r="L69" i="4"/>
  <c r="G69" i="4"/>
  <c r="E69" i="4"/>
  <c r="D69" i="4"/>
  <c r="C69" i="4"/>
  <c r="B69" i="4"/>
  <c r="L68" i="4"/>
  <c r="G68" i="4"/>
  <c r="E68" i="4"/>
  <c r="D68" i="4"/>
  <c r="C68" i="4"/>
  <c r="B68" i="4"/>
  <c r="L67" i="4"/>
  <c r="G67" i="4"/>
  <c r="E67" i="4"/>
  <c r="D67" i="4"/>
  <c r="C67" i="4"/>
  <c r="B67" i="4"/>
  <c r="L66" i="4"/>
  <c r="G66" i="4"/>
  <c r="E66" i="4"/>
  <c r="D66" i="4"/>
  <c r="C66" i="4"/>
  <c r="B66" i="4"/>
  <c r="L65" i="4"/>
  <c r="G65" i="4"/>
  <c r="E65" i="4"/>
  <c r="D65" i="4"/>
  <c r="C65" i="4"/>
  <c r="B65" i="4"/>
  <c r="L64" i="4"/>
  <c r="G64" i="4"/>
  <c r="E64" i="4"/>
  <c r="D64" i="4"/>
  <c r="C64" i="4"/>
  <c r="B64" i="4"/>
  <c r="L63" i="4"/>
  <c r="G63" i="4"/>
  <c r="E63" i="4"/>
  <c r="D63" i="4"/>
  <c r="C63" i="4"/>
  <c r="B63" i="4"/>
  <c r="L62" i="4"/>
  <c r="G62" i="4"/>
  <c r="E62" i="4"/>
  <c r="D62" i="4"/>
  <c r="C62" i="4"/>
  <c r="B62" i="4"/>
  <c r="L61" i="4"/>
  <c r="G61" i="4"/>
  <c r="E61" i="4"/>
  <c r="D61" i="4"/>
  <c r="C61" i="4"/>
  <c r="B61" i="4"/>
  <c r="L60" i="4"/>
  <c r="G60" i="4"/>
  <c r="E60" i="4"/>
  <c r="D60" i="4"/>
  <c r="C60" i="4"/>
  <c r="B60" i="4"/>
  <c r="L59" i="4"/>
  <c r="G59" i="4"/>
  <c r="E59" i="4"/>
  <c r="D59" i="4"/>
  <c r="C59" i="4"/>
  <c r="B59" i="4"/>
  <c r="L58" i="4"/>
  <c r="G58" i="4"/>
  <c r="E58" i="4"/>
  <c r="D58" i="4"/>
  <c r="C58" i="4"/>
  <c r="B58" i="4"/>
  <c r="L57" i="4"/>
  <c r="G57" i="4"/>
  <c r="E57" i="4"/>
  <c r="D57" i="4"/>
  <c r="C57" i="4"/>
  <c r="B57" i="4"/>
  <c r="L56" i="4"/>
  <c r="G56" i="4"/>
  <c r="E56" i="4"/>
  <c r="D56" i="4"/>
  <c r="C56" i="4"/>
  <c r="B56" i="4"/>
  <c r="L55" i="4"/>
  <c r="G55" i="4"/>
  <c r="E55" i="4"/>
  <c r="D55" i="4"/>
  <c r="C55" i="4"/>
  <c r="B55" i="4"/>
  <c r="L54" i="4"/>
  <c r="G54" i="4"/>
  <c r="E54" i="4"/>
  <c r="D54" i="4"/>
  <c r="C54" i="4"/>
  <c r="B54" i="4"/>
  <c r="L53" i="4"/>
  <c r="G53" i="4"/>
  <c r="E53" i="4"/>
  <c r="D53" i="4"/>
  <c r="C53" i="4"/>
  <c r="B53" i="4"/>
  <c r="L52" i="4"/>
  <c r="G52" i="4"/>
  <c r="E52" i="4"/>
  <c r="D52" i="4"/>
  <c r="C52" i="4"/>
  <c r="B52" i="4"/>
  <c r="L51" i="4"/>
  <c r="G51" i="4"/>
  <c r="E51" i="4"/>
  <c r="D51" i="4"/>
  <c r="C51" i="4"/>
  <c r="B51" i="4"/>
  <c r="L50" i="4"/>
  <c r="G50" i="4"/>
  <c r="E50" i="4"/>
  <c r="D50" i="4"/>
  <c r="C50" i="4"/>
  <c r="B50" i="4"/>
  <c r="L49" i="4"/>
  <c r="G49" i="4"/>
  <c r="E49" i="4"/>
  <c r="D49" i="4"/>
  <c r="C49" i="4"/>
  <c r="B49" i="4"/>
  <c r="L48" i="4"/>
  <c r="G48" i="4"/>
  <c r="E48" i="4"/>
  <c r="D48" i="4"/>
  <c r="C48" i="4"/>
  <c r="B48" i="4"/>
  <c r="L47" i="4"/>
  <c r="G47" i="4"/>
  <c r="E47" i="4"/>
  <c r="D47" i="4"/>
  <c r="C47" i="4"/>
  <c r="B47" i="4"/>
  <c r="L46" i="4"/>
  <c r="G46" i="4"/>
  <c r="E46" i="4"/>
  <c r="D46" i="4"/>
  <c r="C46" i="4"/>
  <c r="B46" i="4"/>
  <c r="L45" i="4"/>
  <c r="G45" i="4"/>
  <c r="E45" i="4"/>
  <c r="D45" i="4"/>
  <c r="C45" i="4"/>
  <c r="B45" i="4"/>
  <c r="L44" i="4"/>
  <c r="G44" i="4"/>
  <c r="E44" i="4"/>
  <c r="D44" i="4"/>
  <c r="C44" i="4"/>
  <c r="B44" i="4"/>
  <c r="L43" i="4"/>
  <c r="G43" i="4"/>
  <c r="E43" i="4"/>
  <c r="D43" i="4"/>
  <c r="C43" i="4"/>
  <c r="B43" i="4"/>
  <c r="L42" i="4"/>
  <c r="G42" i="4"/>
  <c r="E42" i="4"/>
  <c r="D42" i="4"/>
  <c r="C42" i="4"/>
  <c r="B42" i="4"/>
  <c r="G41" i="4"/>
  <c r="E41" i="4"/>
  <c r="D41" i="4"/>
  <c r="C41" i="4"/>
  <c r="B41" i="4"/>
  <c r="G40" i="4"/>
  <c r="E40" i="4"/>
  <c r="D40" i="4"/>
  <c r="C40" i="4"/>
  <c r="B40" i="4"/>
  <c r="G39" i="4"/>
  <c r="E39" i="4"/>
  <c r="D39" i="4"/>
  <c r="C39" i="4"/>
  <c r="B39" i="4"/>
  <c r="G38" i="4"/>
  <c r="E38" i="4"/>
  <c r="D38" i="4"/>
  <c r="C38" i="4"/>
  <c r="B38" i="4"/>
  <c r="G37" i="4"/>
  <c r="E37" i="4"/>
  <c r="D37" i="4"/>
  <c r="C37" i="4"/>
  <c r="B37" i="4"/>
  <c r="G36" i="4"/>
  <c r="E36" i="4"/>
  <c r="D36" i="4"/>
  <c r="C36" i="4"/>
  <c r="B36" i="4"/>
  <c r="G35" i="4"/>
  <c r="E35" i="4"/>
  <c r="D35" i="4"/>
  <c r="C35" i="4"/>
  <c r="B35" i="4"/>
  <c r="G34" i="4"/>
  <c r="E34" i="4"/>
  <c r="D34" i="4"/>
  <c r="C34" i="4"/>
  <c r="B34" i="4"/>
  <c r="G33" i="4"/>
  <c r="E33" i="4"/>
  <c r="D33" i="4"/>
  <c r="C33" i="4"/>
  <c r="B33" i="4"/>
  <c r="G32" i="4"/>
  <c r="E32" i="4"/>
  <c r="D32" i="4"/>
  <c r="C32" i="4"/>
  <c r="B32" i="4"/>
  <c r="G31" i="4"/>
  <c r="E31" i="4"/>
  <c r="D31" i="4"/>
  <c r="C31" i="4"/>
  <c r="B31" i="4"/>
  <c r="G30" i="4"/>
  <c r="E30" i="4"/>
  <c r="D30" i="4"/>
  <c r="C30" i="4"/>
  <c r="B30" i="4"/>
  <c r="G29" i="4"/>
  <c r="E29" i="4"/>
  <c r="D29" i="4"/>
  <c r="C29" i="4"/>
  <c r="B29" i="4"/>
  <c r="G28" i="4"/>
  <c r="E28" i="4"/>
  <c r="D28" i="4"/>
  <c r="C28" i="4"/>
  <c r="B28" i="4"/>
  <c r="G27" i="4"/>
  <c r="E27" i="4"/>
  <c r="D27" i="4"/>
  <c r="C27" i="4"/>
  <c r="B27" i="4"/>
  <c r="G26" i="4"/>
  <c r="E26" i="4"/>
  <c r="D26" i="4"/>
  <c r="C26" i="4"/>
  <c r="B26" i="4"/>
  <c r="G25" i="4"/>
  <c r="E25" i="4"/>
  <c r="D25" i="4"/>
  <c r="C25" i="4"/>
  <c r="B25" i="4"/>
  <c r="G24" i="4"/>
  <c r="E24" i="4"/>
  <c r="D24" i="4"/>
  <c r="C24" i="4"/>
  <c r="B24" i="4"/>
  <c r="G23" i="4"/>
  <c r="E23" i="4"/>
  <c r="D23" i="4"/>
  <c r="C23" i="4"/>
  <c r="B23" i="4"/>
  <c r="G22" i="4"/>
  <c r="E22" i="4"/>
  <c r="D22" i="4"/>
  <c r="C22" i="4"/>
  <c r="B22" i="4"/>
  <c r="G21" i="4"/>
  <c r="E21" i="4"/>
  <c r="D21" i="4"/>
  <c r="C21" i="4"/>
  <c r="B21" i="4"/>
  <c r="G20" i="4"/>
  <c r="E20" i="4"/>
  <c r="D20" i="4"/>
  <c r="C20" i="4"/>
  <c r="B20" i="4"/>
  <c r="G19" i="4"/>
  <c r="E19" i="4"/>
  <c r="D19" i="4"/>
  <c r="C19" i="4"/>
  <c r="B19" i="4"/>
  <c r="G18" i="4"/>
  <c r="E18" i="4"/>
  <c r="D18" i="4"/>
  <c r="C18" i="4"/>
  <c r="B18" i="4"/>
  <c r="G17" i="4"/>
  <c r="E17" i="4"/>
  <c r="D17" i="4"/>
  <c r="C17" i="4"/>
  <c r="B17" i="4"/>
  <c r="G16" i="4"/>
  <c r="E16" i="4"/>
  <c r="D16" i="4"/>
  <c r="C16" i="4"/>
  <c r="B16" i="4"/>
  <c r="G15" i="4"/>
  <c r="E15" i="4"/>
  <c r="D15" i="4"/>
  <c r="C15" i="4"/>
  <c r="B15" i="4"/>
  <c r="G14" i="4"/>
  <c r="E14" i="4"/>
  <c r="D14" i="4"/>
  <c r="C14" i="4"/>
  <c r="B14" i="4"/>
  <c r="G13" i="4"/>
  <c r="E13" i="4"/>
  <c r="D13" i="4"/>
  <c r="C13" i="4"/>
  <c r="B13" i="4"/>
  <c r="G12" i="4"/>
  <c r="E12" i="4"/>
  <c r="D12" i="4"/>
  <c r="C12" i="4"/>
  <c r="B12" i="4"/>
  <c r="G11" i="4"/>
  <c r="E11" i="4"/>
  <c r="D11" i="4"/>
  <c r="C11" i="4"/>
  <c r="B11" i="4"/>
  <c r="G10" i="4"/>
  <c r="E10" i="4"/>
  <c r="D10" i="4"/>
  <c r="C10" i="4"/>
  <c r="B10" i="4"/>
  <c r="G9" i="4"/>
  <c r="E9" i="4"/>
  <c r="D9" i="4"/>
  <c r="C9" i="4"/>
  <c r="B9" i="4"/>
  <c r="G8" i="4"/>
  <c r="E8" i="4"/>
  <c r="D8" i="4"/>
  <c r="C8" i="4"/>
  <c r="B8" i="4"/>
  <c r="G7" i="4"/>
  <c r="E7" i="4"/>
  <c r="D7" i="4"/>
  <c r="C7" i="4"/>
  <c r="B7" i="4"/>
  <c r="G6" i="4"/>
  <c r="E6" i="4"/>
  <c r="D6" i="4"/>
  <c r="C6" i="4"/>
  <c r="B6" i="4"/>
  <c r="G5" i="4"/>
  <c r="E5" i="4"/>
  <c r="D5" i="4"/>
  <c r="C5" i="4"/>
  <c r="B5" i="4"/>
  <c r="G4" i="4"/>
  <c r="E4" i="4"/>
  <c r="D4" i="4"/>
  <c r="C4" i="4"/>
  <c r="B4" i="4"/>
  <c r="G3" i="4"/>
  <c r="E3" i="4"/>
  <c r="D3" i="4"/>
  <c r="C3" i="4"/>
  <c r="B3" i="4"/>
  <c r="G2" i="4"/>
  <c r="E2" i="4"/>
  <c r="D2" i="4"/>
  <c r="C2" i="4"/>
  <c r="B2" i="4"/>
  <c r="L251" i="3"/>
  <c r="G251" i="3"/>
  <c r="E251" i="3"/>
  <c r="D251" i="3"/>
  <c r="C251" i="3"/>
  <c r="B251" i="3"/>
  <c r="L250" i="3"/>
  <c r="G250" i="3"/>
  <c r="E250" i="3"/>
  <c r="D250" i="3"/>
  <c r="C250" i="3"/>
  <c r="B250" i="3"/>
  <c r="L249" i="3"/>
  <c r="G249" i="3"/>
  <c r="E249" i="3"/>
  <c r="D249" i="3"/>
  <c r="C249" i="3"/>
  <c r="B249" i="3"/>
  <c r="L248" i="3"/>
  <c r="G248" i="3"/>
  <c r="E248" i="3"/>
  <c r="D248" i="3"/>
  <c r="C248" i="3"/>
  <c r="B248" i="3"/>
  <c r="L247" i="3"/>
  <c r="G247" i="3"/>
  <c r="E247" i="3"/>
  <c r="D247" i="3"/>
  <c r="C247" i="3"/>
  <c r="B247" i="3"/>
  <c r="L246" i="3"/>
  <c r="G246" i="3"/>
  <c r="E246" i="3"/>
  <c r="D246" i="3"/>
  <c r="C246" i="3"/>
  <c r="B246" i="3"/>
  <c r="L245" i="3"/>
  <c r="G245" i="3"/>
  <c r="E245" i="3"/>
  <c r="D245" i="3"/>
  <c r="C245" i="3"/>
  <c r="B245" i="3"/>
  <c r="L244" i="3"/>
  <c r="G244" i="3"/>
  <c r="E244" i="3"/>
  <c r="D244" i="3"/>
  <c r="C244" i="3"/>
  <c r="B244" i="3"/>
  <c r="L243" i="3"/>
  <c r="G243" i="3"/>
  <c r="E243" i="3"/>
  <c r="D243" i="3"/>
  <c r="C243" i="3"/>
  <c r="B243" i="3"/>
  <c r="L242" i="3"/>
  <c r="G242" i="3"/>
  <c r="E242" i="3"/>
  <c r="D242" i="3"/>
  <c r="C242" i="3"/>
  <c r="B242" i="3"/>
  <c r="L241" i="3"/>
  <c r="G241" i="3"/>
  <c r="E241" i="3"/>
  <c r="D241" i="3"/>
  <c r="C241" i="3"/>
  <c r="B241" i="3"/>
  <c r="L240" i="3"/>
  <c r="G240" i="3"/>
  <c r="E240" i="3"/>
  <c r="D240" i="3"/>
  <c r="C240" i="3"/>
  <c r="B240" i="3"/>
  <c r="L239" i="3"/>
  <c r="G239" i="3"/>
  <c r="E239" i="3"/>
  <c r="D239" i="3"/>
  <c r="C239" i="3"/>
  <c r="B239" i="3"/>
  <c r="L238" i="3"/>
  <c r="G238" i="3"/>
  <c r="E238" i="3"/>
  <c r="D238" i="3"/>
  <c r="C238" i="3"/>
  <c r="B238" i="3"/>
  <c r="L237" i="3"/>
  <c r="G237" i="3"/>
  <c r="E237" i="3"/>
  <c r="D237" i="3"/>
  <c r="C237" i="3"/>
  <c r="B237" i="3"/>
  <c r="L236" i="3"/>
  <c r="G236" i="3"/>
  <c r="E236" i="3"/>
  <c r="D236" i="3"/>
  <c r="C236" i="3"/>
  <c r="B236" i="3"/>
  <c r="L235" i="3"/>
  <c r="G235" i="3"/>
  <c r="E235" i="3"/>
  <c r="D235" i="3"/>
  <c r="C235" i="3"/>
  <c r="B235" i="3"/>
  <c r="L234" i="3"/>
  <c r="G234" i="3"/>
  <c r="E234" i="3"/>
  <c r="D234" i="3"/>
  <c r="C234" i="3"/>
  <c r="B234" i="3"/>
  <c r="L233" i="3"/>
  <c r="G233" i="3"/>
  <c r="E233" i="3"/>
  <c r="D233" i="3"/>
  <c r="C233" i="3"/>
  <c r="B233" i="3"/>
  <c r="L232" i="3"/>
  <c r="G232" i="3"/>
  <c r="E232" i="3"/>
  <c r="D232" i="3"/>
  <c r="C232" i="3"/>
  <c r="B232" i="3"/>
  <c r="L231" i="3"/>
  <c r="G231" i="3"/>
  <c r="E231" i="3"/>
  <c r="D231" i="3"/>
  <c r="C231" i="3"/>
  <c r="B231" i="3"/>
  <c r="L230" i="3"/>
  <c r="G230" i="3"/>
  <c r="E230" i="3"/>
  <c r="D230" i="3"/>
  <c r="C230" i="3"/>
  <c r="B230" i="3"/>
  <c r="L229" i="3"/>
  <c r="G229" i="3"/>
  <c r="E229" i="3"/>
  <c r="D229" i="3"/>
  <c r="C229" i="3"/>
  <c r="B229" i="3"/>
  <c r="L228" i="3"/>
  <c r="G228" i="3"/>
  <c r="E228" i="3"/>
  <c r="D228" i="3"/>
  <c r="C228" i="3"/>
  <c r="B228" i="3"/>
  <c r="L227" i="3"/>
  <c r="G227" i="3"/>
  <c r="E227" i="3"/>
  <c r="D227" i="3"/>
  <c r="C227" i="3"/>
  <c r="B227" i="3"/>
  <c r="L226" i="3"/>
  <c r="G226" i="3"/>
  <c r="E226" i="3"/>
  <c r="D226" i="3"/>
  <c r="C226" i="3"/>
  <c r="B226" i="3"/>
  <c r="L225" i="3"/>
  <c r="G225" i="3"/>
  <c r="E225" i="3"/>
  <c r="D225" i="3"/>
  <c r="C225" i="3"/>
  <c r="B225" i="3"/>
  <c r="L224" i="3"/>
  <c r="G224" i="3"/>
  <c r="E224" i="3"/>
  <c r="D224" i="3"/>
  <c r="C224" i="3"/>
  <c r="B224" i="3"/>
  <c r="L223" i="3"/>
  <c r="G223" i="3"/>
  <c r="E223" i="3"/>
  <c r="D223" i="3"/>
  <c r="C223" i="3"/>
  <c r="B223" i="3"/>
  <c r="L222" i="3"/>
  <c r="G222" i="3"/>
  <c r="E222" i="3"/>
  <c r="D222" i="3"/>
  <c r="C222" i="3"/>
  <c r="B222" i="3"/>
  <c r="L221" i="3"/>
  <c r="G221" i="3"/>
  <c r="E221" i="3"/>
  <c r="D221" i="3"/>
  <c r="C221" i="3"/>
  <c r="B221" i="3"/>
  <c r="L220" i="3"/>
  <c r="G220" i="3"/>
  <c r="E220" i="3"/>
  <c r="D220" i="3"/>
  <c r="C220" i="3"/>
  <c r="B220" i="3"/>
  <c r="L219" i="3"/>
  <c r="G219" i="3"/>
  <c r="E219" i="3"/>
  <c r="D219" i="3"/>
  <c r="C219" i="3"/>
  <c r="B219" i="3"/>
  <c r="L218" i="3"/>
  <c r="G218" i="3"/>
  <c r="E218" i="3"/>
  <c r="D218" i="3"/>
  <c r="C218" i="3"/>
  <c r="B218" i="3"/>
  <c r="L217" i="3"/>
  <c r="G217" i="3"/>
  <c r="E217" i="3"/>
  <c r="D217" i="3"/>
  <c r="C217" i="3"/>
  <c r="B217" i="3"/>
  <c r="L216" i="3"/>
  <c r="G216" i="3"/>
  <c r="E216" i="3"/>
  <c r="D216" i="3"/>
  <c r="C216" i="3"/>
  <c r="B216" i="3"/>
  <c r="L215" i="3"/>
  <c r="G215" i="3"/>
  <c r="E215" i="3"/>
  <c r="D215" i="3"/>
  <c r="C215" i="3"/>
  <c r="B215" i="3"/>
  <c r="L214" i="3"/>
  <c r="G214" i="3"/>
  <c r="E214" i="3"/>
  <c r="D214" i="3"/>
  <c r="C214" i="3"/>
  <c r="B214" i="3"/>
  <c r="L213" i="3"/>
  <c r="G213" i="3"/>
  <c r="E213" i="3"/>
  <c r="D213" i="3"/>
  <c r="C213" i="3"/>
  <c r="B213" i="3"/>
  <c r="L212" i="3"/>
  <c r="G212" i="3"/>
  <c r="E212" i="3"/>
  <c r="D212" i="3"/>
  <c r="C212" i="3"/>
  <c r="B212" i="3"/>
  <c r="L211" i="3"/>
  <c r="G211" i="3"/>
  <c r="E211" i="3"/>
  <c r="D211" i="3"/>
  <c r="C211" i="3"/>
  <c r="B211" i="3"/>
  <c r="L210" i="3"/>
  <c r="G210" i="3"/>
  <c r="E210" i="3"/>
  <c r="D210" i="3"/>
  <c r="C210" i="3"/>
  <c r="B210" i="3"/>
  <c r="L209" i="3"/>
  <c r="G209" i="3"/>
  <c r="E209" i="3"/>
  <c r="D209" i="3"/>
  <c r="C209" i="3"/>
  <c r="B209" i="3"/>
  <c r="L208" i="3"/>
  <c r="G208" i="3"/>
  <c r="E208" i="3"/>
  <c r="D208" i="3"/>
  <c r="C208" i="3"/>
  <c r="B208" i="3"/>
  <c r="L207" i="3"/>
  <c r="G207" i="3"/>
  <c r="E207" i="3"/>
  <c r="D207" i="3"/>
  <c r="C207" i="3"/>
  <c r="B207" i="3"/>
  <c r="L206" i="3"/>
  <c r="G206" i="3"/>
  <c r="E206" i="3"/>
  <c r="D206" i="3"/>
  <c r="C206" i="3"/>
  <c r="B206" i="3"/>
  <c r="L205" i="3"/>
  <c r="G205" i="3"/>
  <c r="E205" i="3"/>
  <c r="D205" i="3"/>
  <c r="C205" i="3"/>
  <c r="B205" i="3"/>
  <c r="L204" i="3"/>
  <c r="G204" i="3"/>
  <c r="E204" i="3"/>
  <c r="D204" i="3"/>
  <c r="C204" i="3"/>
  <c r="B204" i="3"/>
  <c r="L203" i="3"/>
  <c r="G203" i="3"/>
  <c r="E203" i="3"/>
  <c r="D203" i="3"/>
  <c r="C203" i="3"/>
  <c r="B203" i="3"/>
  <c r="L202" i="3"/>
  <c r="G202" i="3"/>
  <c r="E202" i="3"/>
  <c r="D202" i="3"/>
  <c r="C202" i="3"/>
  <c r="B202" i="3"/>
  <c r="L201" i="3"/>
  <c r="G201" i="3"/>
  <c r="E201" i="3"/>
  <c r="D201" i="3"/>
  <c r="C201" i="3"/>
  <c r="B201" i="3"/>
  <c r="L200" i="3"/>
  <c r="G200" i="3"/>
  <c r="E200" i="3"/>
  <c r="D200" i="3"/>
  <c r="C200" i="3"/>
  <c r="B200" i="3"/>
  <c r="L199" i="3"/>
  <c r="G199" i="3"/>
  <c r="E199" i="3"/>
  <c r="D199" i="3"/>
  <c r="C199" i="3"/>
  <c r="B199" i="3"/>
  <c r="L198" i="3"/>
  <c r="G198" i="3"/>
  <c r="E198" i="3"/>
  <c r="D198" i="3"/>
  <c r="C198" i="3"/>
  <c r="B198" i="3"/>
  <c r="L197" i="3"/>
  <c r="G197" i="3"/>
  <c r="E197" i="3"/>
  <c r="D197" i="3"/>
  <c r="C197" i="3"/>
  <c r="B197" i="3"/>
  <c r="L196" i="3"/>
  <c r="G196" i="3"/>
  <c r="E196" i="3"/>
  <c r="D196" i="3"/>
  <c r="C196" i="3"/>
  <c r="B196" i="3"/>
  <c r="L195" i="3"/>
  <c r="G195" i="3"/>
  <c r="E195" i="3"/>
  <c r="D195" i="3"/>
  <c r="C195" i="3"/>
  <c r="B195" i="3"/>
  <c r="L194" i="3"/>
  <c r="G194" i="3"/>
  <c r="E194" i="3"/>
  <c r="D194" i="3"/>
  <c r="C194" i="3"/>
  <c r="B194" i="3"/>
  <c r="L193" i="3"/>
  <c r="G193" i="3"/>
  <c r="E193" i="3"/>
  <c r="D193" i="3"/>
  <c r="C193" i="3"/>
  <c r="B193" i="3"/>
  <c r="L192" i="3"/>
  <c r="G192" i="3"/>
  <c r="E192" i="3"/>
  <c r="D192" i="3"/>
  <c r="C192" i="3"/>
  <c r="B192" i="3"/>
  <c r="L191" i="3"/>
  <c r="G191" i="3"/>
  <c r="E191" i="3"/>
  <c r="D191" i="3"/>
  <c r="C191" i="3"/>
  <c r="B191" i="3"/>
  <c r="L190" i="3"/>
  <c r="G190" i="3"/>
  <c r="E190" i="3"/>
  <c r="D190" i="3"/>
  <c r="C190" i="3"/>
  <c r="B190" i="3"/>
  <c r="L189" i="3"/>
  <c r="G189" i="3"/>
  <c r="E189" i="3"/>
  <c r="D189" i="3"/>
  <c r="C189" i="3"/>
  <c r="B189" i="3"/>
  <c r="L188" i="3"/>
  <c r="G188" i="3"/>
  <c r="E188" i="3"/>
  <c r="D188" i="3"/>
  <c r="C188" i="3"/>
  <c r="B188" i="3"/>
  <c r="L187" i="3"/>
  <c r="G187" i="3"/>
  <c r="E187" i="3"/>
  <c r="D187" i="3"/>
  <c r="C187" i="3"/>
  <c r="B187" i="3"/>
  <c r="L186" i="3"/>
  <c r="G186" i="3"/>
  <c r="E186" i="3"/>
  <c r="D186" i="3"/>
  <c r="C186" i="3"/>
  <c r="B186" i="3"/>
  <c r="L185" i="3"/>
  <c r="G185" i="3"/>
  <c r="E185" i="3"/>
  <c r="D185" i="3"/>
  <c r="C185" i="3"/>
  <c r="B185" i="3"/>
  <c r="L184" i="3"/>
  <c r="G184" i="3"/>
  <c r="E184" i="3"/>
  <c r="D184" i="3"/>
  <c r="C184" i="3"/>
  <c r="B184" i="3"/>
  <c r="L183" i="3"/>
  <c r="G183" i="3"/>
  <c r="E183" i="3"/>
  <c r="D183" i="3"/>
  <c r="C183" i="3"/>
  <c r="B183" i="3"/>
  <c r="L182" i="3"/>
  <c r="G182" i="3"/>
  <c r="E182" i="3"/>
  <c r="D182" i="3"/>
  <c r="C182" i="3"/>
  <c r="B182" i="3"/>
  <c r="L181" i="3"/>
  <c r="G181" i="3"/>
  <c r="E181" i="3"/>
  <c r="D181" i="3"/>
  <c r="C181" i="3"/>
  <c r="B181" i="3"/>
  <c r="L180" i="3"/>
  <c r="G180" i="3"/>
  <c r="E180" i="3"/>
  <c r="D180" i="3"/>
  <c r="C180" i="3"/>
  <c r="B180" i="3"/>
  <c r="L179" i="3"/>
  <c r="G179" i="3"/>
  <c r="E179" i="3"/>
  <c r="D179" i="3"/>
  <c r="C179" i="3"/>
  <c r="B179" i="3"/>
  <c r="L178" i="3"/>
  <c r="G178" i="3"/>
  <c r="E178" i="3"/>
  <c r="D178" i="3"/>
  <c r="C178" i="3"/>
  <c r="B178" i="3"/>
  <c r="L177" i="3"/>
  <c r="G177" i="3"/>
  <c r="E177" i="3"/>
  <c r="D177" i="3"/>
  <c r="C177" i="3"/>
  <c r="B177" i="3"/>
  <c r="L176" i="3"/>
  <c r="G176" i="3"/>
  <c r="E176" i="3"/>
  <c r="D176" i="3"/>
  <c r="C176" i="3"/>
  <c r="B176" i="3"/>
  <c r="L175" i="3"/>
  <c r="G175" i="3"/>
  <c r="E175" i="3"/>
  <c r="D175" i="3"/>
  <c r="C175" i="3"/>
  <c r="B175" i="3"/>
  <c r="L174" i="3"/>
  <c r="G174" i="3"/>
  <c r="E174" i="3"/>
  <c r="D174" i="3"/>
  <c r="C174" i="3"/>
  <c r="B174" i="3"/>
  <c r="L173" i="3"/>
  <c r="G173" i="3"/>
  <c r="E173" i="3"/>
  <c r="D173" i="3"/>
  <c r="C173" i="3"/>
  <c r="B173" i="3"/>
  <c r="L172" i="3"/>
  <c r="G172" i="3"/>
  <c r="E172" i="3"/>
  <c r="D172" i="3"/>
  <c r="C172" i="3"/>
  <c r="B172" i="3"/>
  <c r="L171" i="3"/>
  <c r="G171" i="3"/>
  <c r="E171" i="3"/>
  <c r="D171" i="3"/>
  <c r="C171" i="3"/>
  <c r="B171" i="3"/>
  <c r="L170" i="3"/>
  <c r="G170" i="3"/>
  <c r="E170" i="3"/>
  <c r="D170" i="3"/>
  <c r="C170" i="3"/>
  <c r="B170" i="3"/>
  <c r="L169" i="3"/>
  <c r="G169" i="3"/>
  <c r="E169" i="3"/>
  <c r="D169" i="3"/>
  <c r="C169" i="3"/>
  <c r="B169" i="3"/>
  <c r="L168" i="3"/>
  <c r="G168" i="3"/>
  <c r="E168" i="3"/>
  <c r="D168" i="3"/>
  <c r="C168" i="3"/>
  <c r="B168" i="3"/>
  <c r="L167" i="3"/>
  <c r="G167" i="3"/>
  <c r="E167" i="3"/>
  <c r="D167" i="3"/>
  <c r="C167" i="3"/>
  <c r="B167" i="3"/>
  <c r="L166" i="3"/>
  <c r="G166" i="3"/>
  <c r="E166" i="3"/>
  <c r="D166" i="3"/>
  <c r="C166" i="3"/>
  <c r="B166" i="3"/>
  <c r="L165" i="3"/>
  <c r="G165" i="3"/>
  <c r="E165" i="3"/>
  <c r="D165" i="3"/>
  <c r="C165" i="3"/>
  <c r="B165" i="3"/>
  <c r="L164" i="3"/>
  <c r="G164" i="3"/>
  <c r="E164" i="3"/>
  <c r="D164" i="3"/>
  <c r="C164" i="3"/>
  <c r="B164" i="3"/>
  <c r="L163" i="3"/>
  <c r="G163" i="3"/>
  <c r="E163" i="3"/>
  <c r="D163" i="3"/>
  <c r="C163" i="3"/>
  <c r="B163" i="3"/>
  <c r="L162" i="3"/>
  <c r="G162" i="3"/>
  <c r="E162" i="3"/>
  <c r="D162" i="3"/>
  <c r="C162" i="3"/>
  <c r="B162" i="3"/>
  <c r="L161" i="3"/>
  <c r="G161" i="3"/>
  <c r="E161" i="3"/>
  <c r="D161" i="3"/>
  <c r="C161" i="3"/>
  <c r="B161" i="3"/>
  <c r="L160" i="3"/>
  <c r="G160" i="3"/>
  <c r="E160" i="3"/>
  <c r="D160" i="3"/>
  <c r="C160" i="3"/>
  <c r="B160" i="3"/>
  <c r="L159" i="3"/>
  <c r="G159" i="3"/>
  <c r="E159" i="3"/>
  <c r="D159" i="3"/>
  <c r="C159" i="3"/>
  <c r="B159" i="3"/>
  <c r="L158" i="3"/>
  <c r="G158" i="3"/>
  <c r="E158" i="3"/>
  <c r="D158" i="3"/>
  <c r="C158" i="3"/>
  <c r="B158" i="3"/>
  <c r="L157" i="3"/>
  <c r="G157" i="3"/>
  <c r="E157" i="3"/>
  <c r="D157" i="3"/>
  <c r="C157" i="3"/>
  <c r="B157" i="3"/>
  <c r="L156" i="3"/>
  <c r="G156" i="3"/>
  <c r="E156" i="3"/>
  <c r="D156" i="3"/>
  <c r="C156" i="3"/>
  <c r="B156" i="3"/>
  <c r="L155" i="3"/>
  <c r="G155" i="3"/>
  <c r="E155" i="3"/>
  <c r="D155" i="3"/>
  <c r="C155" i="3"/>
  <c r="B155" i="3"/>
  <c r="L154" i="3"/>
  <c r="G154" i="3"/>
  <c r="E154" i="3"/>
  <c r="D154" i="3"/>
  <c r="C154" i="3"/>
  <c r="B154" i="3"/>
  <c r="L153" i="3"/>
  <c r="G153" i="3"/>
  <c r="E153" i="3"/>
  <c r="D153" i="3"/>
  <c r="C153" i="3"/>
  <c r="B153" i="3"/>
  <c r="L152" i="3"/>
  <c r="G152" i="3"/>
  <c r="E152" i="3"/>
  <c r="D152" i="3"/>
  <c r="C152" i="3"/>
  <c r="B152" i="3"/>
  <c r="L151" i="3"/>
  <c r="G151" i="3"/>
  <c r="E151" i="3"/>
  <c r="D151" i="3"/>
  <c r="C151" i="3"/>
  <c r="B151" i="3"/>
  <c r="L150" i="3"/>
  <c r="G150" i="3"/>
  <c r="E150" i="3"/>
  <c r="D150" i="3"/>
  <c r="C150" i="3"/>
  <c r="B150" i="3"/>
  <c r="L149" i="3"/>
  <c r="G149" i="3"/>
  <c r="E149" i="3"/>
  <c r="D149" i="3"/>
  <c r="C149" i="3"/>
  <c r="B149" i="3"/>
  <c r="L148" i="3"/>
  <c r="G148" i="3"/>
  <c r="E148" i="3"/>
  <c r="D148" i="3"/>
  <c r="C148" i="3"/>
  <c r="B148" i="3"/>
  <c r="L147" i="3"/>
  <c r="G147" i="3"/>
  <c r="E147" i="3"/>
  <c r="D147" i="3"/>
  <c r="C147" i="3"/>
  <c r="B147" i="3"/>
  <c r="L146" i="3"/>
  <c r="G146" i="3"/>
  <c r="E146" i="3"/>
  <c r="D146" i="3"/>
  <c r="C146" i="3"/>
  <c r="B146" i="3"/>
  <c r="L145" i="3"/>
  <c r="G145" i="3"/>
  <c r="E145" i="3"/>
  <c r="D145" i="3"/>
  <c r="C145" i="3"/>
  <c r="B145" i="3"/>
  <c r="L144" i="3"/>
  <c r="G144" i="3"/>
  <c r="E144" i="3"/>
  <c r="D144" i="3"/>
  <c r="C144" i="3"/>
  <c r="B144" i="3"/>
  <c r="L143" i="3"/>
  <c r="G143" i="3"/>
  <c r="E143" i="3"/>
  <c r="D143" i="3"/>
  <c r="C143" i="3"/>
  <c r="B143" i="3"/>
  <c r="L142" i="3"/>
  <c r="G142" i="3"/>
  <c r="E142" i="3"/>
  <c r="D142" i="3"/>
  <c r="C142" i="3"/>
  <c r="B142" i="3"/>
  <c r="L141" i="3"/>
  <c r="G141" i="3"/>
  <c r="E141" i="3"/>
  <c r="D141" i="3"/>
  <c r="C141" i="3"/>
  <c r="B141" i="3"/>
  <c r="L140" i="3"/>
  <c r="G140" i="3"/>
  <c r="E140" i="3"/>
  <c r="D140" i="3"/>
  <c r="C140" i="3"/>
  <c r="B140" i="3"/>
  <c r="L139" i="3"/>
  <c r="G139" i="3"/>
  <c r="E139" i="3"/>
  <c r="D139" i="3"/>
  <c r="C139" i="3"/>
  <c r="B139" i="3"/>
  <c r="L138" i="3"/>
  <c r="G138" i="3"/>
  <c r="E138" i="3"/>
  <c r="D138" i="3"/>
  <c r="C138" i="3"/>
  <c r="B138" i="3"/>
  <c r="L137" i="3"/>
  <c r="G137" i="3"/>
  <c r="E137" i="3"/>
  <c r="D137" i="3"/>
  <c r="C137" i="3"/>
  <c r="B137" i="3"/>
  <c r="L136" i="3"/>
  <c r="G136" i="3"/>
  <c r="E136" i="3"/>
  <c r="D136" i="3"/>
  <c r="C136" i="3"/>
  <c r="B136" i="3"/>
  <c r="L135" i="3"/>
  <c r="G135" i="3"/>
  <c r="E135" i="3"/>
  <c r="D135" i="3"/>
  <c r="C135" i="3"/>
  <c r="B135" i="3"/>
  <c r="L134" i="3"/>
  <c r="G134" i="3"/>
  <c r="E134" i="3"/>
  <c r="D134" i="3"/>
  <c r="C134" i="3"/>
  <c r="B134" i="3"/>
  <c r="L133" i="3"/>
  <c r="G133" i="3"/>
  <c r="E133" i="3"/>
  <c r="D133" i="3"/>
  <c r="C133" i="3"/>
  <c r="B133" i="3"/>
  <c r="L132" i="3"/>
  <c r="G132" i="3"/>
  <c r="E132" i="3"/>
  <c r="D132" i="3"/>
  <c r="C132" i="3"/>
  <c r="B132" i="3"/>
  <c r="L131" i="3"/>
  <c r="G131" i="3"/>
  <c r="E131" i="3"/>
  <c r="D131" i="3"/>
  <c r="C131" i="3"/>
  <c r="B131" i="3"/>
  <c r="L130" i="3"/>
  <c r="G130" i="3"/>
  <c r="E130" i="3"/>
  <c r="D130" i="3"/>
  <c r="C130" i="3"/>
  <c r="B130" i="3"/>
  <c r="L129" i="3"/>
  <c r="G129" i="3"/>
  <c r="E129" i="3"/>
  <c r="D129" i="3"/>
  <c r="C129" i="3"/>
  <c r="B129" i="3"/>
  <c r="L128" i="3"/>
  <c r="G128" i="3"/>
  <c r="E128" i="3"/>
  <c r="D128" i="3"/>
  <c r="C128" i="3"/>
  <c r="B128" i="3"/>
  <c r="L127" i="3"/>
  <c r="G127" i="3"/>
  <c r="E127" i="3"/>
  <c r="D127" i="3"/>
  <c r="C127" i="3"/>
  <c r="B127" i="3"/>
  <c r="L126" i="3"/>
  <c r="G126" i="3"/>
  <c r="E126" i="3"/>
  <c r="D126" i="3"/>
  <c r="C126" i="3"/>
  <c r="B126" i="3"/>
  <c r="L125" i="3"/>
  <c r="G125" i="3"/>
  <c r="E125" i="3"/>
  <c r="D125" i="3"/>
  <c r="C125" i="3"/>
  <c r="B125" i="3"/>
  <c r="L124" i="3"/>
  <c r="G124" i="3"/>
  <c r="E124" i="3"/>
  <c r="D124" i="3"/>
  <c r="C124" i="3"/>
  <c r="B124" i="3"/>
  <c r="L123" i="3"/>
  <c r="G123" i="3"/>
  <c r="E123" i="3"/>
  <c r="D123" i="3"/>
  <c r="C123" i="3"/>
  <c r="B123" i="3"/>
  <c r="L122" i="3"/>
  <c r="G122" i="3"/>
  <c r="E122" i="3"/>
  <c r="D122" i="3"/>
  <c r="C122" i="3"/>
  <c r="B122" i="3"/>
  <c r="L121" i="3"/>
  <c r="G121" i="3"/>
  <c r="E121" i="3"/>
  <c r="D121" i="3"/>
  <c r="C121" i="3"/>
  <c r="B121" i="3"/>
  <c r="L120" i="3"/>
  <c r="G120" i="3"/>
  <c r="E120" i="3"/>
  <c r="D120" i="3"/>
  <c r="C120" i="3"/>
  <c r="B120" i="3"/>
  <c r="L119" i="3"/>
  <c r="G119" i="3"/>
  <c r="E119" i="3"/>
  <c r="D119" i="3"/>
  <c r="C119" i="3"/>
  <c r="B119" i="3"/>
  <c r="L118" i="3"/>
  <c r="G118" i="3"/>
  <c r="E118" i="3"/>
  <c r="D118" i="3"/>
  <c r="C118" i="3"/>
  <c r="B118" i="3"/>
  <c r="L117" i="3"/>
  <c r="G117" i="3"/>
  <c r="E117" i="3"/>
  <c r="D117" i="3"/>
  <c r="C117" i="3"/>
  <c r="B117" i="3"/>
  <c r="L116" i="3"/>
  <c r="G116" i="3"/>
  <c r="E116" i="3"/>
  <c r="D116" i="3"/>
  <c r="C116" i="3"/>
  <c r="B116" i="3"/>
  <c r="L115" i="3"/>
  <c r="G115" i="3"/>
  <c r="E115" i="3"/>
  <c r="D115" i="3"/>
  <c r="C115" i="3"/>
  <c r="B115" i="3"/>
  <c r="L114" i="3"/>
  <c r="G114" i="3"/>
  <c r="E114" i="3"/>
  <c r="D114" i="3"/>
  <c r="C114" i="3"/>
  <c r="B114" i="3"/>
  <c r="L113" i="3"/>
  <c r="G113" i="3"/>
  <c r="E113" i="3"/>
  <c r="D113" i="3"/>
  <c r="C113" i="3"/>
  <c r="B113" i="3"/>
  <c r="L112" i="3"/>
  <c r="G112" i="3"/>
  <c r="E112" i="3"/>
  <c r="D112" i="3"/>
  <c r="C112" i="3"/>
  <c r="B112" i="3"/>
  <c r="L111" i="3"/>
  <c r="G111" i="3"/>
  <c r="E111" i="3"/>
  <c r="D111" i="3"/>
  <c r="C111" i="3"/>
  <c r="B111" i="3"/>
  <c r="L110" i="3"/>
  <c r="G110" i="3"/>
  <c r="E110" i="3"/>
  <c r="D110" i="3"/>
  <c r="C110" i="3"/>
  <c r="B110" i="3"/>
  <c r="L109" i="3"/>
  <c r="G109" i="3"/>
  <c r="E109" i="3"/>
  <c r="D109" i="3"/>
  <c r="C109" i="3"/>
  <c r="B109" i="3"/>
  <c r="L108" i="3"/>
  <c r="G108" i="3"/>
  <c r="E108" i="3"/>
  <c r="D108" i="3"/>
  <c r="C108" i="3"/>
  <c r="B108" i="3"/>
  <c r="L107" i="3"/>
  <c r="G107" i="3"/>
  <c r="E107" i="3"/>
  <c r="D107" i="3"/>
  <c r="C107" i="3"/>
  <c r="B107" i="3"/>
  <c r="L106" i="3"/>
  <c r="G106" i="3"/>
  <c r="E106" i="3"/>
  <c r="D106" i="3"/>
  <c r="C106" i="3"/>
  <c r="B106" i="3"/>
  <c r="L105" i="3"/>
  <c r="G105" i="3"/>
  <c r="E105" i="3"/>
  <c r="D105" i="3"/>
  <c r="C105" i="3"/>
  <c r="B105" i="3"/>
  <c r="L104" i="3"/>
  <c r="G104" i="3"/>
  <c r="E104" i="3"/>
  <c r="D104" i="3"/>
  <c r="C104" i="3"/>
  <c r="B104" i="3"/>
  <c r="L103" i="3"/>
  <c r="G103" i="3"/>
  <c r="E103" i="3"/>
  <c r="D103" i="3"/>
  <c r="C103" i="3"/>
  <c r="B103" i="3"/>
  <c r="L102" i="3"/>
  <c r="G102" i="3"/>
  <c r="E102" i="3"/>
  <c r="D102" i="3"/>
  <c r="C102" i="3"/>
  <c r="B102" i="3"/>
  <c r="L101" i="3"/>
  <c r="G101" i="3"/>
  <c r="E101" i="3"/>
  <c r="D101" i="3"/>
  <c r="C101" i="3"/>
  <c r="B101" i="3"/>
  <c r="L100" i="3"/>
  <c r="G100" i="3"/>
  <c r="E100" i="3"/>
  <c r="D100" i="3"/>
  <c r="C100" i="3"/>
  <c r="B100" i="3"/>
  <c r="L99" i="3"/>
  <c r="G99" i="3"/>
  <c r="E99" i="3"/>
  <c r="D99" i="3"/>
  <c r="C99" i="3"/>
  <c r="B99" i="3"/>
  <c r="L98" i="3"/>
  <c r="G98" i="3"/>
  <c r="E98" i="3"/>
  <c r="D98" i="3"/>
  <c r="C98" i="3"/>
  <c r="B98" i="3"/>
  <c r="L97" i="3"/>
  <c r="G97" i="3"/>
  <c r="E97" i="3"/>
  <c r="D97" i="3"/>
  <c r="C97" i="3"/>
  <c r="B97" i="3"/>
  <c r="L96" i="3"/>
  <c r="G96" i="3"/>
  <c r="E96" i="3"/>
  <c r="D96" i="3"/>
  <c r="C96" i="3"/>
  <c r="B96" i="3"/>
  <c r="L95" i="3"/>
  <c r="G95" i="3"/>
  <c r="E95" i="3"/>
  <c r="D95" i="3"/>
  <c r="C95" i="3"/>
  <c r="B95" i="3"/>
  <c r="L94" i="3"/>
  <c r="G94" i="3"/>
  <c r="E94" i="3"/>
  <c r="D94" i="3"/>
  <c r="C94" i="3"/>
  <c r="B94" i="3"/>
  <c r="L93" i="3"/>
  <c r="G93" i="3"/>
  <c r="E93" i="3"/>
  <c r="D93" i="3"/>
  <c r="C93" i="3"/>
  <c r="B93" i="3"/>
  <c r="L92" i="3"/>
  <c r="G92" i="3"/>
  <c r="E92" i="3"/>
  <c r="D92" i="3"/>
  <c r="C92" i="3"/>
  <c r="B92" i="3"/>
  <c r="L91" i="3"/>
  <c r="G91" i="3"/>
  <c r="E91" i="3"/>
  <c r="D91" i="3"/>
  <c r="C91" i="3"/>
  <c r="B91" i="3"/>
  <c r="L90" i="3"/>
  <c r="G90" i="3"/>
  <c r="E90" i="3"/>
  <c r="D90" i="3"/>
  <c r="C90" i="3"/>
  <c r="B90" i="3"/>
  <c r="L89" i="3"/>
  <c r="G89" i="3"/>
  <c r="E89" i="3"/>
  <c r="D89" i="3"/>
  <c r="C89" i="3"/>
  <c r="B89" i="3"/>
  <c r="L88" i="3"/>
  <c r="G88" i="3"/>
  <c r="E88" i="3"/>
  <c r="D88" i="3"/>
  <c r="C88" i="3"/>
  <c r="B88" i="3"/>
  <c r="L87" i="3"/>
  <c r="G87" i="3"/>
  <c r="E87" i="3"/>
  <c r="D87" i="3"/>
  <c r="C87" i="3"/>
  <c r="B87" i="3"/>
  <c r="L86" i="3"/>
  <c r="G86" i="3"/>
  <c r="E86" i="3"/>
  <c r="D86" i="3"/>
  <c r="C86" i="3"/>
  <c r="B86" i="3"/>
  <c r="L85" i="3"/>
  <c r="G85" i="3"/>
  <c r="E85" i="3"/>
  <c r="D85" i="3"/>
  <c r="C85" i="3"/>
  <c r="B85" i="3"/>
  <c r="L84" i="3"/>
  <c r="G84" i="3"/>
  <c r="E84" i="3"/>
  <c r="D84" i="3"/>
  <c r="C84" i="3"/>
  <c r="B84" i="3"/>
  <c r="L83" i="3"/>
  <c r="G83" i="3"/>
  <c r="E83" i="3"/>
  <c r="D83" i="3"/>
  <c r="C83" i="3"/>
  <c r="B83" i="3"/>
  <c r="L82" i="3"/>
  <c r="G82" i="3"/>
  <c r="E82" i="3"/>
  <c r="D82" i="3"/>
  <c r="C82" i="3"/>
  <c r="B82" i="3"/>
  <c r="L81" i="3"/>
  <c r="G81" i="3"/>
  <c r="E81" i="3"/>
  <c r="D81" i="3"/>
  <c r="C81" i="3"/>
  <c r="B81" i="3"/>
  <c r="L80" i="3"/>
  <c r="G80" i="3"/>
  <c r="E80" i="3"/>
  <c r="D80" i="3"/>
  <c r="C80" i="3"/>
  <c r="B80" i="3"/>
  <c r="L79" i="3"/>
  <c r="G79" i="3"/>
  <c r="E79" i="3"/>
  <c r="D79" i="3"/>
  <c r="C79" i="3"/>
  <c r="B79" i="3"/>
  <c r="L78" i="3"/>
  <c r="G78" i="3"/>
  <c r="E78" i="3"/>
  <c r="D78" i="3"/>
  <c r="C78" i="3"/>
  <c r="B78" i="3"/>
  <c r="L77" i="3"/>
  <c r="G77" i="3"/>
  <c r="E77" i="3"/>
  <c r="D77" i="3"/>
  <c r="C77" i="3"/>
  <c r="B77" i="3"/>
  <c r="L76" i="3"/>
  <c r="G76" i="3"/>
  <c r="E76" i="3"/>
  <c r="D76" i="3"/>
  <c r="C76" i="3"/>
  <c r="B76" i="3"/>
  <c r="L75" i="3"/>
  <c r="G75" i="3"/>
  <c r="E75" i="3"/>
  <c r="D75" i="3"/>
  <c r="C75" i="3"/>
  <c r="B75" i="3"/>
  <c r="L74" i="3"/>
  <c r="G74" i="3"/>
  <c r="E74" i="3"/>
  <c r="D74" i="3"/>
  <c r="C74" i="3"/>
  <c r="B74" i="3"/>
  <c r="L73" i="3"/>
  <c r="G73" i="3"/>
  <c r="E73" i="3"/>
  <c r="D73" i="3"/>
  <c r="C73" i="3"/>
  <c r="B73" i="3"/>
  <c r="L72" i="3"/>
  <c r="G72" i="3"/>
  <c r="E72" i="3"/>
  <c r="D72" i="3"/>
  <c r="C72" i="3"/>
  <c r="B72" i="3"/>
  <c r="L71" i="3"/>
  <c r="G71" i="3"/>
  <c r="E71" i="3"/>
  <c r="D71" i="3"/>
  <c r="C71" i="3"/>
  <c r="B71" i="3"/>
  <c r="L70" i="3"/>
  <c r="G70" i="3"/>
  <c r="E70" i="3"/>
  <c r="D70" i="3"/>
  <c r="C70" i="3"/>
  <c r="B70" i="3"/>
  <c r="L69" i="3"/>
  <c r="G69" i="3"/>
  <c r="E69" i="3"/>
  <c r="D69" i="3"/>
  <c r="C69" i="3"/>
  <c r="B69" i="3"/>
  <c r="L68" i="3"/>
  <c r="G68" i="3"/>
  <c r="E68" i="3"/>
  <c r="D68" i="3"/>
  <c r="C68" i="3"/>
  <c r="B68" i="3"/>
  <c r="L67" i="3"/>
  <c r="G67" i="3"/>
  <c r="E67" i="3"/>
  <c r="D67" i="3"/>
  <c r="C67" i="3"/>
  <c r="B67" i="3"/>
  <c r="L66" i="3"/>
  <c r="G66" i="3"/>
  <c r="E66" i="3"/>
  <c r="D66" i="3"/>
  <c r="C66" i="3"/>
  <c r="B66" i="3"/>
  <c r="L65" i="3"/>
  <c r="G65" i="3"/>
  <c r="E65" i="3"/>
  <c r="D65" i="3"/>
  <c r="C65" i="3"/>
  <c r="B65" i="3"/>
  <c r="L64" i="3"/>
  <c r="G64" i="3"/>
  <c r="E64" i="3"/>
  <c r="D64" i="3"/>
  <c r="C64" i="3"/>
  <c r="B64" i="3"/>
  <c r="L63" i="3"/>
  <c r="G63" i="3"/>
  <c r="E63" i="3"/>
  <c r="D63" i="3"/>
  <c r="C63" i="3"/>
  <c r="B63" i="3"/>
  <c r="L62" i="3"/>
  <c r="G62" i="3"/>
  <c r="E62" i="3"/>
  <c r="D62" i="3"/>
  <c r="C62" i="3"/>
  <c r="B62" i="3"/>
  <c r="L61" i="3"/>
  <c r="G61" i="3"/>
  <c r="E61" i="3"/>
  <c r="D61" i="3"/>
  <c r="C61" i="3"/>
  <c r="B61" i="3"/>
  <c r="L60" i="3"/>
  <c r="G60" i="3"/>
  <c r="E60" i="3"/>
  <c r="D60" i="3"/>
  <c r="C60" i="3"/>
  <c r="B60" i="3"/>
  <c r="L59" i="3"/>
  <c r="G59" i="3"/>
  <c r="E59" i="3"/>
  <c r="D59" i="3"/>
  <c r="C59" i="3"/>
  <c r="B59" i="3"/>
  <c r="L58" i="3"/>
  <c r="G58" i="3"/>
  <c r="E58" i="3"/>
  <c r="D58" i="3"/>
  <c r="C58" i="3"/>
  <c r="B58" i="3"/>
  <c r="L57" i="3"/>
  <c r="G57" i="3"/>
  <c r="E57" i="3"/>
  <c r="D57" i="3"/>
  <c r="C57" i="3"/>
  <c r="B57" i="3"/>
  <c r="L56" i="3"/>
  <c r="G56" i="3"/>
  <c r="E56" i="3"/>
  <c r="D56" i="3"/>
  <c r="C56" i="3"/>
  <c r="B56" i="3"/>
  <c r="L55" i="3"/>
  <c r="G55" i="3"/>
  <c r="E55" i="3"/>
  <c r="D55" i="3"/>
  <c r="C55" i="3"/>
  <c r="B55" i="3"/>
  <c r="L54" i="3"/>
  <c r="G54" i="3"/>
  <c r="E54" i="3"/>
  <c r="D54" i="3"/>
  <c r="C54" i="3"/>
  <c r="B54" i="3"/>
  <c r="L53" i="3"/>
  <c r="G53" i="3"/>
  <c r="E53" i="3"/>
  <c r="D53" i="3"/>
  <c r="C53" i="3"/>
  <c r="B53" i="3"/>
  <c r="L52" i="3"/>
  <c r="G52" i="3"/>
  <c r="E52" i="3"/>
  <c r="D52" i="3"/>
  <c r="C52" i="3"/>
  <c r="B52" i="3"/>
  <c r="L51" i="3"/>
  <c r="G51" i="3"/>
  <c r="E51" i="3"/>
  <c r="D51" i="3"/>
  <c r="C51" i="3"/>
  <c r="B51" i="3"/>
  <c r="L50" i="3"/>
  <c r="G50" i="3"/>
  <c r="E50" i="3"/>
  <c r="D50" i="3"/>
  <c r="C50" i="3"/>
  <c r="B50" i="3"/>
  <c r="L49" i="3"/>
  <c r="G49" i="3"/>
  <c r="E49" i="3"/>
  <c r="D49" i="3"/>
  <c r="C49" i="3"/>
  <c r="B49" i="3"/>
  <c r="L48" i="3"/>
  <c r="G48" i="3"/>
  <c r="E48" i="3"/>
  <c r="D48" i="3"/>
  <c r="C48" i="3"/>
  <c r="B48" i="3"/>
  <c r="L47" i="3"/>
  <c r="G47" i="3"/>
  <c r="E47" i="3"/>
  <c r="D47" i="3"/>
  <c r="C47" i="3"/>
  <c r="B47" i="3"/>
  <c r="L46" i="3"/>
  <c r="G46" i="3"/>
  <c r="E46" i="3"/>
  <c r="D46" i="3"/>
  <c r="C46" i="3"/>
  <c r="B46" i="3"/>
  <c r="L45" i="3"/>
  <c r="G45" i="3"/>
  <c r="E45" i="3"/>
  <c r="D45" i="3"/>
  <c r="C45" i="3"/>
  <c r="B45" i="3"/>
  <c r="L44" i="3"/>
  <c r="G44" i="3"/>
  <c r="E44" i="3"/>
  <c r="D44" i="3"/>
  <c r="C44" i="3"/>
  <c r="B44" i="3"/>
  <c r="L43" i="3"/>
  <c r="G43" i="3"/>
  <c r="E43" i="3"/>
  <c r="D43" i="3"/>
  <c r="C43" i="3"/>
  <c r="B43" i="3"/>
  <c r="L42" i="3"/>
  <c r="G42" i="3"/>
  <c r="E42" i="3"/>
  <c r="D42" i="3"/>
  <c r="C42" i="3"/>
  <c r="B42" i="3"/>
  <c r="G41" i="3"/>
  <c r="E41" i="3"/>
  <c r="D41" i="3"/>
  <c r="C41" i="3"/>
  <c r="B41" i="3"/>
  <c r="G40" i="3"/>
  <c r="E40" i="3"/>
  <c r="D40" i="3"/>
  <c r="C40" i="3"/>
  <c r="B40" i="3"/>
  <c r="G39" i="3"/>
  <c r="E39" i="3"/>
  <c r="D39" i="3"/>
  <c r="C39" i="3"/>
  <c r="B39" i="3"/>
  <c r="G38" i="3"/>
  <c r="E38" i="3"/>
  <c r="D38" i="3"/>
  <c r="C38" i="3"/>
  <c r="B38" i="3"/>
  <c r="G37" i="3"/>
  <c r="E37" i="3"/>
  <c r="D37" i="3"/>
  <c r="C37" i="3"/>
  <c r="B37" i="3"/>
  <c r="G36" i="3"/>
  <c r="E36" i="3"/>
  <c r="D36" i="3"/>
  <c r="C36" i="3"/>
  <c r="B36" i="3"/>
  <c r="G35" i="3"/>
  <c r="E35" i="3"/>
  <c r="D35" i="3"/>
  <c r="C35" i="3"/>
  <c r="B35" i="3"/>
  <c r="G34" i="3"/>
  <c r="E34" i="3"/>
  <c r="D34" i="3"/>
  <c r="C34" i="3"/>
  <c r="B34" i="3"/>
  <c r="G33" i="3"/>
  <c r="E33" i="3"/>
  <c r="D33" i="3"/>
  <c r="C33" i="3"/>
  <c r="B33" i="3"/>
  <c r="G32" i="3"/>
  <c r="E32" i="3"/>
  <c r="D32" i="3"/>
  <c r="C32" i="3"/>
  <c r="B32" i="3"/>
  <c r="G31" i="3"/>
  <c r="E31" i="3"/>
  <c r="D31" i="3"/>
  <c r="C31" i="3"/>
  <c r="B31" i="3"/>
  <c r="G30" i="3"/>
  <c r="E30" i="3"/>
  <c r="D30" i="3"/>
  <c r="C30" i="3"/>
  <c r="B30" i="3"/>
  <c r="G29" i="3"/>
  <c r="E29" i="3"/>
  <c r="D29" i="3"/>
  <c r="C29" i="3"/>
  <c r="B29" i="3"/>
  <c r="G28" i="3"/>
  <c r="E28" i="3"/>
  <c r="D28" i="3"/>
  <c r="C28" i="3"/>
  <c r="B28" i="3"/>
  <c r="G27" i="3"/>
  <c r="E27" i="3"/>
  <c r="D27" i="3"/>
  <c r="C27" i="3"/>
  <c r="B27" i="3"/>
  <c r="G26" i="3"/>
  <c r="E26" i="3"/>
  <c r="D26" i="3"/>
  <c r="C26" i="3"/>
  <c r="B26" i="3"/>
  <c r="G25" i="3"/>
  <c r="E25" i="3"/>
  <c r="D25" i="3"/>
  <c r="C25" i="3"/>
  <c r="B25" i="3"/>
  <c r="G24" i="3"/>
  <c r="E24" i="3"/>
  <c r="D24" i="3"/>
  <c r="C24" i="3"/>
  <c r="B24" i="3"/>
  <c r="G23" i="3"/>
  <c r="E23" i="3"/>
  <c r="D23" i="3"/>
  <c r="C23" i="3"/>
  <c r="B23" i="3"/>
  <c r="G22" i="3"/>
  <c r="E22" i="3"/>
  <c r="D22" i="3"/>
  <c r="C22" i="3"/>
  <c r="B22" i="3"/>
  <c r="G21" i="3"/>
  <c r="E21" i="3"/>
  <c r="D21" i="3"/>
  <c r="C21" i="3"/>
  <c r="B21" i="3"/>
  <c r="G20" i="3"/>
  <c r="E20" i="3"/>
  <c r="D20" i="3"/>
  <c r="C20" i="3"/>
  <c r="B20" i="3"/>
  <c r="G19" i="3"/>
  <c r="E19" i="3"/>
  <c r="D19" i="3"/>
  <c r="C19" i="3"/>
  <c r="B19" i="3"/>
  <c r="G18" i="3"/>
  <c r="E18" i="3"/>
  <c r="D18" i="3"/>
  <c r="C18" i="3"/>
  <c r="B18" i="3"/>
  <c r="G17" i="3"/>
  <c r="E17" i="3"/>
  <c r="D17" i="3"/>
  <c r="C17" i="3"/>
  <c r="B17" i="3"/>
  <c r="G16" i="3"/>
  <c r="E16" i="3"/>
  <c r="D16" i="3"/>
  <c r="C16" i="3"/>
  <c r="B16" i="3"/>
  <c r="G15" i="3"/>
  <c r="E15" i="3"/>
  <c r="D15" i="3"/>
  <c r="C15" i="3"/>
  <c r="B15" i="3"/>
  <c r="G14" i="3"/>
  <c r="E14" i="3"/>
  <c r="D14" i="3"/>
  <c r="C14" i="3"/>
  <c r="B14" i="3"/>
  <c r="G13" i="3"/>
  <c r="E13" i="3"/>
  <c r="D13" i="3"/>
  <c r="C13" i="3"/>
  <c r="B13" i="3"/>
  <c r="G12" i="3"/>
  <c r="E12" i="3"/>
  <c r="D12" i="3"/>
  <c r="C12" i="3"/>
  <c r="B12" i="3"/>
  <c r="G11" i="3"/>
  <c r="E11" i="3"/>
  <c r="D11" i="3"/>
  <c r="C11" i="3"/>
  <c r="B11" i="3"/>
  <c r="G10" i="3"/>
  <c r="E10" i="3"/>
  <c r="D10" i="3"/>
  <c r="C10" i="3"/>
  <c r="B10" i="3"/>
  <c r="G9" i="3"/>
  <c r="E9" i="3"/>
  <c r="D9" i="3"/>
  <c r="C9" i="3"/>
  <c r="B9" i="3"/>
  <c r="G8" i="3"/>
  <c r="E8" i="3"/>
  <c r="D8" i="3"/>
  <c r="C8" i="3"/>
  <c r="B8" i="3"/>
  <c r="G7" i="3"/>
  <c r="E7" i="3"/>
  <c r="D7" i="3"/>
  <c r="C7" i="3"/>
  <c r="B7" i="3"/>
  <c r="G6" i="3"/>
  <c r="E6" i="3"/>
  <c r="D6" i="3"/>
  <c r="C6" i="3"/>
  <c r="B6" i="3"/>
  <c r="G5" i="3"/>
  <c r="E5" i="3"/>
  <c r="D5" i="3"/>
  <c r="C5" i="3"/>
  <c r="B5" i="3"/>
  <c r="G4" i="3"/>
  <c r="E4" i="3"/>
  <c r="D4" i="3"/>
  <c r="C4" i="3"/>
  <c r="B4" i="3"/>
  <c r="G3" i="3"/>
  <c r="E3" i="3"/>
  <c r="D3" i="3"/>
  <c r="C3" i="3"/>
  <c r="B3" i="3"/>
  <c r="G2" i="3"/>
  <c r="E2" i="3"/>
  <c r="D2" i="3"/>
  <c r="C2" i="3"/>
  <c r="B2" i="3"/>
  <c r="M17" i="6" l="1"/>
  <c r="M7" i="6"/>
  <c r="M32" i="6"/>
  <c r="M8" i="6"/>
  <c r="M30" i="6"/>
  <c r="M6" i="6"/>
  <c r="M25" i="6"/>
  <c r="M26" i="6"/>
  <c r="M5" i="6"/>
  <c r="M4" i="6"/>
  <c r="M3" i="6"/>
  <c r="M2" i="6"/>
  <c r="M15" i="6"/>
  <c r="M13" i="6"/>
  <c r="M14" i="6"/>
  <c r="M12" i="6"/>
  <c r="H231" i="5"/>
  <c r="H226" i="5"/>
  <c r="H90" i="5"/>
  <c r="H45" i="5"/>
  <c r="H233" i="4"/>
  <c r="H159" i="4"/>
  <c r="H100" i="3"/>
  <c r="H47" i="3"/>
  <c r="H8" i="3"/>
  <c r="J246" i="5"/>
  <c r="K246" i="5" s="1"/>
  <c r="H242" i="5"/>
  <c r="I242" i="5" s="1"/>
  <c r="J241" i="5"/>
  <c r="K241" i="5" s="1"/>
  <c r="J240" i="5"/>
  <c r="K240" i="5" s="1"/>
  <c r="H233" i="5"/>
  <c r="I233" i="5" s="1"/>
  <c r="H185" i="4"/>
  <c r="I185" i="4" s="1"/>
  <c r="H181" i="4"/>
  <c r="I181" i="4" s="1"/>
  <c r="J180" i="4"/>
  <c r="K180" i="4" s="1"/>
  <c r="H178" i="4"/>
  <c r="I178" i="4" s="1"/>
  <c r="H173" i="4"/>
  <c r="I173" i="4" s="1"/>
  <c r="J168" i="4"/>
  <c r="K168" i="4" s="1"/>
  <c r="J142" i="4"/>
  <c r="K142" i="4" s="1"/>
  <c r="H137" i="4"/>
  <c r="I137" i="4" s="1"/>
  <c r="J128" i="4"/>
  <c r="K128" i="4" s="1"/>
  <c r="J125" i="4"/>
  <c r="K125" i="4" s="1"/>
  <c r="J124" i="4"/>
  <c r="K124" i="4" s="1"/>
  <c r="J122" i="4"/>
  <c r="K122" i="4" s="1"/>
  <c r="J113" i="4"/>
  <c r="K113" i="4" s="1"/>
  <c r="H113" i="4"/>
  <c r="I113" i="4" s="1"/>
  <c r="H109" i="4"/>
  <c r="I109" i="4" s="1"/>
  <c r="H102" i="4"/>
  <c r="I102" i="4" s="1"/>
  <c r="H93" i="4"/>
  <c r="I93" i="4" s="1"/>
  <c r="J92" i="4"/>
  <c r="K92" i="4" s="1"/>
  <c r="H86" i="4"/>
  <c r="I86" i="4" s="1"/>
  <c r="H82" i="4"/>
  <c r="I82" i="4" s="1"/>
  <c r="H80" i="4"/>
  <c r="I80" i="4" s="1"/>
  <c r="J78" i="4"/>
  <c r="K78" i="4" s="1"/>
  <c r="H77" i="4"/>
  <c r="I77" i="4" s="1"/>
  <c r="H74" i="4"/>
  <c r="I74" i="4" s="1"/>
  <c r="J73" i="4"/>
  <c r="K73" i="4" s="1"/>
  <c r="L18" i="4"/>
  <c r="H16" i="4"/>
  <c r="I16" i="4" s="1"/>
  <c r="L12" i="4"/>
  <c r="H12" i="4"/>
  <c r="I12" i="4" s="1"/>
  <c r="L5" i="4"/>
  <c r="H248" i="3"/>
  <c r="I248" i="3" s="1"/>
  <c r="J240" i="3"/>
  <c r="K240" i="3" s="1"/>
  <c r="J234" i="3"/>
  <c r="K234" i="3" s="1"/>
  <c r="H230" i="3"/>
  <c r="I230" i="3" s="1"/>
  <c r="H221" i="3"/>
  <c r="I221" i="3" s="1"/>
  <c r="H219" i="3"/>
  <c r="I219" i="3" s="1"/>
  <c r="H218" i="3"/>
  <c r="I218" i="3" s="1"/>
  <c r="H217" i="3"/>
  <c r="I217" i="3" s="1"/>
  <c r="J205" i="3"/>
  <c r="K205" i="3" s="1"/>
  <c r="H205" i="3"/>
  <c r="I205" i="3" s="1"/>
  <c r="H199" i="3"/>
  <c r="I199" i="3" s="1"/>
  <c r="H198" i="3"/>
  <c r="I198" i="3" s="1"/>
  <c r="H192" i="3"/>
  <c r="I192" i="3" s="1"/>
  <c r="J191" i="3"/>
  <c r="K191" i="3" s="1"/>
  <c r="J187" i="3"/>
  <c r="K187" i="3" s="1"/>
  <c r="H185" i="3"/>
  <c r="I185" i="3" s="1"/>
  <c r="J182" i="3"/>
  <c r="K182" i="3" s="1"/>
  <c r="J180" i="3"/>
  <c r="K180" i="3" s="1"/>
  <c r="H179" i="3"/>
  <c r="I179" i="3" s="1"/>
  <c r="J177" i="3"/>
  <c r="K177" i="3" s="1"/>
  <c r="J174" i="3"/>
  <c r="K174" i="3" s="1"/>
  <c r="J167" i="3"/>
  <c r="K167" i="3" s="1"/>
  <c r="H161" i="3"/>
  <c r="I161" i="3" s="1"/>
  <c r="J158" i="3"/>
  <c r="K158" i="3" s="1"/>
  <c r="J153" i="3"/>
  <c r="K153" i="3" s="1"/>
  <c r="H144" i="3"/>
  <c r="I144" i="3" s="1"/>
  <c r="H139" i="3"/>
  <c r="I139" i="3" s="1"/>
  <c r="H137" i="3"/>
  <c r="I137" i="3" s="1"/>
  <c r="H131" i="3"/>
  <c r="I131" i="3" s="1"/>
  <c r="H120" i="3"/>
  <c r="I120" i="3" s="1"/>
  <c r="H119" i="3"/>
  <c r="I119" i="3" s="1"/>
  <c r="J116" i="3"/>
  <c r="K116" i="3" s="1"/>
  <c r="H116" i="3"/>
  <c r="I116" i="3" s="1"/>
  <c r="H113" i="3"/>
  <c r="I113" i="3" s="1"/>
  <c r="H108" i="3"/>
  <c r="I108" i="3" s="1"/>
  <c r="H107" i="3"/>
  <c r="I107" i="3" s="1"/>
  <c r="H102" i="3"/>
  <c r="I102" i="3" s="1"/>
  <c r="J100" i="3"/>
  <c r="K100" i="3" s="1"/>
  <c r="H97" i="3"/>
  <c r="I97" i="3" s="1"/>
  <c r="H91" i="3"/>
  <c r="I91" i="3" s="1"/>
  <c r="H82" i="3"/>
  <c r="I82" i="3" s="1"/>
  <c r="J81" i="3"/>
  <c r="K81" i="3" s="1"/>
  <c r="H73" i="3"/>
  <c r="I73" i="3" s="1"/>
  <c r="H60" i="3"/>
  <c r="I60" i="3" s="1"/>
  <c r="J57" i="3"/>
  <c r="K57" i="3" s="1"/>
  <c r="J54" i="3"/>
  <c r="K54" i="3" s="1"/>
  <c r="H49" i="3"/>
  <c r="I49" i="3" s="1"/>
  <c r="J44" i="3"/>
  <c r="K44" i="3" s="1"/>
  <c r="H40" i="3"/>
  <c r="I40" i="3" s="1"/>
  <c r="L29" i="3"/>
  <c r="L17" i="3"/>
  <c r="H17" i="3"/>
  <c r="I17" i="3" s="1"/>
  <c r="L12" i="3"/>
  <c r="H12" i="3"/>
  <c r="I12" i="3" s="1"/>
  <c r="L10" i="3"/>
  <c r="H10" i="3"/>
  <c r="I10" i="3" s="1"/>
  <c r="H7" i="3"/>
  <c r="I7" i="3" s="1"/>
  <c r="D26" i="7"/>
  <c r="C26" i="7"/>
  <c r="J251" i="5"/>
  <c r="K251" i="5" s="1"/>
  <c r="H251" i="5"/>
  <c r="I251" i="5" s="1"/>
  <c r="J250" i="5"/>
  <c r="K250" i="5" s="1"/>
  <c r="J249" i="5"/>
  <c r="K249" i="5" s="1"/>
  <c r="J244" i="5"/>
  <c r="K244" i="5" s="1"/>
  <c r="J243" i="5"/>
  <c r="K243" i="5" s="1"/>
  <c r="H241" i="5"/>
  <c r="I241" i="5" s="1"/>
  <c r="H240" i="5"/>
  <c r="I240" i="5" s="1"/>
  <c r="H239" i="5"/>
  <c r="I239" i="5" s="1"/>
  <c r="J238" i="5"/>
  <c r="K238" i="5" s="1"/>
  <c r="H238" i="5"/>
  <c r="I238" i="5" s="1"/>
  <c r="J237" i="5"/>
  <c r="K237" i="5" s="1"/>
  <c r="J236" i="5"/>
  <c r="K236" i="5" s="1"/>
  <c r="H235" i="5"/>
  <c r="I235" i="5" s="1"/>
  <c r="J234" i="5"/>
  <c r="K234" i="5" s="1"/>
  <c r="H234" i="5"/>
  <c r="I234" i="5" s="1"/>
  <c r="J233" i="5"/>
  <c r="K233" i="5" s="1"/>
  <c r="J232" i="5"/>
  <c r="K232" i="5" s="1"/>
  <c r="H232" i="5"/>
  <c r="I232" i="5" s="1"/>
  <c r="J231" i="5"/>
  <c r="K231" i="5" s="1"/>
  <c r="J228" i="5"/>
  <c r="K228" i="5" s="1"/>
  <c r="H228" i="5"/>
  <c r="I228" i="5" s="1"/>
  <c r="J227" i="5"/>
  <c r="K227" i="5" s="1"/>
  <c r="H227" i="5"/>
  <c r="I227" i="5" s="1"/>
  <c r="J226" i="5"/>
  <c r="K226" i="5" s="1"/>
  <c r="L4" i="5"/>
  <c r="H4" i="5"/>
  <c r="I4" i="5" s="1"/>
  <c r="L2" i="5"/>
  <c r="H2" i="5"/>
  <c r="I2" i="5" s="1"/>
  <c r="J251" i="4"/>
  <c r="K251" i="4" s="1"/>
  <c r="H251" i="4"/>
  <c r="I251" i="4" s="1"/>
  <c r="J248" i="4"/>
  <c r="K248" i="4" s="1"/>
  <c r="H248" i="4"/>
  <c r="I248" i="4" s="1"/>
  <c r="J247" i="4"/>
  <c r="K247" i="4" s="1"/>
  <c r="H247" i="4"/>
  <c r="I247" i="4" s="1"/>
  <c r="J246" i="4"/>
  <c r="K246" i="4" s="1"/>
  <c r="H246" i="4"/>
  <c r="I246" i="4" s="1"/>
  <c r="H245" i="4"/>
  <c r="I245" i="4" s="1"/>
  <c r="J241" i="4"/>
  <c r="K241" i="4" s="1"/>
  <c r="H241" i="4"/>
  <c r="I241" i="4" s="1"/>
  <c r="J240" i="4"/>
  <c r="K240" i="4" s="1"/>
  <c r="J239" i="4"/>
  <c r="K239" i="4" s="1"/>
  <c r="H238" i="4"/>
  <c r="I238" i="4" s="1"/>
  <c r="J237" i="4"/>
  <c r="K237" i="4" s="1"/>
  <c r="H237" i="4"/>
  <c r="I237" i="4" s="1"/>
  <c r="H236" i="4"/>
  <c r="I236" i="4" s="1"/>
  <c r="H234" i="4"/>
  <c r="I234" i="4" s="1"/>
  <c r="J233" i="4"/>
  <c r="K233" i="4" s="1"/>
  <c r="H201" i="4"/>
  <c r="I201" i="4" s="1"/>
  <c r="J200" i="4"/>
  <c r="K200" i="4" s="1"/>
  <c r="J199" i="4"/>
  <c r="K199" i="4" s="1"/>
  <c r="J198" i="4"/>
  <c r="K198" i="4" s="1"/>
  <c r="J197" i="4"/>
  <c r="K197" i="4" s="1"/>
  <c r="H197" i="4"/>
  <c r="I197" i="4" s="1"/>
  <c r="J196" i="4"/>
  <c r="K196" i="4" s="1"/>
  <c r="J195" i="4"/>
  <c r="K195" i="4" s="1"/>
  <c r="H195" i="4"/>
  <c r="I195" i="4" s="1"/>
  <c r="J193" i="4"/>
  <c r="K193" i="4" s="1"/>
  <c r="H193" i="4"/>
  <c r="I193" i="4" s="1"/>
  <c r="J192" i="4"/>
  <c r="K192" i="4" s="1"/>
  <c r="H192" i="4"/>
  <c r="I192" i="4" s="1"/>
  <c r="H191" i="4"/>
  <c r="I191" i="4" s="1"/>
  <c r="J190" i="4"/>
  <c r="K190" i="4" s="1"/>
  <c r="H190" i="4"/>
  <c r="I190" i="4" s="1"/>
  <c r="J188" i="4"/>
  <c r="K188" i="4" s="1"/>
  <c r="J187" i="4"/>
  <c r="K187" i="4" s="1"/>
  <c r="J185" i="4"/>
  <c r="K185" i="4" s="1"/>
  <c r="J183" i="4"/>
  <c r="K183" i="4" s="1"/>
  <c r="H183" i="4"/>
  <c r="I183" i="4" s="1"/>
  <c r="H179" i="4"/>
  <c r="I179" i="4" s="1"/>
  <c r="H177" i="4"/>
  <c r="I177" i="4" s="1"/>
  <c r="J175" i="4"/>
  <c r="K175" i="4" s="1"/>
  <c r="J174" i="4"/>
  <c r="K174" i="4" s="1"/>
  <c r="H174" i="4"/>
  <c r="I174" i="4" s="1"/>
  <c r="J173" i="4"/>
  <c r="K173" i="4" s="1"/>
  <c r="J172" i="4"/>
  <c r="K172" i="4" s="1"/>
  <c r="J171" i="4"/>
  <c r="K171" i="4" s="1"/>
  <c r="H170" i="4"/>
  <c r="I170" i="4" s="1"/>
  <c r="H168" i="4"/>
  <c r="I168" i="4" s="1"/>
  <c r="J167" i="4"/>
  <c r="K167" i="4" s="1"/>
  <c r="J166" i="4"/>
  <c r="K166" i="4" s="1"/>
  <c r="H166" i="4"/>
  <c r="I166" i="4" s="1"/>
  <c r="J164" i="4"/>
  <c r="K164" i="4" s="1"/>
  <c r="H164" i="4"/>
  <c r="I164" i="4" s="1"/>
  <c r="J163" i="4"/>
  <c r="K163" i="4" s="1"/>
  <c r="H163" i="4"/>
  <c r="I163" i="4" s="1"/>
  <c r="J162" i="4"/>
  <c r="K162" i="4" s="1"/>
  <c r="J161" i="4"/>
  <c r="K161" i="4" s="1"/>
  <c r="J160" i="4"/>
  <c r="K160" i="4" s="1"/>
  <c r="J144" i="4"/>
  <c r="K144" i="4" s="1"/>
  <c r="H144" i="4"/>
  <c r="I144" i="4" s="1"/>
  <c r="H143" i="4"/>
  <c r="I143" i="4" s="1"/>
  <c r="H142" i="4"/>
  <c r="I142" i="4" s="1"/>
  <c r="H141" i="4"/>
  <c r="I141" i="4" s="1"/>
  <c r="H139" i="4"/>
  <c r="I139" i="4" s="1"/>
  <c r="J138" i="4"/>
  <c r="K138" i="4" s="1"/>
  <c r="J136" i="4"/>
  <c r="K136" i="4" s="1"/>
  <c r="H135" i="4"/>
  <c r="I135" i="4" s="1"/>
  <c r="J134" i="4"/>
  <c r="K134" i="4" s="1"/>
  <c r="J130" i="4"/>
  <c r="K130" i="4" s="1"/>
  <c r="H130" i="4"/>
  <c r="I130" i="4" s="1"/>
  <c r="H129" i="4"/>
  <c r="I129" i="4" s="1"/>
  <c r="H128" i="4"/>
  <c r="I128" i="4" s="1"/>
  <c r="J127" i="4"/>
  <c r="K127" i="4" s="1"/>
  <c r="H127" i="4"/>
  <c r="I127" i="4" s="1"/>
  <c r="J126" i="4"/>
  <c r="K126" i="4" s="1"/>
  <c r="H125" i="4"/>
  <c r="I125" i="4" s="1"/>
  <c r="H124" i="4"/>
  <c r="I124" i="4" s="1"/>
  <c r="J123" i="4"/>
  <c r="K123" i="4" s="1"/>
  <c r="J121" i="4"/>
  <c r="K121" i="4" s="1"/>
  <c r="H121" i="4"/>
  <c r="I121" i="4" s="1"/>
  <c r="J120" i="4"/>
  <c r="K120" i="4" s="1"/>
  <c r="H120" i="4"/>
  <c r="I120" i="4" s="1"/>
  <c r="J119" i="4"/>
  <c r="K119" i="4" s="1"/>
  <c r="H119" i="4"/>
  <c r="I119" i="4" s="1"/>
  <c r="J118" i="4"/>
  <c r="K118" i="4" s="1"/>
  <c r="H117" i="4"/>
  <c r="I117" i="4" s="1"/>
  <c r="H116" i="4"/>
  <c r="I116" i="4" s="1"/>
  <c r="J114" i="4"/>
  <c r="K114" i="4" s="1"/>
  <c r="H114" i="4"/>
  <c r="I114" i="4" s="1"/>
  <c r="J112" i="4"/>
  <c r="K112" i="4" s="1"/>
  <c r="H112" i="4"/>
  <c r="I112" i="4" s="1"/>
  <c r="H111" i="4"/>
  <c r="I111" i="4" s="1"/>
  <c r="H110" i="4"/>
  <c r="I110" i="4" s="1"/>
  <c r="H108" i="4"/>
  <c r="I108" i="4" s="1"/>
  <c r="J107" i="4"/>
  <c r="K107" i="4" s="1"/>
  <c r="H105" i="4"/>
  <c r="I105" i="4" s="1"/>
  <c r="J104" i="4"/>
  <c r="K104" i="4" s="1"/>
  <c r="J102" i="4"/>
  <c r="K102" i="4" s="1"/>
  <c r="J101" i="4"/>
  <c r="K101" i="4" s="1"/>
  <c r="H100" i="4"/>
  <c r="I100" i="4" s="1"/>
  <c r="J98" i="4"/>
  <c r="K98" i="4" s="1"/>
  <c r="J97" i="4"/>
  <c r="K97" i="4" s="1"/>
  <c r="H97" i="4"/>
  <c r="I97" i="4" s="1"/>
  <c r="J95" i="4"/>
  <c r="K95" i="4" s="1"/>
  <c r="J91" i="4"/>
  <c r="K91" i="4" s="1"/>
  <c r="J90" i="4"/>
  <c r="K90" i="4" s="1"/>
  <c r="H90" i="4"/>
  <c r="I90" i="4" s="1"/>
  <c r="J87" i="4"/>
  <c r="K87" i="4" s="1"/>
  <c r="J85" i="4"/>
  <c r="K85" i="4" s="1"/>
  <c r="H85" i="4"/>
  <c r="I85" i="4" s="1"/>
  <c r="J84" i="4"/>
  <c r="K84" i="4" s="1"/>
  <c r="J81" i="4"/>
  <c r="K81" i="4" s="1"/>
  <c r="H81" i="4"/>
  <c r="I81" i="4" s="1"/>
  <c r="H78" i="4"/>
  <c r="I78" i="4" s="1"/>
  <c r="J75" i="4"/>
  <c r="K75" i="4" s="1"/>
  <c r="H75" i="4"/>
  <c r="I75" i="4" s="1"/>
  <c r="H73" i="4"/>
  <c r="I73" i="4" s="1"/>
  <c r="H72" i="4"/>
  <c r="I72" i="4" s="1"/>
  <c r="H70" i="4"/>
  <c r="I70" i="4" s="1"/>
  <c r="H69" i="4"/>
  <c r="I69" i="4" s="1"/>
  <c r="L30" i="4"/>
  <c r="H28" i="4"/>
  <c r="I28" i="4" s="1"/>
  <c r="L25" i="4"/>
  <c r="H24" i="4"/>
  <c r="I24" i="4" s="1"/>
  <c r="L23" i="4"/>
  <c r="L22" i="4"/>
  <c r="H22" i="4"/>
  <c r="I22" i="4" s="1"/>
  <c r="L20" i="4"/>
  <c r="H18" i="4"/>
  <c r="I18" i="4" s="1"/>
  <c r="H17" i="4"/>
  <c r="I17" i="4" s="1"/>
  <c r="L16" i="4"/>
  <c r="L15" i="4"/>
  <c r="H15" i="4"/>
  <c r="I15" i="4" s="1"/>
  <c r="J14" i="4"/>
  <c r="K14" i="4" s="1"/>
  <c r="H13" i="4"/>
  <c r="I13" i="4" s="1"/>
  <c r="H11" i="4"/>
  <c r="I11" i="4" s="1"/>
  <c r="L10" i="4"/>
  <c r="H9" i="4"/>
  <c r="I9" i="4" s="1"/>
  <c r="H8" i="4"/>
  <c r="I8" i="4" s="1"/>
  <c r="L7" i="4"/>
  <c r="H7" i="4"/>
  <c r="I7" i="4" s="1"/>
  <c r="L6" i="4"/>
  <c r="J5" i="4"/>
  <c r="K5" i="4" s="1"/>
  <c r="H5" i="4"/>
  <c r="I5" i="4" s="1"/>
  <c r="L4" i="4"/>
  <c r="H3" i="4"/>
  <c r="I3" i="4" s="1"/>
  <c r="J2" i="4"/>
  <c r="H2" i="4"/>
  <c r="I2" i="4" s="1"/>
  <c r="H249" i="3"/>
  <c r="I249" i="3" s="1"/>
  <c r="J248" i="3"/>
  <c r="K248" i="3" s="1"/>
  <c r="J243" i="3"/>
  <c r="K243" i="3" s="1"/>
  <c r="H238" i="3"/>
  <c r="I238" i="3" s="1"/>
  <c r="H237" i="3"/>
  <c r="I237" i="3" s="1"/>
  <c r="J236" i="3"/>
  <c r="K236" i="3" s="1"/>
  <c r="J235" i="3"/>
  <c r="K235" i="3" s="1"/>
  <c r="H235" i="3"/>
  <c r="I235" i="3" s="1"/>
  <c r="H233" i="3"/>
  <c r="I233" i="3" s="1"/>
  <c r="J232" i="3"/>
  <c r="K232" i="3" s="1"/>
  <c r="H232" i="3"/>
  <c r="I232" i="3" s="1"/>
  <c r="J229" i="3"/>
  <c r="K229" i="3" s="1"/>
  <c r="J228" i="3"/>
  <c r="K228" i="3" s="1"/>
  <c r="J227" i="3"/>
  <c r="K227" i="3" s="1"/>
  <c r="H227" i="3"/>
  <c r="I227" i="3" s="1"/>
  <c r="H226" i="3"/>
  <c r="I226" i="3" s="1"/>
  <c r="J225" i="3"/>
  <c r="K225" i="3" s="1"/>
  <c r="H225" i="3"/>
  <c r="I225" i="3" s="1"/>
  <c r="J223" i="3"/>
  <c r="K223" i="3" s="1"/>
  <c r="J222" i="3"/>
  <c r="K222" i="3" s="1"/>
  <c r="J220" i="3"/>
  <c r="K220" i="3" s="1"/>
  <c r="J218" i="3"/>
  <c r="K218" i="3" s="1"/>
  <c r="J216" i="3"/>
  <c r="K216" i="3" s="1"/>
  <c r="H216" i="3"/>
  <c r="I216" i="3" s="1"/>
  <c r="J215" i="3"/>
  <c r="K215" i="3" s="1"/>
  <c r="H212" i="3"/>
  <c r="I212" i="3" s="1"/>
  <c r="J210" i="3"/>
  <c r="K210" i="3" s="1"/>
  <c r="H210" i="3"/>
  <c r="I210" i="3" s="1"/>
  <c r="J209" i="3"/>
  <c r="K209" i="3" s="1"/>
  <c r="J208" i="3"/>
  <c r="K208" i="3" s="1"/>
  <c r="J207" i="3"/>
  <c r="K207" i="3" s="1"/>
  <c r="J206" i="3"/>
  <c r="K206" i="3" s="1"/>
  <c r="H203" i="3"/>
  <c r="I203" i="3" s="1"/>
  <c r="H202" i="3"/>
  <c r="I202" i="3" s="1"/>
  <c r="H201" i="3"/>
  <c r="I201" i="3" s="1"/>
  <c r="H197" i="3"/>
  <c r="I197" i="3" s="1"/>
  <c r="J196" i="3"/>
  <c r="K196" i="3" s="1"/>
  <c r="H196" i="3"/>
  <c r="I196" i="3" s="1"/>
  <c r="J195" i="3"/>
  <c r="K195" i="3" s="1"/>
  <c r="H195" i="3"/>
  <c r="I195" i="3" s="1"/>
  <c r="J194" i="3"/>
  <c r="K194" i="3" s="1"/>
  <c r="J193" i="3"/>
  <c r="K193" i="3" s="1"/>
  <c r="H193" i="3"/>
  <c r="I193" i="3" s="1"/>
  <c r="J190" i="3"/>
  <c r="K190" i="3" s="1"/>
  <c r="H189" i="3"/>
  <c r="I189" i="3" s="1"/>
  <c r="H188" i="3"/>
  <c r="I188" i="3" s="1"/>
  <c r="J184" i="3"/>
  <c r="K184" i="3" s="1"/>
  <c r="H182" i="3"/>
  <c r="I182" i="3" s="1"/>
  <c r="H174" i="3"/>
  <c r="I174" i="3" s="1"/>
  <c r="H172" i="3"/>
  <c r="I172" i="3" s="1"/>
  <c r="H170" i="3"/>
  <c r="I170" i="3" s="1"/>
  <c r="J169" i="3"/>
  <c r="K169" i="3" s="1"/>
  <c r="H169" i="3"/>
  <c r="I169" i="3" s="1"/>
  <c r="J166" i="3"/>
  <c r="K166" i="3" s="1"/>
  <c r="J165" i="3"/>
  <c r="K165" i="3" s="1"/>
  <c r="H165" i="3"/>
  <c r="I165" i="3" s="1"/>
  <c r="J164" i="3"/>
  <c r="K164" i="3" s="1"/>
  <c r="H162" i="3"/>
  <c r="I162" i="3" s="1"/>
  <c r="H159" i="3"/>
  <c r="I159" i="3" s="1"/>
  <c r="H158" i="3"/>
  <c r="I158" i="3" s="1"/>
  <c r="J156" i="3"/>
  <c r="K156" i="3" s="1"/>
  <c r="H156" i="3"/>
  <c r="I156" i="3" s="1"/>
  <c r="J152" i="3"/>
  <c r="K152" i="3" s="1"/>
  <c r="H152" i="3"/>
  <c r="I152" i="3" s="1"/>
  <c r="H150" i="3"/>
  <c r="I150" i="3" s="1"/>
  <c r="J148" i="3"/>
  <c r="K148" i="3" s="1"/>
  <c r="J146" i="3"/>
  <c r="K146" i="3" s="1"/>
  <c r="J144" i="3"/>
  <c r="K144" i="3" s="1"/>
  <c r="J143" i="3"/>
  <c r="K143" i="3" s="1"/>
  <c r="H143" i="3"/>
  <c r="I143" i="3" s="1"/>
  <c r="H142" i="3"/>
  <c r="I142" i="3" s="1"/>
  <c r="J139" i="3"/>
  <c r="K139" i="3" s="1"/>
  <c r="J136" i="3"/>
  <c r="K136" i="3" s="1"/>
  <c r="J133" i="3"/>
  <c r="K133" i="3" s="1"/>
  <c r="H133" i="3"/>
  <c r="I133" i="3" s="1"/>
  <c r="H132" i="3"/>
  <c r="I132" i="3" s="1"/>
  <c r="J130" i="3"/>
  <c r="K130" i="3" s="1"/>
  <c r="H130" i="3"/>
  <c r="I130" i="3" s="1"/>
  <c r="H125" i="3"/>
  <c r="I125" i="3" s="1"/>
  <c r="J123" i="3"/>
  <c r="K123" i="3" s="1"/>
  <c r="J122" i="3"/>
  <c r="K122" i="3" s="1"/>
  <c r="J118" i="3"/>
  <c r="K118" i="3" s="1"/>
  <c r="H118" i="3"/>
  <c r="I118" i="3" s="1"/>
  <c r="J117" i="3"/>
  <c r="K117" i="3" s="1"/>
  <c r="H117" i="3"/>
  <c r="I117" i="3" s="1"/>
  <c r="H115" i="3"/>
  <c r="I115" i="3" s="1"/>
  <c r="J113" i="3"/>
  <c r="K113" i="3" s="1"/>
  <c r="J112" i="3"/>
  <c r="K112" i="3" s="1"/>
  <c r="H112" i="3"/>
  <c r="I112" i="3" s="1"/>
  <c r="J111" i="3"/>
  <c r="K111" i="3" s="1"/>
  <c r="J110" i="3"/>
  <c r="K110" i="3" s="1"/>
  <c r="H110" i="3"/>
  <c r="I110" i="3" s="1"/>
  <c r="J107" i="3"/>
  <c r="K107" i="3" s="1"/>
  <c r="J102" i="3"/>
  <c r="K102" i="3" s="1"/>
  <c r="J98" i="3"/>
  <c r="K98" i="3" s="1"/>
  <c r="J97" i="3"/>
  <c r="K97" i="3" s="1"/>
  <c r="H96" i="3"/>
  <c r="I96" i="3" s="1"/>
  <c r="J94" i="3"/>
  <c r="K94" i="3" s="1"/>
  <c r="H94" i="3"/>
  <c r="I94" i="3" s="1"/>
  <c r="H93" i="3"/>
  <c r="I93" i="3" s="1"/>
  <c r="J92" i="3"/>
  <c r="K92" i="3" s="1"/>
  <c r="J90" i="3"/>
  <c r="K90" i="3" s="1"/>
  <c r="H90" i="3"/>
  <c r="I90" i="3" s="1"/>
  <c r="J88" i="3"/>
  <c r="K88" i="3" s="1"/>
  <c r="J87" i="3"/>
  <c r="K87" i="3" s="1"/>
  <c r="J86" i="3"/>
  <c r="K86" i="3" s="1"/>
  <c r="J85" i="3"/>
  <c r="K85" i="3" s="1"/>
  <c r="H85" i="3"/>
  <c r="I85" i="3" s="1"/>
  <c r="J84" i="3"/>
  <c r="K84" i="3" s="1"/>
  <c r="H84" i="3"/>
  <c r="I84" i="3" s="1"/>
  <c r="H83" i="3"/>
  <c r="I83" i="3" s="1"/>
  <c r="H81" i="3"/>
  <c r="I81" i="3" s="1"/>
  <c r="H80" i="3"/>
  <c r="I80" i="3" s="1"/>
  <c r="J78" i="3"/>
  <c r="K78" i="3" s="1"/>
  <c r="H78" i="3"/>
  <c r="I78" i="3" s="1"/>
  <c r="J77" i="3"/>
  <c r="K77" i="3" s="1"/>
  <c r="H75" i="3"/>
  <c r="I75" i="3" s="1"/>
  <c r="J74" i="3"/>
  <c r="K74" i="3" s="1"/>
  <c r="J73" i="3"/>
  <c r="K73" i="3" s="1"/>
  <c r="J72" i="3"/>
  <c r="K72" i="3" s="1"/>
  <c r="J71" i="3"/>
  <c r="K71" i="3" s="1"/>
  <c r="H70" i="3"/>
  <c r="I70" i="3" s="1"/>
  <c r="J67" i="3"/>
  <c r="K67" i="3" s="1"/>
  <c r="H67" i="3"/>
  <c r="I67" i="3" s="1"/>
  <c r="H66" i="3"/>
  <c r="I66" i="3" s="1"/>
  <c r="J64" i="3"/>
  <c r="K64" i="3" s="1"/>
  <c r="J62" i="3"/>
  <c r="K62" i="3" s="1"/>
  <c r="J60" i="3"/>
  <c r="K60" i="3" s="1"/>
  <c r="J58" i="3"/>
  <c r="K58" i="3" s="1"/>
  <c r="H57" i="3"/>
  <c r="I57" i="3" s="1"/>
  <c r="J53" i="3"/>
  <c r="K53" i="3" s="1"/>
  <c r="H53" i="3"/>
  <c r="I53" i="3" s="1"/>
  <c r="J52" i="3"/>
  <c r="K52" i="3" s="1"/>
  <c r="H52" i="3"/>
  <c r="I52" i="3" s="1"/>
  <c r="J50" i="3"/>
  <c r="K50" i="3" s="1"/>
  <c r="J49" i="3"/>
  <c r="K49" i="3" s="1"/>
  <c r="H48" i="3"/>
  <c r="I48" i="3" s="1"/>
  <c r="J46" i="3"/>
  <c r="K46" i="3" s="1"/>
  <c r="H46" i="3"/>
  <c r="I46" i="3" s="1"/>
  <c r="H249" i="5"/>
  <c r="I249" i="5" s="1"/>
  <c r="J248" i="5"/>
  <c r="K248" i="5" s="1"/>
  <c r="H248" i="5"/>
  <c r="I248" i="5" s="1"/>
  <c r="H245" i="5"/>
  <c r="I245" i="5" s="1"/>
  <c r="J239" i="5"/>
  <c r="K239" i="5" s="1"/>
  <c r="H237" i="5"/>
  <c r="I237" i="5" s="1"/>
  <c r="H236" i="5"/>
  <c r="I236" i="5" s="1"/>
  <c r="H230" i="5"/>
  <c r="I230" i="5" s="1"/>
  <c r="J229" i="5"/>
  <c r="K229" i="5" s="1"/>
  <c r="H229" i="5"/>
  <c r="I229" i="5" s="1"/>
  <c r="H3" i="5"/>
  <c r="I3" i="5" s="1"/>
  <c r="J2" i="5"/>
  <c r="H250" i="4"/>
  <c r="I250" i="4" s="1"/>
  <c r="J249" i="4"/>
  <c r="K249" i="4" s="1"/>
  <c r="H244" i="4"/>
  <c r="I244" i="4" s="1"/>
  <c r="H243" i="4"/>
  <c r="I243" i="4" s="1"/>
  <c r="J242" i="4"/>
  <c r="K242" i="4" s="1"/>
  <c r="J238" i="4"/>
  <c r="K238" i="4" s="1"/>
  <c r="J234" i="4"/>
  <c r="K234" i="4" s="1"/>
  <c r="J232" i="4"/>
  <c r="K232" i="4" s="1"/>
  <c r="J229" i="4"/>
  <c r="K229" i="4" s="1"/>
  <c r="H229" i="4"/>
  <c r="I229" i="4" s="1"/>
  <c r="J228" i="4"/>
  <c r="K228" i="4" s="1"/>
  <c r="K225" i="4"/>
  <c r="H175" i="4"/>
  <c r="I175" i="4" s="1"/>
  <c r="H162" i="4"/>
  <c r="I162" i="4" s="1"/>
  <c r="H161" i="4"/>
  <c r="I161" i="4" s="1"/>
  <c r="J141" i="4"/>
  <c r="K141" i="4" s="1"/>
  <c r="J133" i="4"/>
  <c r="K133" i="4" s="1"/>
  <c r="H133" i="4"/>
  <c r="I133" i="4" s="1"/>
  <c r="H126" i="4"/>
  <c r="I126" i="4" s="1"/>
  <c r="H118" i="4"/>
  <c r="I118" i="4" s="1"/>
  <c r="J117" i="4"/>
  <c r="K117" i="4" s="1"/>
  <c r="J116" i="4"/>
  <c r="K116" i="4" s="1"/>
  <c r="J115" i="4"/>
  <c r="K115" i="4" s="1"/>
  <c r="H115" i="4"/>
  <c r="I115" i="4" s="1"/>
  <c r="J108" i="4"/>
  <c r="K108" i="4" s="1"/>
  <c r="J103" i="4"/>
  <c r="K103" i="4" s="1"/>
  <c r="H101" i="4"/>
  <c r="I101" i="4" s="1"/>
  <c r="J100" i="4"/>
  <c r="K100" i="4" s="1"/>
  <c r="J89" i="4"/>
  <c r="K89" i="4" s="1"/>
  <c r="J83" i="4"/>
  <c r="K83" i="4" s="1"/>
  <c r="H79" i="4"/>
  <c r="I79" i="4" s="1"/>
  <c r="J76" i="4"/>
  <c r="K76" i="4" s="1"/>
  <c r="H76" i="4"/>
  <c r="I76" i="4" s="1"/>
  <c r="H27" i="4"/>
  <c r="I27" i="4" s="1"/>
  <c r="H20" i="4"/>
  <c r="I20" i="4" s="1"/>
  <c r="H14" i="4"/>
  <c r="I14" i="4" s="1"/>
  <c r="L13" i="4"/>
  <c r="L9" i="4"/>
  <c r="H6" i="4"/>
  <c r="I6" i="4" s="1"/>
  <c r="J250" i="3"/>
  <c r="K250" i="3" s="1"/>
  <c r="H247" i="3"/>
  <c r="I247" i="3" s="1"/>
  <c r="J246" i="3"/>
  <c r="K246" i="3" s="1"/>
  <c r="H246" i="3"/>
  <c r="I246" i="3" s="1"/>
  <c r="J244" i="3"/>
  <c r="K244" i="3" s="1"/>
  <c r="H244" i="3"/>
  <c r="I244" i="3" s="1"/>
  <c r="H241" i="3"/>
  <c r="I241" i="3" s="1"/>
  <c r="H234" i="3"/>
  <c r="I234" i="3" s="1"/>
  <c r="J221" i="3"/>
  <c r="K221" i="3" s="1"/>
  <c r="H215" i="3"/>
  <c r="I215" i="3" s="1"/>
  <c r="H204" i="3"/>
  <c r="I204" i="3" s="1"/>
  <c r="J203" i="3"/>
  <c r="K203" i="3" s="1"/>
  <c r="J192" i="3"/>
  <c r="K192" i="3" s="1"/>
  <c r="H191" i="3"/>
  <c r="I191" i="3" s="1"/>
  <c r="H186" i="3"/>
  <c r="I186" i="3" s="1"/>
  <c r="J183" i="3"/>
  <c r="K183" i="3" s="1"/>
  <c r="J173" i="3"/>
  <c r="K173" i="3" s="1"/>
  <c r="J172" i="3"/>
  <c r="K172" i="3" s="1"/>
  <c r="J171" i="3"/>
  <c r="K171" i="3" s="1"/>
  <c r="J168" i="3"/>
  <c r="K168" i="3" s="1"/>
  <c r="H166" i="3"/>
  <c r="I166" i="3" s="1"/>
  <c r="J163" i="3"/>
  <c r="K163" i="3" s="1"/>
  <c r="J160" i="3"/>
  <c r="K160" i="3" s="1"/>
  <c r="H157" i="3"/>
  <c r="I157" i="3" s="1"/>
  <c r="H154" i="3"/>
  <c r="I154" i="3" s="1"/>
  <c r="J150" i="3"/>
  <c r="K150" i="3" s="1"/>
  <c r="J149" i="3"/>
  <c r="K149" i="3" s="1"/>
  <c r="J142" i="3"/>
  <c r="K142" i="3" s="1"/>
  <c r="J141" i="3"/>
  <c r="K141" i="3" s="1"/>
  <c r="J137" i="3"/>
  <c r="K137" i="3" s="1"/>
  <c r="J131" i="3"/>
  <c r="K131" i="3" s="1"/>
  <c r="H129" i="3"/>
  <c r="I129" i="3" s="1"/>
  <c r="H111" i="3"/>
  <c r="I111" i="3" s="1"/>
  <c r="J109" i="3"/>
  <c r="K109" i="3" s="1"/>
  <c r="H109" i="3"/>
  <c r="I109" i="3" s="1"/>
  <c r="J106" i="3"/>
  <c r="K106" i="3" s="1"/>
  <c r="J105" i="3"/>
  <c r="K105" i="3" s="1"/>
  <c r="J103" i="3"/>
  <c r="K103" i="3" s="1"/>
  <c r="H103" i="3"/>
  <c r="I103" i="3" s="1"/>
  <c r="J99" i="3"/>
  <c r="K99" i="3" s="1"/>
  <c r="H95" i="3"/>
  <c r="I95" i="3" s="1"/>
  <c r="J91" i="3"/>
  <c r="K91" i="3" s="1"/>
  <c r="J89" i="3"/>
  <c r="K89" i="3" s="1"/>
  <c r="J83" i="3"/>
  <c r="K83" i="3" s="1"/>
  <c r="J82" i="3"/>
  <c r="K82" i="3" s="1"/>
  <c r="H79" i="3"/>
  <c r="I79" i="3" s="1"/>
  <c r="J76" i="3"/>
  <c r="K76" i="3" s="1"/>
  <c r="H76" i="3"/>
  <c r="I76" i="3" s="1"/>
  <c r="H74" i="3"/>
  <c r="I74" i="3" s="1"/>
  <c r="H72" i="3"/>
  <c r="I72" i="3" s="1"/>
  <c r="J70" i="3"/>
  <c r="K70" i="3" s="1"/>
  <c r="J69" i="3"/>
  <c r="K69" i="3" s="1"/>
  <c r="J68" i="3"/>
  <c r="K68" i="3" s="1"/>
  <c r="J65" i="3"/>
  <c r="K65" i="3" s="1"/>
  <c r="J48" i="3"/>
  <c r="K48" i="3" s="1"/>
  <c r="J47" i="3"/>
  <c r="K47" i="3" s="1"/>
  <c r="J42" i="3"/>
  <c r="K42" i="3" s="1"/>
  <c r="L40" i="3"/>
  <c r="L39" i="3"/>
  <c r="L34" i="3"/>
  <c r="L30" i="3"/>
  <c r="H22" i="3"/>
  <c r="I22" i="3" s="1"/>
  <c r="L19" i="3"/>
  <c r="L14" i="3"/>
  <c r="L11" i="3"/>
  <c r="D28" i="7"/>
  <c r="C28" i="7"/>
  <c r="H250" i="5"/>
  <c r="I250" i="5" s="1"/>
  <c r="J247" i="5"/>
  <c r="K247" i="5" s="1"/>
  <c r="H247" i="5"/>
  <c r="I247" i="5" s="1"/>
  <c r="H246" i="5"/>
  <c r="I246" i="5" s="1"/>
  <c r="J245" i="5"/>
  <c r="K245" i="5" s="1"/>
  <c r="H244" i="5"/>
  <c r="I244" i="5" s="1"/>
  <c r="H243" i="5"/>
  <c r="I243" i="5" s="1"/>
  <c r="J242" i="5"/>
  <c r="K242" i="5" s="1"/>
  <c r="J235" i="5"/>
  <c r="K235" i="5" s="1"/>
  <c r="J230" i="5"/>
  <c r="K230" i="5" s="1"/>
  <c r="J225" i="5"/>
  <c r="K225" i="5" s="1"/>
  <c r="H225" i="5"/>
  <c r="I225" i="5" s="1"/>
  <c r="J224" i="5"/>
  <c r="K224" i="5" s="1"/>
  <c r="H224" i="5"/>
  <c r="I224" i="5" s="1"/>
  <c r="J223" i="5"/>
  <c r="K223" i="5" s="1"/>
  <c r="H223" i="5"/>
  <c r="I223" i="5" s="1"/>
  <c r="J222" i="5"/>
  <c r="K222" i="5" s="1"/>
  <c r="H222" i="5"/>
  <c r="I222" i="5" s="1"/>
  <c r="J221" i="5"/>
  <c r="K221" i="5" s="1"/>
  <c r="H221" i="5"/>
  <c r="I221" i="5" s="1"/>
  <c r="J220" i="5"/>
  <c r="K220" i="5" s="1"/>
  <c r="H220" i="5"/>
  <c r="I220" i="5" s="1"/>
  <c r="J219" i="5"/>
  <c r="K219" i="5" s="1"/>
  <c r="H219" i="5"/>
  <c r="I219" i="5" s="1"/>
  <c r="J218" i="5"/>
  <c r="K218" i="5" s="1"/>
  <c r="H218" i="5"/>
  <c r="I218" i="5" s="1"/>
  <c r="J217" i="5"/>
  <c r="K217" i="5" s="1"/>
  <c r="H217" i="5"/>
  <c r="I217" i="5" s="1"/>
  <c r="J216" i="5"/>
  <c r="K216" i="5" s="1"/>
  <c r="H216" i="5"/>
  <c r="I216" i="5" s="1"/>
  <c r="J215" i="5"/>
  <c r="K215" i="5" s="1"/>
  <c r="H215" i="5"/>
  <c r="I215" i="5" s="1"/>
  <c r="J214" i="5"/>
  <c r="K214" i="5" s="1"/>
  <c r="H214" i="5"/>
  <c r="I214" i="5" s="1"/>
  <c r="J213" i="5"/>
  <c r="K213" i="5" s="1"/>
  <c r="H213" i="5"/>
  <c r="I213" i="5" s="1"/>
  <c r="J212" i="5"/>
  <c r="K212" i="5" s="1"/>
  <c r="H212" i="5"/>
  <c r="I212" i="5" s="1"/>
  <c r="J211" i="5"/>
  <c r="K211" i="5" s="1"/>
  <c r="H211" i="5"/>
  <c r="I211" i="5" s="1"/>
  <c r="J210" i="5"/>
  <c r="K210" i="5" s="1"/>
  <c r="H210" i="5"/>
  <c r="I210" i="5" s="1"/>
  <c r="J209" i="5"/>
  <c r="K209" i="5" s="1"/>
  <c r="H209" i="5"/>
  <c r="I209" i="5" s="1"/>
  <c r="J208" i="5"/>
  <c r="K208" i="5" s="1"/>
  <c r="H208" i="5"/>
  <c r="I208" i="5" s="1"/>
  <c r="J207" i="5"/>
  <c r="K207" i="5" s="1"/>
  <c r="H207" i="5"/>
  <c r="I207" i="5" s="1"/>
  <c r="J206" i="5"/>
  <c r="K206" i="5" s="1"/>
  <c r="H206" i="5"/>
  <c r="I206" i="5" s="1"/>
  <c r="J205" i="5"/>
  <c r="K205" i="5" s="1"/>
  <c r="H205" i="5"/>
  <c r="I205" i="5" s="1"/>
  <c r="J204" i="5"/>
  <c r="K204" i="5" s="1"/>
  <c r="H204" i="5"/>
  <c r="I204" i="5" s="1"/>
  <c r="J203" i="5"/>
  <c r="K203" i="5" s="1"/>
  <c r="H203" i="5"/>
  <c r="I203" i="5" s="1"/>
  <c r="J202" i="5"/>
  <c r="K202" i="5" s="1"/>
  <c r="H202" i="5"/>
  <c r="I202" i="5" s="1"/>
  <c r="J201" i="5"/>
  <c r="K201" i="5" s="1"/>
  <c r="H201" i="5"/>
  <c r="I201" i="5" s="1"/>
  <c r="J200" i="5"/>
  <c r="K200" i="5" s="1"/>
  <c r="H200" i="5"/>
  <c r="I200" i="5" s="1"/>
  <c r="J199" i="5"/>
  <c r="K199" i="5" s="1"/>
  <c r="H199" i="5"/>
  <c r="I199" i="5" s="1"/>
  <c r="J198" i="5"/>
  <c r="K198" i="5" s="1"/>
  <c r="H198" i="5"/>
  <c r="I198" i="5" s="1"/>
  <c r="J197" i="5"/>
  <c r="K197" i="5" s="1"/>
  <c r="H197" i="5"/>
  <c r="I197" i="5" s="1"/>
  <c r="J196" i="5"/>
  <c r="K196" i="5" s="1"/>
  <c r="H196" i="5"/>
  <c r="I196" i="5" s="1"/>
  <c r="J195" i="5"/>
  <c r="K195" i="5" s="1"/>
  <c r="H195" i="5"/>
  <c r="I195" i="5" s="1"/>
  <c r="J194" i="5"/>
  <c r="K194" i="5" s="1"/>
  <c r="H194" i="5"/>
  <c r="I194" i="5" s="1"/>
  <c r="J193" i="5"/>
  <c r="K193" i="5" s="1"/>
  <c r="H193" i="5"/>
  <c r="I193" i="5" s="1"/>
  <c r="J192" i="5"/>
  <c r="K192" i="5" s="1"/>
  <c r="H192" i="5"/>
  <c r="I192" i="5" s="1"/>
  <c r="J191" i="5"/>
  <c r="K191" i="5" s="1"/>
  <c r="H191" i="5"/>
  <c r="I191" i="5" s="1"/>
  <c r="J190" i="5"/>
  <c r="K190" i="5" s="1"/>
  <c r="H190" i="5"/>
  <c r="I190" i="5" s="1"/>
  <c r="J189" i="5"/>
  <c r="K189" i="5" s="1"/>
  <c r="H189" i="5"/>
  <c r="I189" i="5" s="1"/>
  <c r="J188" i="5"/>
  <c r="K188" i="5" s="1"/>
  <c r="H188" i="5"/>
  <c r="I188" i="5" s="1"/>
  <c r="J187" i="5"/>
  <c r="K187" i="5" s="1"/>
  <c r="H187" i="5"/>
  <c r="I187" i="5" s="1"/>
  <c r="J186" i="5"/>
  <c r="K186" i="5" s="1"/>
  <c r="H186" i="5"/>
  <c r="I186" i="5" s="1"/>
  <c r="J185" i="5"/>
  <c r="K185" i="5" s="1"/>
  <c r="H185" i="5"/>
  <c r="I185" i="5" s="1"/>
  <c r="J184" i="5"/>
  <c r="K184" i="5" s="1"/>
  <c r="H184" i="5"/>
  <c r="I184" i="5" s="1"/>
  <c r="J183" i="5"/>
  <c r="K183" i="5" s="1"/>
  <c r="H183" i="5"/>
  <c r="I183" i="5" s="1"/>
  <c r="J182" i="5"/>
  <c r="K182" i="5" s="1"/>
  <c r="H182" i="5"/>
  <c r="I182" i="5" s="1"/>
  <c r="J181" i="5"/>
  <c r="K181" i="5" s="1"/>
  <c r="H181" i="5"/>
  <c r="I181" i="5" s="1"/>
  <c r="L14" i="5"/>
  <c r="L13" i="5"/>
  <c r="L12" i="5"/>
  <c r="H12" i="5"/>
  <c r="I12" i="5" s="1"/>
  <c r="H8" i="5"/>
  <c r="I8" i="5" s="1"/>
  <c r="H7" i="5"/>
  <c r="I7" i="5" s="1"/>
  <c r="H6" i="5"/>
  <c r="I6" i="5" s="1"/>
  <c r="L3" i="5"/>
  <c r="H249" i="4"/>
  <c r="I249" i="4" s="1"/>
  <c r="H239" i="4"/>
  <c r="I239" i="4" s="1"/>
  <c r="J236" i="4"/>
  <c r="K236" i="4" s="1"/>
  <c r="H232" i="4"/>
  <c r="I232" i="4" s="1"/>
  <c r="H227" i="4"/>
  <c r="I227" i="4" s="1"/>
  <c r="H221" i="4"/>
  <c r="I221" i="4" s="1"/>
  <c r="H220" i="4"/>
  <c r="I220" i="4" s="1"/>
  <c r="H219" i="4"/>
  <c r="I219" i="4" s="1"/>
  <c r="H218" i="4"/>
  <c r="I218" i="4" s="1"/>
  <c r="J217" i="4"/>
  <c r="K217" i="4" s="1"/>
  <c r="H215" i="4"/>
  <c r="I215" i="4" s="1"/>
  <c r="H212" i="4"/>
  <c r="I212" i="4" s="1"/>
  <c r="H209" i="4"/>
  <c r="I209" i="4" s="1"/>
  <c r="H208" i="4"/>
  <c r="I208" i="4" s="1"/>
  <c r="J206" i="4"/>
  <c r="K206" i="4" s="1"/>
  <c r="H203" i="4"/>
  <c r="I203" i="4" s="1"/>
  <c r="H184" i="4"/>
  <c r="I184" i="4" s="1"/>
  <c r="J182" i="4"/>
  <c r="K182" i="4" s="1"/>
  <c r="J178" i="4"/>
  <c r="K178" i="4" s="1"/>
  <c r="H172" i="4"/>
  <c r="I172" i="4" s="1"/>
  <c r="J159" i="4"/>
  <c r="K159" i="4" s="1"/>
  <c r="H138" i="4"/>
  <c r="I138" i="4" s="1"/>
  <c r="H123" i="4"/>
  <c r="I123" i="4" s="1"/>
  <c r="J99" i="4"/>
  <c r="K99" i="4" s="1"/>
  <c r="H89" i="4"/>
  <c r="I89" i="4" s="1"/>
  <c r="H84" i="4"/>
  <c r="I84" i="4" s="1"/>
  <c r="H83" i="4"/>
  <c r="I83" i="4" s="1"/>
  <c r="L2" i="4"/>
  <c r="J247" i="3"/>
  <c r="K247" i="3" s="1"/>
  <c r="H242" i="3"/>
  <c r="I242" i="3" s="1"/>
  <c r="J239" i="3"/>
  <c r="K239" i="3" s="1"/>
  <c r="J226" i="3"/>
  <c r="K226" i="3" s="1"/>
  <c r="H222" i="3"/>
  <c r="I222" i="3" s="1"/>
  <c r="H220" i="3"/>
  <c r="I220" i="3" s="1"/>
  <c r="J211" i="3"/>
  <c r="K211" i="3" s="1"/>
  <c r="H183" i="3"/>
  <c r="I183" i="3" s="1"/>
  <c r="H180" i="3"/>
  <c r="I180" i="3" s="1"/>
  <c r="J176" i="3"/>
  <c r="K176" i="3" s="1"/>
  <c r="J162" i="3"/>
  <c r="K162" i="3" s="1"/>
  <c r="H155" i="3"/>
  <c r="I155" i="3" s="1"/>
  <c r="H140" i="3"/>
  <c r="I140" i="3" s="1"/>
  <c r="J138" i="3"/>
  <c r="K138" i="3" s="1"/>
  <c r="J180" i="5"/>
  <c r="K180" i="5" s="1"/>
  <c r="H180" i="5"/>
  <c r="I180" i="5" s="1"/>
  <c r="J179" i="5"/>
  <c r="K179" i="5" s="1"/>
  <c r="H179" i="5"/>
  <c r="I179" i="5" s="1"/>
  <c r="J178" i="5"/>
  <c r="K178" i="5" s="1"/>
  <c r="H178" i="5"/>
  <c r="I178" i="5" s="1"/>
  <c r="J177" i="5"/>
  <c r="K177" i="5" s="1"/>
  <c r="H177" i="5"/>
  <c r="I177" i="5" s="1"/>
  <c r="J176" i="5"/>
  <c r="K176" i="5" s="1"/>
  <c r="H176" i="5"/>
  <c r="I176" i="5" s="1"/>
  <c r="J175" i="5"/>
  <c r="K175" i="5" s="1"/>
  <c r="H175" i="5"/>
  <c r="I175" i="5" s="1"/>
  <c r="J174" i="5"/>
  <c r="K174" i="5" s="1"/>
  <c r="H174" i="5"/>
  <c r="I174" i="5" s="1"/>
  <c r="J173" i="5"/>
  <c r="K173" i="5" s="1"/>
  <c r="H173" i="5"/>
  <c r="I173" i="5" s="1"/>
  <c r="J172" i="5"/>
  <c r="K172" i="5" s="1"/>
  <c r="H172" i="5"/>
  <c r="I172" i="5" s="1"/>
  <c r="J171" i="5"/>
  <c r="K171" i="5" s="1"/>
  <c r="H171" i="5"/>
  <c r="I171" i="5" s="1"/>
  <c r="J170" i="5"/>
  <c r="K170" i="5" s="1"/>
  <c r="H170" i="5"/>
  <c r="I170" i="5" s="1"/>
  <c r="J169" i="5"/>
  <c r="K169" i="5" s="1"/>
  <c r="H169" i="5"/>
  <c r="I169" i="5" s="1"/>
  <c r="J168" i="5"/>
  <c r="K168" i="5" s="1"/>
  <c r="H168" i="5"/>
  <c r="I168" i="5" s="1"/>
  <c r="J167" i="5"/>
  <c r="K167" i="5" s="1"/>
  <c r="H167" i="5"/>
  <c r="I167" i="5" s="1"/>
  <c r="J166" i="5"/>
  <c r="K166" i="5" s="1"/>
  <c r="H166" i="5"/>
  <c r="I166" i="5" s="1"/>
  <c r="J165" i="5"/>
  <c r="K165" i="5" s="1"/>
  <c r="H165" i="5"/>
  <c r="I165" i="5" s="1"/>
  <c r="J164" i="5"/>
  <c r="K164" i="5" s="1"/>
  <c r="H164" i="5"/>
  <c r="I164" i="5" s="1"/>
  <c r="J163" i="5"/>
  <c r="K163" i="5" s="1"/>
  <c r="H163" i="5"/>
  <c r="I163" i="5" s="1"/>
  <c r="J162" i="5"/>
  <c r="K162" i="5" s="1"/>
  <c r="H162" i="5"/>
  <c r="I162" i="5" s="1"/>
  <c r="J161" i="5"/>
  <c r="K161" i="5" s="1"/>
  <c r="H161" i="5"/>
  <c r="I161" i="5" s="1"/>
  <c r="J160" i="5"/>
  <c r="K160" i="5" s="1"/>
  <c r="H160" i="5"/>
  <c r="I160" i="5" s="1"/>
  <c r="J159" i="5"/>
  <c r="K159" i="5" s="1"/>
  <c r="H159" i="5"/>
  <c r="I159" i="5" s="1"/>
  <c r="J158" i="5"/>
  <c r="K158" i="5" s="1"/>
  <c r="H158" i="5"/>
  <c r="I158" i="5" s="1"/>
  <c r="J157" i="5"/>
  <c r="K157" i="5" s="1"/>
  <c r="H157" i="5"/>
  <c r="I157" i="5" s="1"/>
  <c r="J156" i="5"/>
  <c r="K156" i="5" s="1"/>
  <c r="H156" i="5"/>
  <c r="I156" i="5" s="1"/>
  <c r="J155" i="5"/>
  <c r="K155" i="5" s="1"/>
  <c r="H155" i="5"/>
  <c r="I155" i="5" s="1"/>
  <c r="J154" i="5"/>
  <c r="K154" i="5" s="1"/>
  <c r="H154" i="5"/>
  <c r="I154" i="5" s="1"/>
  <c r="J153" i="5"/>
  <c r="K153" i="5" s="1"/>
  <c r="H153" i="5"/>
  <c r="I153" i="5" s="1"/>
  <c r="J152" i="5"/>
  <c r="K152" i="5" s="1"/>
  <c r="H152" i="5"/>
  <c r="I152" i="5" s="1"/>
  <c r="J151" i="5"/>
  <c r="K151" i="5" s="1"/>
  <c r="H151" i="5"/>
  <c r="I151" i="5" s="1"/>
  <c r="J150" i="5"/>
  <c r="K150" i="5" s="1"/>
  <c r="H150" i="5"/>
  <c r="I150" i="5" s="1"/>
  <c r="J149" i="5"/>
  <c r="K149" i="5" s="1"/>
  <c r="H149" i="5"/>
  <c r="I149" i="5" s="1"/>
  <c r="J148" i="5"/>
  <c r="K148" i="5" s="1"/>
  <c r="H148" i="5"/>
  <c r="I148" i="5" s="1"/>
  <c r="J147" i="5"/>
  <c r="K147" i="5" s="1"/>
  <c r="H147" i="5"/>
  <c r="I147" i="5" s="1"/>
  <c r="J146" i="5"/>
  <c r="K146" i="5" s="1"/>
  <c r="H146" i="5"/>
  <c r="I146" i="5" s="1"/>
  <c r="J145" i="5"/>
  <c r="K145" i="5" s="1"/>
  <c r="H145" i="5"/>
  <c r="I145" i="5" s="1"/>
  <c r="J144" i="5"/>
  <c r="K144" i="5" s="1"/>
  <c r="H144" i="5"/>
  <c r="I144" i="5" s="1"/>
  <c r="J143" i="5"/>
  <c r="K143" i="5" s="1"/>
  <c r="H143" i="5"/>
  <c r="I143" i="5" s="1"/>
  <c r="J142" i="5"/>
  <c r="K142" i="5" s="1"/>
  <c r="H142" i="5"/>
  <c r="I142" i="5" s="1"/>
  <c r="J141" i="5"/>
  <c r="K141" i="5" s="1"/>
  <c r="H141" i="5"/>
  <c r="I141" i="5" s="1"/>
  <c r="J140" i="5"/>
  <c r="K140" i="5" s="1"/>
  <c r="H140" i="5"/>
  <c r="I140" i="5" s="1"/>
  <c r="J139" i="5"/>
  <c r="K139" i="5" s="1"/>
  <c r="H139" i="5"/>
  <c r="I139" i="5" s="1"/>
  <c r="J138" i="5"/>
  <c r="K138" i="5" s="1"/>
  <c r="H138" i="5"/>
  <c r="I138" i="5" s="1"/>
  <c r="J137" i="5"/>
  <c r="K137" i="5" s="1"/>
  <c r="H137" i="5"/>
  <c r="I137" i="5" s="1"/>
  <c r="J136" i="5"/>
  <c r="K136" i="5" s="1"/>
  <c r="H136" i="5"/>
  <c r="I136" i="5" s="1"/>
  <c r="J135" i="5"/>
  <c r="K135" i="5" s="1"/>
  <c r="J134" i="5"/>
  <c r="K134" i="5" s="1"/>
  <c r="H134" i="5"/>
  <c r="I134" i="5" s="1"/>
  <c r="J133" i="5"/>
  <c r="K133" i="5" s="1"/>
  <c r="H133" i="5"/>
  <c r="I133" i="5" s="1"/>
  <c r="J132" i="5"/>
  <c r="K132" i="5" s="1"/>
  <c r="H132" i="5"/>
  <c r="I132" i="5" s="1"/>
  <c r="J131" i="5"/>
  <c r="K131" i="5" s="1"/>
  <c r="H131" i="5"/>
  <c r="I131" i="5" s="1"/>
  <c r="J130" i="5"/>
  <c r="K130" i="5" s="1"/>
  <c r="H130" i="5"/>
  <c r="I130" i="5" s="1"/>
  <c r="J129" i="5"/>
  <c r="K129" i="5" s="1"/>
  <c r="H129" i="5"/>
  <c r="I129" i="5" s="1"/>
  <c r="J128" i="5"/>
  <c r="K128" i="5" s="1"/>
  <c r="H128" i="5"/>
  <c r="I128" i="5" s="1"/>
  <c r="J127" i="5"/>
  <c r="K127" i="5" s="1"/>
  <c r="H127" i="5"/>
  <c r="I127" i="5" s="1"/>
  <c r="J126" i="5"/>
  <c r="K126" i="5" s="1"/>
  <c r="H126" i="5"/>
  <c r="I126" i="5" s="1"/>
  <c r="J125" i="5"/>
  <c r="K125" i="5" s="1"/>
  <c r="H125" i="5"/>
  <c r="I125" i="5" s="1"/>
  <c r="J124" i="5"/>
  <c r="K124" i="5" s="1"/>
  <c r="H124" i="5"/>
  <c r="I124" i="5" s="1"/>
  <c r="J123" i="5"/>
  <c r="K123" i="5" s="1"/>
  <c r="H123" i="5"/>
  <c r="I123" i="5" s="1"/>
  <c r="J122" i="5"/>
  <c r="K122" i="5" s="1"/>
  <c r="H122" i="5"/>
  <c r="I122" i="5" s="1"/>
  <c r="J121" i="5"/>
  <c r="K121" i="5" s="1"/>
  <c r="H121" i="5"/>
  <c r="I121" i="5" s="1"/>
  <c r="J120" i="5"/>
  <c r="K120" i="5" s="1"/>
  <c r="H120" i="5"/>
  <c r="I120" i="5" s="1"/>
  <c r="J119" i="5"/>
  <c r="K119" i="5" s="1"/>
  <c r="H119" i="5"/>
  <c r="I119" i="5" s="1"/>
  <c r="J118" i="5"/>
  <c r="K118" i="5" s="1"/>
  <c r="H118" i="5"/>
  <c r="I118" i="5" s="1"/>
  <c r="J117" i="5"/>
  <c r="K117" i="5" s="1"/>
  <c r="H117" i="5"/>
  <c r="I117" i="5" s="1"/>
  <c r="J116" i="5"/>
  <c r="K116" i="5" s="1"/>
  <c r="H116" i="5"/>
  <c r="I116" i="5" s="1"/>
  <c r="J115" i="5"/>
  <c r="K115" i="5" s="1"/>
  <c r="H115" i="5"/>
  <c r="I115" i="5" s="1"/>
  <c r="J114" i="5"/>
  <c r="K114" i="5" s="1"/>
  <c r="H114" i="5"/>
  <c r="I114" i="5" s="1"/>
  <c r="J113" i="5"/>
  <c r="K113" i="5" s="1"/>
  <c r="H113" i="5"/>
  <c r="I113" i="5" s="1"/>
  <c r="J112" i="5"/>
  <c r="K112" i="5" s="1"/>
  <c r="H112" i="5"/>
  <c r="I112" i="5" s="1"/>
  <c r="J111" i="5"/>
  <c r="K111" i="5" s="1"/>
  <c r="H111" i="5"/>
  <c r="I111" i="5" s="1"/>
  <c r="J110" i="5"/>
  <c r="K110" i="5" s="1"/>
  <c r="H110" i="5"/>
  <c r="I110" i="5" s="1"/>
  <c r="J109" i="5"/>
  <c r="K109" i="5" s="1"/>
  <c r="H109" i="5"/>
  <c r="I109" i="5" s="1"/>
  <c r="J108" i="5"/>
  <c r="K108" i="5" s="1"/>
  <c r="H108" i="5"/>
  <c r="I108" i="5" s="1"/>
  <c r="J107" i="5"/>
  <c r="K107" i="5" s="1"/>
  <c r="H107" i="5"/>
  <c r="I107" i="5" s="1"/>
  <c r="J106" i="5"/>
  <c r="K106" i="5" s="1"/>
  <c r="H106" i="5"/>
  <c r="I106" i="5" s="1"/>
  <c r="J105" i="5"/>
  <c r="K105" i="5" s="1"/>
  <c r="H105" i="5"/>
  <c r="I105" i="5" s="1"/>
  <c r="J104" i="5"/>
  <c r="K104" i="5" s="1"/>
  <c r="H104" i="5"/>
  <c r="I104" i="5" s="1"/>
  <c r="J103" i="5"/>
  <c r="K103" i="5" s="1"/>
  <c r="H103" i="5"/>
  <c r="I103" i="5" s="1"/>
  <c r="J102" i="5"/>
  <c r="K102" i="5" s="1"/>
  <c r="H102" i="5"/>
  <c r="I102" i="5" s="1"/>
  <c r="J101" i="5"/>
  <c r="K101" i="5" s="1"/>
  <c r="H101" i="5"/>
  <c r="I101" i="5" s="1"/>
  <c r="J100" i="5"/>
  <c r="K100" i="5" s="1"/>
  <c r="H100" i="5"/>
  <c r="I100" i="5" s="1"/>
  <c r="J99" i="5"/>
  <c r="K99" i="5" s="1"/>
  <c r="H99" i="5"/>
  <c r="I99" i="5" s="1"/>
  <c r="J98" i="5"/>
  <c r="K98" i="5" s="1"/>
  <c r="H98" i="5"/>
  <c r="I98" i="5" s="1"/>
  <c r="J97" i="5"/>
  <c r="K97" i="5" s="1"/>
  <c r="H97" i="5"/>
  <c r="I97" i="5" s="1"/>
  <c r="J96" i="5"/>
  <c r="K96" i="5" s="1"/>
  <c r="H96" i="5"/>
  <c r="I96" i="5" s="1"/>
  <c r="J95" i="5"/>
  <c r="K95" i="5" s="1"/>
  <c r="H95" i="5"/>
  <c r="I95" i="5" s="1"/>
  <c r="J94" i="5"/>
  <c r="K94" i="5" s="1"/>
  <c r="H94" i="5"/>
  <c r="I94" i="5" s="1"/>
  <c r="J93" i="5"/>
  <c r="K93" i="5" s="1"/>
  <c r="H93" i="5"/>
  <c r="I93" i="5" s="1"/>
  <c r="J92" i="5"/>
  <c r="K92" i="5" s="1"/>
  <c r="H92" i="5"/>
  <c r="I92" i="5" s="1"/>
  <c r="J91" i="5"/>
  <c r="K91" i="5" s="1"/>
  <c r="H91" i="5"/>
  <c r="I91" i="5" s="1"/>
  <c r="J90" i="5"/>
  <c r="K90" i="5" s="1"/>
  <c r="H47" i="5"/>
  <c r="I47" i="5" s="1"/>
  <c r="J46" i="5"/>
  <c r="K46" i="5" s="1"/>
  <c r="H46" i="5"/>
  <c r="I46" i="5" s="1"/>
  <c r="J45" i="5"/>
  <c r="K45" i="5" s="1"/>
  <c r="H16" i="5"/>
  <c r="I16" i="5" s="1"/>
  <c r="H15" i="5"/>
  <c r="I15" i="5" s="1"/>
  <c r="L6" i="5"/>
  <c r="H5" i="5"/>
  <c r="I5" i="5" s="1"/>
  <c r="J250" i="4"/>
  <c r="K250" i="4" s="1"/>
  <c r="J245" i="4"/>
  <c r="K245" i="4" s="1"/>
  <c r="J244" i="4"/>
  <c r="K244" i="4" s="1"/>
  <c r="J243" i="4"/>
  <c r="K243" i="4" s="1"/>
  <c r="H242" i="4"/>
  <c r="I242" i="4" s="1"/>
  <c r="H240" i="4"/>
  <c r="I240" i="4" s="1"/>
  <c r="J235" i="4"/>
  <c r="K235" i="4" s="1"/>
  <c r="H235" i="4"/>
  <c r="I235" i="4" s="1"/>
  <c r="J231" i="4"/>
  <c r="K231" i="4" s="1"/>
  <c r="H231" i="4"/>
  <c r="I231" i="4" s="1"/>
  <c r="J230" i="4"/>
  <c r="K230" i="4" s="1"/>
  <c r="H230" i="4"/>
  <c r="I230" i="4" s="1"/>
  <c r="H228" i="4"/>
  <c r="I228" i="4" s="1"/>
  <c r="J227" i="4"/>
  <c r="K227" i="4" s="1"/>
  <c r="J226" i="4"/>
  <c r="K226" i="4" s="1"/>
  <c r="H226" i="4"/>
  <c r="I226" i="4" s="1"/>
  <c r="H225" i="4"/>
  <c r="I225" i="4" s="1"/>
  <c r="J224" i="4"/>
  <c r="K224" i="4" s="1"/>
  <c r="H224" i="4"/>
  <c r="I224" i="4" s="1"/>
  <c r="J223" i="4"/>
  <c r="K223" i="4" s="1"/>
  <c r="H223" i="4"/>
  <c r="I223" i="4" s="1"/>
  <c r="J222" i="4"/>
  <c r="K222" i="4" s="1"/>
  <c r="H222" i="4"/>
  <c r="I222" i="4" s="1"/>
  <c r="J221" i="4"/>
  <c r="K221" i="4" s="1"/>
  <c r="J220" i="4"/>
  <c r="K220" i="4" s="1"/>
  <c r="J219" i="4"/>
  <c r="K219" i="4" s="1"/>
  <c r="J218" i="4"/>
  <c r="K218" i="4" s="1"/>
  <c r="H217" i="4"/>
  <c r="I217" i="4" s="1"/>
  <c r="J216" i="4"/>
  <c r="K216" i="4" s="1"/>
  <c r="H216" i="4"/>
  <c r="I216" i="4" s="1"/>
  <c r="J215" i="4"/>
  <c r="K215" i="4" s="1"/>
  <c r="J214" i="4"/>
  <c r="K214" i="4" s="1"/>
  <c r="H214" i="4"/>
  <c r="I214" i="4" s="1"/>
  <c r="J213" i="4"/>
  <c r="K213" i="4" s="1"/>
  <c r="H213" i="4"/>
  <c r="I213" i="4" s="1"/>
  <c r="J212" i="4"/>
  <c r="K212" i="4" s="1"/>
  <c r="J211" i="4"/>
  <c r="K211" i="4" s="1"/>
  <c r="H211" i="4"/>
  <c r="I211" i="4" s="1"/>
  <c r="J210" i="4"/>
  <c r="K210" i="4" s="1"/>
  <c r="H210" i="4"/>
  <c r="I210" i="4" s="1"/>
  <c r="J209" i="4"/>
  <c r="K209" i="4" s="1"/>
  <c r="J208" i="4"/>
  <c r="K208" i="4" s="1"/>
  <c r="J207" i="4"/>
  <c r="K207" i="4" s="1"/>
  <c r="H207" i="4"/>
  <c r="I207" i="4" s="1"/>
  <c r="H206" i="4"/>
  <c r="I206" i="4" s="1"/>
  <c r="J205" i="4"/>
  <c r="K205" i="4" s="1"/>
  <c r="J204" i="4"/>
  <c r="K204" i="4" s="1"/>
  <c r="J203" i="4"/>
  <c r="K203" i="4" s="1"/>
  <c r="H202" i="4"/>
  <c r="I202" i="4" s="1"/>
  <c r="J201" i="4"/>
  <c r="K201" i="4" s="1"/>
  <c r="H199" i="4"/>
  <c r="I199" i="4" s="1"/>
  <c r="H198" i="4"/>
  <c r="I198" i="4" s="1"/>
  <c r="H196" i="4"/>
  <c r="I196" i="4" s="1"/>
  <c r="H194" i="4"/>
  <c r="I194" i="4" s="1"/>
  <c r="J189" i="4"/>
  <c r="K189" i="4" s="1"/>
  <c r="H189" i="4"/>
  <c r="I189" i="4" s="1"/>
  <c r="J186" i="4"/>
  <c r="K186" i="4" s="1"/>
  <c r="J184" i="4"/>
  <c r="K184" i="4" s="1"/>
  <c r="J179" i="4"/>
  <c r="K179" i="4" s="1"/>
  <c r="J177" i="4"/>
  <c r="K177" i="4" s="1"/>
  <c r="H171" i="4"/>
  <c r="I171" i="4" s="1"/>
  <c r="J169" i="4"/>
  <c r="K169" i="4" s="1"/>
  <c r="H169" i="4"/>
  <c r="I169" i="4" s="1"/>
  <c r="J165" i="4"/>
  <c r="K165" i="4" s="1"/>
  <c r="H165" i="4"/>
  <c r="I165" i="4" s="1"/>
  <c r="J140" i="4"/>
  <c r="K140" i="4" s="1"/>
  <c r="H140" i="4"/>
  <c r="I140" i="4" s="1"/>
  <c r="J137" i="4"/>
  <c r="K137" i="4" s="1"/>
  <c r="J135" i="4"/>
  <c r="K135" i="4" s="1"/>
  <c r="J132" i="4"/>
  <c r="K132" i="4" s="1"/>
  <c r="H132" i="4"/>
  <c r="I132" i="4" s="1"/>
  <c r="J131" i="4"/>
  <c r="K131" i="4" s="1"/>
  <c r="H131" i="4"/>
  <c r="I131" i="4" s="1"/>
  <c r="H122" i="4"/>
  <c r="I122" i="4" s="1"/>
  <c r="H106" i="4"/>
  <c r="I106" i="4" s="1"/>
  <c r="H104" i="4"/>
  <c r="I104" i="4" s="1"/>
  <c r="H99" i="4"/>
  <c r="I99" i="4" s="1"/>
  <c r="H96" i="4"/>
  <c r="I96" i="4" s="1"/>
  <c r="H95" i="4"/>
  <c r="I95" i="4" s="1"/>
  <c r="H94" i="4"/>
  <c r="I94" i="4" s="1"/>
  <c r="J86" i="4"/>
  <c r="K86" i="4" s="1"/>
  <c r="J79" i="4"/>
  <c r="K79" i="4" s="1"/>
  <c r="J77" i="4"/>
  <c r="K77" i="4" s="1"/>
  <c r="J72" i="4"/>
  <c r="K72" i="4" s="1"/>
  <c r="H71" i="4"/>
  <c r="I71" i="4" s="1"/>
  <c r="H30" i="4"/>
  <c r="I30" i="4" s="1"/>
  <c r="L28" i="4"/>
  <c r="H10" i="4"/>
  <c r="I10" i="4" s="1"/>
  <c r="H4" i="4"/>
  <c r="I4" i="4" s="1"/>
  <c r="L3" i="4"/>
  <c r="J251" i="3"/>
  <c r="K251" i="3" s="1"/>
  <c r="H250" i="3"/>
  <c r="I250" i="3" s="1"/>
  <c r="J241" i="3"/>
  <c r="K241" i="3" s="1"/>
  <c r="J238" i="3"/>
  <c r="K238" i="3" s="1"/>
  <c r="H236" i="3"/>
  <c r="I236" i="3" s="1"/>
  <c r="H231" i="3"/>
  <c r="I231" i="3" s="1"/>
  <c r="H229" i="3"/>
  <c r="I229" i="3" s="1"/>
  <c r="H224" i="3"/>
  <c r="I224" i="3" s="1"/>
  <c r="H214" i="3"/>
  <c r="I214" i="3" s="1"/>
  <c r="H213" i="3"/>
  <c r="I213" i="3" s="1"/>
  <c r="J204" i="3"/>
  <c r="K204" i="3" s="1"/>
  <c r="J200" i="3"/>
  <c r="K200" i="3" s="1"/>
  <c r="H200" i="3"/>
  <c r="I200" i="3" s="1"/>
  <c r="J199" i="3"/>
  <c r="K199" i="3" s="1"/>
  <c r="H190" i="3"/>
  <c r="I190" i="3" s="1"/>
  <c r="J189" i="3"/>
  <c r="K189" i="3" s="1"/>
  <c r="J188" i="3"/>
  <c r="K188" i="3" s="1"/>
  <c r="H168" i="3"/>
  <c r="I168" i="3" s="1"/>
  <c r="H167" i="3"/>
  <c r="I167" i="3" s="1"/>
  <c r="J161" i="3"/>
  <c r="K161" i="3" s="1"/>
  <c r="J157" i="3"/>
  <c r="K157" i="3" s="1"/>
  <c r="J155" i="3"/>
  <c r="K155" i="3" s="1"/>
  <c r="H151" i="3"/>
  <c r="I151" i="3" s="1"/>
  <c r="J147" i="3"/>
  <c r="K147" i="3" s="1"/>
  <c r="H138" i="3"/>
  <c r="I138" i="3" s="1"/>
  <c r="H135" i="3"/>
  <c r="I135" i="3" s="1"/>
  <c r="J127" i="3"/>
  <c r="K127" i="3" s="1"/>
  <c r="H126" i="3"/>
  <c r="I126" i="3" s="1"/>
  <c r="H124" i="3"/>
  <c r="I124" i="3" s="1"/>
  <c r="J119" i="3"/>
  <c r="K119" i="3" s="1"/>
  <c r="J114" i="3"/>
  <c r="K114" i="3" s="1"/>
  <c r="J108" i="3"/>
  <c r="K108" i="3" s="1"/>
  <c r="J101" i="3"/>
  <c r="K101" i="3" s="1"/>
  <c r="H98" i="3"/>
  <c r="I98" i="3" s="1"/>
  <c r="J95" i="3"/>
  <c r="K95" i="3" s="1"/>
  <c r="H88" i="3"/>
  <c r="I88" i="3" s="1"/>
  <c r="J80" i="3"/>
  <c r="K80" i="3" s="1"/>
  <c r="J79" i="3"/>
  <c r="K79" i="3" s="1"/>
  <c r="H77" i="3"/>
  <c r="I77" i="3" s="1"/>
  <c r="H68" i="3"/>
  <c r="I68" i="3" s="1"/>
  <c r="H65" i="3"/>
  <c r="I65" i="3" s="1"/>
  <c r="J63" i="3"/>
  <c r="K63" i="3" s="1"/>
  <c r="H62" i="3"/>
  <c r="I62" i="3" s="1"/>
  <c r="J59" i="3"/>
  <c r="K59" i="3" s="1"/>
  <c r="H56" i="3"/>
  <c r="I56" i="3" s="1"/>
  <c r="L23" i="3"/>
  <c r="L20" i="3"/>
  <c r="L18" i="3"/>
  <c r="H18" i="3"/>
  <c r="I18" i="3" s="1"/>
  <c r="H9" i="3"/>
  <c r="I9" i="3" s="1"/>
  <c r="L3" i="3"/>
  <c r="D27" i="7"/>
  <c r="C27" i="7"/>
  <c r="H135" i="5"/>
  <c r="I135" i="5" s="1"/>
  <c r="J89" i="5"/>
  <c r="K89" i="5" s="1"/>
  <c r="H89" i="5"/>
  <c r="I89" i="5" s="1"/>
  <c r="J88" i="5"/>
  <c r="K88" i="5" s="1"/>
  <c r="H88" i="5"/>
  <c r="I88" i="5" s="1"/>
  <c r="J87" i="5"/>
  <c r="K87" i="5" s="1"/>
  <c r="H87" i="5"/>
  <c r="I87" i="5" s="1"/>
  <c r="J86" i="5"/>
  <c r="K86" i="5" s="1"/>
  <c r="H86" i="5"/>
  <c r="I86" i="5" s="1"/>
  <c r="J85" i="5"/>
  <c r="K85" i="5" s="1"/>
  <c r="H85" i="5"/>
  <c r="I85" i="5" s="1"/>
  <c r="J84" i="5"/>
  <c r="K84" i="5" s="1"/>
  <c r="H84" i="5"/>
  <c r="I84" i="5" s="1"/>
  <c r="J83" i="5"/>
  <c r="K83" i="5" s="1"/>
  <c r="H83" i="5"/>
  <c r="I83" i="5" s="1"/>
  <c r="J82" i="5"/>
  <c r="K82" i="5" s="1"/>
  <c r="H82" i="5"/>
  <c r="I82" i="5" s="1"/>
  <c r="J81" i="5"/>
  <c r="K81" i="5" s="1"/>
  <c r="H81" i="5"/>
  <c r="I81" i="5" s="1"/>
  <c r="J80" i="5"/>
  <c r="K80" i="5" s="1"/>
  <c r="H80" i="5"/>
  <c r="I80" i="5" s="1"/>
  <c r="J79" i="5"/>
  <c r="K79" i="5" s="1"/>
  <c r="H79" i="5"/>
  <c r="I79" i="5" s="1"/>
  <c r="J78" i="5"/>
  <c r="K78" i="5" s="1"/>
  <c r="H78" i="5"/>
  <c r="I78" i="5" s="1"/>
  <c r="J77" i="5"/>
  <c r="K77" i="5" s="1"/>
  <c r="H77" i="5"/>
  <c r="I77" i="5" s="1"/>
  <c r="J76" i="5"/>
  <c r="K76" i="5" s="1"/>
  <c r="H76" i="5"/>
  <c r="I76" i="5" s="1"/>
  <c r="J75" i="5"/>
  <c r="K75" i="5" s="1"/>
  <c r="H75" i="5"/>
  <c r="I75" i="5" s="1"/>
  <c r="J74" i="5"/>
  <c r="K74" i="5" s="1"/>
  <c r="H74" i="5"/>
  <c r="I74" i="5" s="1"/>
  <c r="J73" i="5"/>
  <c r="K73" i="5" s="1"/>
  <c r="H73" i="5"/>
  <c r="I73" i="5" s="1"/>
  <c r="J72" i="5"/>
  <c r="K72" i="5" s="1"/>
  <c r="H72" i="5"/>
  <c r="I72" i="5" s="1"/>
  <c r="J71" i="5"/>
  <c r="K71" i="5" s="1"/>
  <c r="H71" i="5"/>
  <c r="I71" i="5" s="1"/>
  <c r="J70" i="5"/>
  <c r="K70" i="5" s="1"/>
  <c r="H70" i="5"/>
  <c r="I70" i="5" s="1"/>
  <c r="J69" i="5"/>
  <c r="K69" i="5" s="1"/>
  <c r="H69" i="5"/>
  <c r="I69" i="5" s="1"/>
  <c r="J68" i="5"/>
  <c r="K68" i="5" s="1"/>
  <c r="H68" i="5"/>
  <c r="I68" i="5" s="1"/>
  <c r="J67" i="5"/>
  <c r="K67" i="5" s="1"/>
  <c r="H67" i="5"/>
  <c r="I67" i="5" s="1"/>
  <c r="J66" i="5"/>
  <c r="K66" i="5" s="1"/>
  <c r="H66" i="5"/>
  <c r="I66" i="5" s="1"/>
  <c r="J65" i="5"/>
  <c r="K65" i="5" s="1"/>
  <c r="H65" i="5"/>
  <c r="I65" i="5" s="1"/>
  <c r="J64" i="5"/>
  <c r="K64" i="5" s="1"/>
  <c r="H64" i="5"/>
  <c r="I64" i="5" s="1"/>
  <c r="J63" i="5"/>
  <c r="K63" i="5" s="1"/>
  <c r="H63" i="5"/>
  <c r="I63" i="5" s="1"/>
  <c r="J62" i="5"/>
  <c r="K62" i="5" s="1"/>
  <c r="H62" i="5"/>
  <c r="I62" i="5" s="1"/>
  <c r="J61" i="5"/>
  <c r="K61" i="5" s="1"/>
  <c r="H61" i="5"/>
  <c r="I61" i="5" s="1"/>
  <c r="J60" i="5"/>
  <c r="K60" i="5" s="1"/>
  <c r="H60" i="5"/>
  <c r="I60" i="5" s="1"/>
  <c r="J59" i="5"/>
  <c r="K59" i="5" s="1"/>
  <c r="H59" i="5"/>
  <c r="I59" i="5" s="1"/>
  <c r="J58" i="5"/>
  <c r="K58" i="5" s="1"/>
  <c r="H58" i="5"/>
  <c r="I58" i="5" s="1"/>
  <c r="J57" i="5"/>
  <c r="K57" i="5" s="1"/>
  <c r="H57" i="5"/>
  <c r="I57" i="5" s="1"/>
  <c r="J56" i="5"/>
  <c r="K56" i="5" s="1"/>
  <c r="H56" i="5"/>
  <c r="I56" i="5" s="1"/>
  <c r="J55" i="5"/>
  <c r="K55" i="5" s="1"/>
  <c r="H55" i="5"/>
  <c r="I55" i="5" s="1"/>
  <c r="J54" i="5"/>
  <c r="K54" i="5" s="1"/>
  <c r="H54" i="5"/>
  <c r="I54" i="5" s="1"/>
  <c r="J53" i="5"/>
  <c r="K53" i="5" s="1"/>
  <c r="H53" i="5"/>
  <c r="I53" i="5" s="1"/>
  <c r="J52" i="5"/>
  <c r="K52" i="5" s="1"/>
  <c r="H52" i="5"/>
  <c r="I52" i="5" s="1"/>
  <c r="J51" i="5"/>
  <c r="K51" i="5" s="1"/>
  <c r="H51" i="5"/>
  <c r="I51" i="5" s="1"/>
  <c r="J50" i="5"/>
  <c r="K50" i="5" s="1"/>
  <c r="H50" i="5"/>
  <c r="I50" i="5" s="1"/>
  <c r="J49" i="5"/>
  <c r="K49" i="5" s="1"/>
  <c r="H49" i="5"/>
  <c r="I49" i="5" s="1"/>
  <c r="J48" i="5"/>
  <c r="K48" i="5" s="1"/>
  <c r="H48" i="5"/>
  <c r="I48" i="5" s="1"/>
  <c r="J47" i="5"/>
  <c r="K47" i="5" s="1"/>
  <c r="J44" i="5"/>
  <c r="K44" i="5" s="1"/>
  <c r="H44" i="5"/>
  <c r="I44" i="5" s="1"/>
  <c r="J43" i="5"/>
  <c r="K43" i="5" s="1"/>
  <c r="H43" i="5"/>
  <c r="I43" i="5" s="1"/>
  <c r="J42" i="5"/>
  <c r="K42" i="5" s="1"/>
  <c r="H42" i="5"/>
  <c r="I42" i="5" s="1"/>
  <c r="L41" i="5"/>
  <c r="H41" i="5"/>
  <c r="I41" i="5" s="1"/>
  <c r="L40" i="5"/>
  <c r="H40" i="5"/>
  <c r="I40" i="5" s="1"/>
  <c r="L39" i="5"/>
  <c r="H39" i="5"/>
  <c r="I39" i="5" s="1"/>
  <c r="L38" i="5"/>
  <c r="H38" i="5"/>
  <c r="I38" i="5" s="1"/>
  <c r="L37" i="5"/>
  <c r="H37" i="5"/>
  <c r="I37" i="5" s="1"/>
  <c r="L36" i="5"/>
  <c r="H36" i="5"/>
  <c r="I36" i="5" s="1"/>
  <c r="L35" i="5"/>
  <c r="H35" i="5"/>
  <c r="I35" i="5" s="1"/>
  <c r="L34" i="5"/>
  <c r="H34" i="5"/>
  <c r="I34" i="5" s="1"/>
  <c r="L33" i="5"/>
  <c r="H33" i="5"/>
  <c r="I33" i="5" s="1"/>
  <c r="L32" i="5"/>
  <c r="H32" i="5"/>
  <c r="I32" i="5" s="1"/>
  <c r="L31" i="5"/>
  <c r="H31" i="5"/>
  <c r="I31" i="5" s="1"/>
  <c r="L30" i="5"/>
  <c r="H30" i="5"/>
  <c r="I30" i="5" s="1"/>
  <c r="L29" i="5"/>
  <c r="H29" i="5"/>
  <c r="I29" i="5" s="1"/>
  <c r="L28" i="5"/>
  <c r="H28" i="5"/>
  <c r="I28" i="5" s="1"/>
  <c r="L27" i="5"/>
  <c r="H27" i="5"/>
  <c r="I27" i="5" s="1"/>
  <c r="L26" i="5"/>
  <c r="H26" i="5"/>
  <c r="I26" i="5" s="1"/>
  <c r="L25" i="5"/>
  <c r="H25" i="5"/>
  <c r="I25" i="5" s="1"/>
  <c r="L24" i="5"/>
  <c r="H24" i="5"/>
  <c r="I24" i="5" s="1"/>
  <c r="L23" i="5"/>
  <c r="H23" i="5"/>
  <c r="I23" i="5" s="1"/>
  <c r="L22" i="5"/>
  <c r="H22" i="5"/>
  <c r="I22" i="5" s="1"/>
  <c r="L21" i="5"/>
  <c r="H21" i="5"/>
  <c r="I21" i="5" s="1"/>
  <c r="L20" i="5"/>
  <c r="H20" i="5"/>
  <c r="I20" i="5" s="1"/>
  <c r="L19" i="5"/>
  <c r="H19" i="5"/>
  <c r="I19" i="5" s="1"/>
  <c r="L18" i="5"/>
  <c r="H18" i="5"/>
  <c r="I18" i="5" s="1"/>
  <c r="L17" i="5"/>
  <c r="J17" i="5"/>
  <c r="K17" i="5" s="1"/>
  <c r="H17" i="5"/>
  <c r="I17" i="5" s="1"/>
  <c r="L16" i="5"/>
  <c r="L15" i="5"/>
  <c r="H14" i="5"/>
  <c r="I14" i="5" s="1"/>
  <c r="H13" i="5"/>
  <c r="I13" i="5" s="1"/>
  <c r="L11" i="5"/>
  <c r="H11" i="5"/>
  <c r="I11" i="5" s="1"/>
  <c r="L10" i="5"/>
  <c r="H10" i="5"/>
  <c r="I10" i="5" s="1"/>
  <c r="L9" i="5"/>
  <c r="H9" i="5"/>
  <c r="I9" i="5" s="1"/>
  <c r="L8" i="5"/>
  <c r="L7" i="5"/>
  <c r="L5" i="5"/>
  <c r="H205" i="4"/>
  <c r="I205" i="4" s="1"/>
  <c r="J202" i="4"/>
  <c r="K202" i="4" s="1"/>
  <c r="H200" i="4"/>
  <c r="I200" i="4" s="1"/>
  <c r="J194" i="4"/>
  <c r="K194" i="4" s="1"/>
  <c r="J191" i="4"/>
  <c r="K191" i="4" s="1"/>
  <c r="H188" i="4"/>
  <c r="I188" i="4" s="1"/>
  <c r="H187" i="4"/>
  <c r="I187" i="4" s="1"/>
  <c r="H186" i="4"/>
  <c r="I186" i="4" s="1"/>
  <c r="H182" i="4"/>
  <c r="I182" i="4" s="1"/>
  <c r="J181" i="4"/>
  <c r="K181" i="4" s="1"/>
  <c r="H180" i="4"/>
  <c r="I180" i="4" s="1"/>
  <c r="J176" i="4"/>
  <c r="K176" i="4" s="1"/>
  <c r="H176" i="4"/>
  <c r="I176" i="4" s="1"/>
  <c r="J170" i="4"/>
  <c r="K170" i="4" s="1"/>
  <c r="H167" i="4"/>
  <c r="I167" i="4" s="1"/>
  <c r="H160" i="4"/>
  <c r="I160" i="4" s="1"/>
  <c r="J143" i="4"/>
  <c r="K143" i="4" s="1"/>
  <c r="J139" i="4"/>
  <c r="K139" i="4" s="1"/>
  <c r="H136" i="4"/>
  <c r="I136" i="4" s="1"/>
  <c r="J110" i="4"/>
  <c r="K110" i="4" s="1"/>
  <c r="J109" i="4"/>
  <c r="K109" i="4" s="1"/>
  <c r="H107" i="4"/>
  <c r="I107" i="4" s="1"/>
  <c r="J106" i="4"/>
  <c r="K106" i="4" s="1"/>
  <c r="J96" i="4"/>
  <c r="K96" i="4" s="1"/>
  <c r="J94" i="4"/>
  <c r="K94" i="4" s="1"/>
  <c r="H92" i="4"/>
  <c r="I92" i="4" s="1"/>
  <c r="H87" i="4"/>
  <c r="I87" i="4" s="1"/>
  <c r="J70" i="4"/>
  <c r="K70" i="4" s="1"/>
  <c r="J29" i="4"/>
  <c r="K29" i="4" s="1"/>
  <c r="H29" i="4"/>
  <c r="I29" i="4" s="1"/>
  <c r="L27" i="4"/>
  <c r="H25" i="4"/>
  <c r="I25" i="4" s="1"/>
  <c r="L19" i="4"/>
  <c r="H19" i="4"/>
  <c r="I19" i="4" s="1"/>
  <c r="L17" i="4"/>
  <c r="H251" i="3"/>
  <c r="I251" i="3" s="1"/>
  <c r="J249" i="3"/>
  <c r="K249" i="3" s="1"/>
  <c r="H245" i="3"/>
  <c r="I245" i="3" s="1"/>
  <c r="H239" i="3"/>
  <c r="I239" i="3" s="1"/>
  <c r="J233" i="3"/>
  <c r="K233" i="3" s="1"/>
  <c r="H223" i="3"/>
  <c r="I223" i="3" s="1"/>
  <c r="J214" i="3"/>
  <c r="K214" i="3" s="1"/>
  <c r="J213" i="3"/>
  <c r="K213" i="3" s="1"/>
  <c r="J212" i="3"/>
  <c r="K212" i="3" s="1"/>
  <c r="J202" i="3"/>
  <c r="K202" i="3" s="1"/>
  <c r="J186" i="3"/>
  <c r="K186" i="3" s="1"/>
  <c r="H176" i="3"/>
  <c r="I176" i="3" s="1"/>
  <c r="H173" i="3"/>
  <c r="I173" i="3" s="1"/>
  <c r="H171" i="3"/>
  <c r="I171" i="3" s="1"/>
  <c r="J159" i="3"/>
  <c r="K159" i="3" s="1"/>
  <c r="J154" i="3"/>
  <c r="K154" i="3" s="1"/>
  <c r="H153" i="3"/>
  <c r="I153" i="3" s="1"/>
  <c r="H148" i="3"/>
  <c r="I148" i="3" s="1"/>
  <c r="H146" i="3"/>
  <c r="I146" i="3" s="1"/>
  <c r="J145" i="3"/>
  <c r="K145" i="3" s="1"/>
  <c r="H128" i="3"/>
  <c r="I128" i="3" s="1"/>
  <c r="J126" i="3"/>
  <c r="K126" i="3" s="1"/>
  <c r="J124" i="3"/>
  <c r="K124" i="3" s="1"/>
  <c r="H122" i="3"/>
  <c r="I122" i="3" s="1"/>
  <c r="J120" i="3"/>
  <c r="K120" i="3" s="1"/>
  <c r="J115" i="3"/>
  <c r="K115" i="3" s="1"/>
  <c r="H114" i="3"/>
  <c r="I114" i="3" s="1"/>
  <c r="H105" i="3"/>
  <c r="I105" i="3" s="1"/>
  <c r="J104" i="3"/>
  <c r="K104" i="3" s="1"/>
  <c r="H104" i="3"/>
  <c r="I104" i="3" s="1"/>
  <c r="H99" i="3"/>
  <c r="I99" i="3" s="1"/>
  <c r="J96" i="3"/>
  <c r="K96" i="3" s="1"/>
  <c r="J93" i="3"/>
  <c r="K93" i="3" s="1"/>
  <c r="H92" i="3"/>
  <c r="I92" i="3" s="1"/>
  <c r="H89" i="3"/>
  <c r="I89" i="3" s="1"/>
  <c r="J75" i="3"/>
  <c r="K75" i="3" s="1"/>
  <c r="H71" i="3"/>
  <c r="I71" i="3" s="1"/>
  <c r="J66" i="3"/>
  <c r="K66" i="3" s="1"/>
  <c r="H54" i="3"/>
  <c r="I54" i="3" s="1"/>
  <c r="J45" i="3"/>
  <c r="K45" i="3" s="1"/>
  <c r="H45" i="3"/>
  <c r="I45" i="3" s="1"/>
  <c r="H43" i="3"/>
  <c r="I43" i="3" s="1"/>
  <c r="L41" i="3"/>
  <c r="H39" i="3"/>
  <c r="I39" i="3" s="1"/>
  <c r="J34" i="3"/>
  <c r="K34" i="3" s="1"/>
  <c r="L31" i="3"/>
  <c r="H31" i="3"/>
  <c r="I31" i="3" s="1"/>
  <c r="H28" i="3"/>
  <c r="I28" i="3" s="1"/>
  <c r="L25" i="3"/>
  <c r="L21" i="3"/>
  <c r="H21" i="3"/>
  <c r="I21" i="3" s="1"/>
  <c r="L16" i="3"/>
  <c r="J56" i="3"/>
  <c r="K56" i="3" s="1"/>
  <c r="H50" i="3"/>
  <c r="I50" i="3" s="1"/>
  <c r="J43" i="3"/>
  <c r="K43" i="3" s="1"/>
  <c r="H42" i="3"/>
  <c r="I42" i="3" s="1"/>
  <c r="H41" i="3"/>
  <c r="I41" i="3" s="1"/>
  <c r="L28" i="3"/>
  <c r="L26" i="3"/>
  <c r="H19" i="3"/>
  <c r="I19" i="3" s="1"/>
  <c r="H204" i="4"/>
  <c r="I204" i="4" s="1"/>
  <c r="J158" i="4"/>
  <c r="K158" i="4" s="1"/>
  <c r="H158" i="4"/>
  <c r="I158" i="4" s="1"/>
  <c r="J157" i="4"/>
  <c r="K157" i="4" s="1"/>
  <c r="H157" i="4"/>
  <c r="I157" i="4" s="1"/>
  <c r="J156" i="4"/>
  <c r="K156" i="4" s="1"/>
  <c r="H156" i="4"/>
  <c r="I156" i="4" s="1"/>
  <c r="J155" i="4"/>
  <c r="K155" i="4" s="1"/>
  <c r="H155" i="4"/>
  <c r="I155" i="4" s="1"/>
  <c r="J154" i="4"/>
  <c r="K154" i="4" s="1"/>
  <c r="H154" i="4"/>
  <c r="I154" i="4" s="1"/>
  <c r="J153" i="4"/>
  <c r="K153" i="4" s="1"/>
  <c r="H153" i="4"/>
  <c r="I153" i="4" s="1"/>
  <c r="J152" i="4"/>
  <c r="K152" i="4" s="1"/>
  <c r="H152" i="4"/>
  <c r="I152" i="4" s="1"/>
  <c r="J151" i="4"/>
  <c r="K151" i="4" s="1"/>
  <c r="H151" i="4"/>
  <c r="I151" i="4" s="1"/>
  <c r="J150" i="4"/>
  <c r="K150" i="4" s="1"/>
  <c r="H150" i="4"/>
  <c r="I150" i="4" s="1"/>
  <c r="J149" i="4"/>
  <c r="K149" i="4" s="1"/>
  <c r="H149" i="4"/>
  <c r="I149" i="4" s="1"/>
  <c r="J148" i="4"/>
  <c r="K148" i="4" s="1"/>
  <c r="H148" i="4"/>
  <c r="I148" i="4" s="1"/>
  <c r="J147" i="4"/>
  <c r="K147" i="4" s="1"/>
  <c r="H147" i="4"/>
  <c r="I147" i="4" s="1"/>
  <c r="J146" i="4"/>
  <c r="K146" i="4" s="1"/>
  <c r="H146" i="4"/>
  <c r="I146" i="4" s="1"/>
  <c r="J145" i="4"/>
  <c r="K145" i="4" s="1"/>
  <c r="H145" i="4"/>
  <c r="I145" i="4" s="1"/>
  <c r="H134" i="4"/>
  <c r="I134" i="4" s="1"/>
  <c r="J129" i="4"/>
  <c r="K129" i="4" s="1"/>
  <c r="J111" i="4"/>
  <c r="K111" i="4" s="1"/>
  <c r="J105" i="4"/>
  <c r="K105" i="4" s="1"/>
  <c r="H103" i="4"/>
  <c r="I103" i="4" s="1"/>
  <c r="H98" i="4"/>
  <c r="I98" i="4" s="1"/>
  <c r="J93" i="4"/>
  <c r="K93" i="4" s="1"/>
  <c r="H91" i="4"/>
  <c r="I91" i="4" s="1"/>
  <c r="J88" i="4"/>
  <c r="K88" i="4" s="1"/>
  <c r="H88" i="4"/>
  <c r="I88" i="4" s="1"/>
  <c r="J82" i="4"/>
  <c r="K82" i="4" s="1"/>
  <c r="J80" i="4"/>
  <c r="K80" i="4" s="1"/>
  <c r="J74" i="4"/>
  <c r="K74" i="4" s="1"/>
  <c r="J71" i="4"/>
  <c r="K71" i="4" s="1"/>
  <c r="J69" i="4"/>
  <c r="K69" i="4" s="1"/>
  <c r="L29" i="4"/>
  <c r="H23" i="4"/>
  <c r="I23" i="4" s="1"/>
  <c r="J245" i="3"/>
  <c r="K245" i="3" s="1"/>
  <c r="J242" i="3"/>
  <c r="K242" i="3" s="1"/>
  <c r="J230" i="3"/>
  <c r="K230" i="3" s="1"/>
  <c r="H228" i="3"/>
  <c r="I228" i="3" s="1"/>
  <c r="J224" i="3"/>
  <c r="K224" i="3" s="1"/>
  <c r="J219" i="3"/>
  <c r="K219" i="3" s="1"/>
  <c r="J217" i="3"/>
  <c r="K217" i="3" s="1"/>
  <c r="J197" i="3"/>
  <c r="K197" i="3" s="1"/>
  <c r="H187" i="3"/>
  <c r="I187" i="3" s="1"/>
  <c r="J185" i="3"/>
  <c r="K185" i="3" s="1"/>
  <c r="H184" i="3"/>
  <c r="I184" i="3" s="1"/>
  <c r="H178" i="3"/>
  <c r="I178" i="3" s="1"/>
  <c r="J175" i="3"/>
  <c r="K175" i="3" s="1"/>
  <c r="J170" i="3"/>
  <c r="K170" i="3" s="1"/>
  <c r="J151" i="3"/>
  <c r="K151" i="3" s="1"/>
  <c r="H149" i="3"/>
  <c r="I149" i="3" s="1"/>
  <c r="H147" i="3"/>
  <c r="I147" i="3" s="1"/>
  <c r="H145" i="3"/>
  <c r="I145" i="3" s="1"/>
  <c r="H136" i="3"/>
  <c r="I136" i="3" s="1"/>
  <c r="J134" i="3"/>
  <c r="K134" i="3" s="1"/>
  <c r="J132" i="3"/>
  <c r="K132" i="3" s="1"/>
  <c r="J129" i="3"/>
  <c r="K129" i="3" s="1"/>
  <c r="J128" i="3"/>
  <c r="K128" i="3" s="1"/>
  <c r="J125" i="3"/>
  <c r="K125" i="3" s="1"/>
  <c r="L38" i="3"/>
  <c r="L37" i="3"/>
  <c r="H37" i="3"/>
  <c r="I37" i="3" s="1"/>
  <c r="L36" i="3"/>
  <c r="H36" i="3"/>
  <c r="I36" i="3" s="1"/>
  <c r="L35" i="3"/>
  <c r="H35" i="3"/>
  <c r="I35" i="3" s="1"/>
  <c r="H34" i="3"/>
  <c r="I34" i="3" s="1"/>
  <c r="H33" i="3"/>
  <c r="I33" i="3" s="1"/>
  <c r="L32" i="3"/>
  <c r="H32" i="3"/>
  <c r="I32" i="3" s="1"/>
  <c r="H29" i="3"/>
  <c r="I29" i="3" s="1"/>
  <c r="L27" i="3"/>
  <c r="H27" i="3"/>
  <c r="I27" i="3" s="1"/>
  <c r="H26" i="3"/>
  <c r="I26" i="3" s="1"/>
  <c r="H25" i="3"/>
  <c r="I25" i="3" s="1"/>
  <c r="H24" i="3"/>
  <c r="I24" i="3" s="1"/>
  <c r="H23" i="3"/>
  <c r="I23" i="3" s="1"/>
  <c r="J20" i="3"/>
  <c r="K20" i="3" s="1"/>
  <c r="H16" i="3"/>
  <c r="I16" i="3" s="1"/>
  <c r="L15" i="3"/>
  <c r="H15" i="3"/>
  <c r="I15" i="3" s="1"/>
  <c r="H14" i="3"/>
  <c r="I14" i="3" s="1"/>
  <c r="H13" i="3"/>
  <c r="I13" i="3" s="1"/>
  <c r="H11" i="3"/>
  <c r="I11" i="3" s="1"/>
  <c r="J9" i="3"/>
  <c r="K9" i="3" s="1"/>
  <c r="L8" i="3"/>
  <c r="L7" i="3"/>
  <c r="H6" i="3"/>
  <c r="I6" i="3" s="1"/>
  <c r="L5" i="3"/>
  <c r="H5" i="3"/>
  <c r="I5" i="3" s="1"/>
  <c r="L4" i="3"/>
  <c r="H4" i="3"/>
  <c r="I4" i="3" s="1"/>
  <c r="H3" i="3"/>
  <c r="I3" i="3" s="1"/>
  <c r="L2" i="3"/>
  <c r="H2" i="3"/>
  <c r="I2" i="3" s="1"/>
  <c r="D29" i="7"/>
  <c r="C29" i="7"/>
  <c r="J68" i="4"/>
  <c r="K68" i="4" s="1"/>
  <c r="H68" i="4"/>
  <c r="I68" i="4" s="1"/>
  <c r="J67" i="4"/>
  <c r="K67" i="4" s="1"/>
  <c r="H67" i="4"/>
  <c r="I67" i="4" s="1"/>
  <c r="J66" i="4"/>
  <c r="K66" i="4" s="1"/>
  <c r="H66" i="4"/>
  <c r="I66" i="4" s="1"/>
  <c r="J65" i="4"/>
  <c r="K65" i="4" s="1"/>
  <c r="H65" i="4"/>
  <c r="I65" i="4" s="1"/>
  <c r="J64" i="4"/>
  <c r="K64" i="4" s="1"/>
  <c r="H64" i="4"/>
  <c r="I64" i="4" s="1"/>
  <c r="J63" i="4"/>
  <c r="K63" i="4" s="1"/>
  <c r="H63" i="4"/>
  <c r="I63" i="4" s="1"/>
  <c r="J62" i="4"/>
  <c r="K62" i="4" s="1"/>
  <c r="H62" i="4"/>
  <c r="I62" i="4" s="1"/>
  <c r="J61" i="4"/>
  <c r="K61" i="4" s="1"/>
  <c r="H61" i="4"/>
  <c r="I61" i="4" s="1"/>
  <c r="J60" i="4"/>
  <c r="K60" i="4" s="1"/>
  <c r="H60" i="4"/>
  <c r="I60" i="4" s="1"/>
  <c r="J59" i="4"/>
  <c r="K59" i="4" s="1"/>
  <c r="H59" i="4"/>
  <c r="I59" i="4" s="1"/>
  <c r="J58" i="4"/>
  <c r="K58" i="4" s="1"/>
  <c r="H58" i="4"/>
  <c r="I58" i="4" s="1"/>
  <c r="J57" i="4"/>
  <c r="K57" i="4" s="1"/>
  <c r="H57" i="4"/>
  <c r="I57" i="4" s="1"/>
  <c r="J56" i="4"/>
  <c r="K56" i="4" s="1"/>
  <c r="H56" i="4"/>
  <c r="I56" i="4" s="1"/>
  <c r="J55" i="4"/>
  <c r="K55" i="4" s="1"/>
  <c r="H55" i="4"/>
  <c r="I55" i="4" s="1"/>
  <c r="J54" i="4"/>
  <c r="K54" i="4" s="1"/>
  <c r="H54" i="4"/>
  <c r="I54" i="4" s="1"/>
  <c r="J53" i="4"/>
  <c r="K53" i="4" s="1"/>
  <c r="H53" i="4"/>
  <c r="I53" i="4" s="1"/>
  <c r="J52" i="4"/>
  <c r="K52" i="4" s="1"/>
  <c r="H52" i="4"/>
  <c r="I52" i="4" s="1"/>
  <c r="J51" i="4"/>
  <c r="K51" i="4" s="1"/>
  <c r="H51" i="4"/>
  <c r="I51" i="4" s="1"/>
  <c r="J50" i="4"/>
  <c r="K50" i="4" s="1"/>
  <c r="H50" i="4"/>
  <c r="I50" i="4" s="1"/>
  <c r="J49" i="4"/>
  <c r="K49" i="4" s="1"/>
  <c r="H49" i="4"/>
  <c r="I49" i="4" s="1"/>
  <c r="J48" i="4"/>
  <c r="K48" i="4" s="1"/>
  <c r="H48" i="4"/>
  <c r="I48" i="4" s="1"/>
  <c r="J47" i="4"/>
  <c r="K47" i="4" s="1"/>
  <c r="H47" i="4"/>
  <c r="I47" i="4" s="1"/>
  <c r="J46" i="4"/>
  <c r="K46" i="4" s="1"/>
  <c r="H46" i="4"/>
  <c r="I46" i="4" s="1"/>
  <c r="J45" i="4"/>
  <c r="K45" i="4" s="1"/>
  <c r="H45" i="4"/>
  <c r="I45" i="4" s="1"/>
  <c r="J44" i="4"/>
  <c r="K44" i="4" s="1"/>
  <c r="H44" i="4"/>
  <c r="I44" i="4" s="1"/>
  <c r="J43" i="4"/>
  <c r="K43" i="4" s="1"/>
  <c r="H43" i="4"/>
  <c r="I43" i="4" s="1"/>
  <c r="J42" i="4"/>
  <c r="K42" i="4" s="1"/>
  <c r="H42" i="4"/>
  <c r="I42" i="4" s="1"/>
  <c r="L41" i="4"/>
  <c r="H41" i="4"/>
  <c r="I41" i="4" s="1"/>
  <c r="L40" i="4"/>
  <c r="H40" i="4"/>
  <c r="I40" i="4" s="1"/>
  <c r="L39" i="4"/>
  <c r="H39" i="4"/>
  <c r="I39" i="4" s="1"/>
  <c r="L38" i="4"/>
  <c r="J38" i="4"/>
  <c r="K38" i="4" s="1"/>
  <c r="H38" i="4"/>
  <c r="I38" i="4" s="1"/>
  <c r="L37" i="4"/>
  <c r="J37" i="4"/>
  <c r="K37" i="4" s="1"/>
  <c r="H37" i="4"/>
  <c r="I37" i="4" s="1"/>
  <c r="L36" i="4"/>
  <c r="H36" i="4"/>
  <c r="I36" i="4" s="1"/>
  <c r="L35" i="4"/>
  <c r="H35" i="4"/>
  <c r="I35" i="4" s="1"/>
  <c r="L34" i="4"/>
  <c r="J34" i="4"/>
  <c r="K34" i="4" s="1"/>
  <c r="H34" i="4"/>
  <c r="I34" i="4" s="1"/>
  <c r="L33" i="4"/>
  <c r="J33" i="4"/>
  <c r="K33" i="4" s="1"/>
  <c r="H33" i="4"/>
  <c r="I33" i="4" s="1"/>
  <c r="L32" i="4"/>
  <c r="H32" i="4"/>
  <c r="I32" i="4" s="1"/>
  <c r="L31" i="4"/>
  <c r="H31" i="4"/>
  <c r="I31" i="4" s="1"/>
  <c r="L26" i="4"/>
  <c r="H26" i="4"/>
  <c r="I26" i="4" s="1"/>
  <c r="L24" i="4"/>
  <c r="L21" i="4"/>
  <c r="H21" i="4"/>
  <c r="I21" i="4" s="1"/>
  <c r="L14" i="4"/>
  <c r="L11" i="4"/>
  <c r="L8" i="4"/>
  <c r="H243" i="3"/>
  <c r="I243" i="3" s="1"/>
  <c r="H240" i="3"/>
  <c r="I240" i="3" s="1"/>
  <c r="J237" i="3"/>
  <c r="K237" i="3" s="1"/>
  <c r="J231" i="3"/>
  <c r="K231" i="3" s="1"/>
  <c r="H211" i="3"/>
  <c r="I211" i="3" s="1"/>
  <c r="H209" i="3"/>
  <c r="I209" i="3" s="1"/>
  <c r="H208" i="3"/>
  <c r="I208" i="3" s="1"/>
  <c r="H207" i="3"/>
  <c r="I207" i="3" s="1"/>
  <c r="H206" i="3"/>
  <c r="I206" i="3" s="1"/>
  <c r="J201" i="3"/>
  <c r="K201" i="3" s="1"/>
  <c r="J198" i="3"/>
  <c r="K198" i="3" s="1"/>
  <c r="H194" i="3"/>
  <c r="I194" i="3" s="1"/>
  <c r="J181" i="3"/>
  <c r="K181" i="3" s="1"/>
  <c r="H181" i="3"/>
  <c r="I181" i="3" s="1"/>
  <c r="J179" i="3"/>
  <c r="K179" i="3" s="1"/>
  <c r="J178" i="3"/>
  <c r="K178" i="3" s="1"/>
  <c r="H177" i="3"/>
  <c r="I177" i="3" s="1"/>
  <c r="H175" i="3"/>
  <c r="I175" i="3" s="1"/>
  <c r="H164" i="3"/>
  <c r="I164" i="3" s="1"/>
  <c r="H163" i="3"/>
  <c r="I163" i="3" s="1"/>
  <c r="H160" i="3"/>
  <c r="I160" i="3" s="1"/>
  <c r="H141" i="3"/>
  <c r="I141" i="3" s="1"/>
  <c r="J140" i="3"/>
  <c r="K140" i="3" s="1"/>
  <c r="J135" i="3"/>
  <c r="K135" i="3" s="1"/>
  <c r="H134" i="3"/>
  <c r="I134" i="3" s="1"/>
  <c r="H127" i="3"/>
  <c r="I127" i="3" s="1"/>
  <c r="H123" i="3"/>
  <c r="I123" i="3" s="1"/>
  <c r="J121" i="3"/>
  <c r="K121" i="3" s="1"/>
  <c r="H121" i="3"/>
  <c r="I121" i="3" s="1"/>
  <c r="H106" i="3"/>
  <c r="I106" i="3" s="1"/>
  <c r="H101" i="3"/>
  <c r="I101" i="3" s="1"/>
  <c r="H87" i="3"/>
  <c r="I87" i="3" s="1"/>
  <c r="H86" i="3"/>
  <c r="I86" i="3" s="1"/>
  <c r="H69" i="3"/>
  <c r="I69" i="3" s="1"/>
  <c r="H64" i="3"/>
  <c r="I64" i="3" s="1"/>
  <c r="H63" i="3"/>
  <c r="I63" i="3" s="1"/>
  <c r="J61" i="3"/>
  <c r="K61" i="3" s="1"/>
  <c r="H61" i="3"/>
  <c r="I61" i="3" s="1"/>
  <c r="H59" i="3"/>
  <c r="I59" i="3" s="1"/>
  <c r="H58" i="3"/>
  <c r="I58" i="3" s="1"/>
  <c r="J55" i="3"/>
  <c r="K55" i="3" s="1"/>
  <c r="H55" i="3"/>
  <c r="I55" i="3" s="1"/>
  <c r="J51" i="3"/>
  <c r="K51" i="3" s="1"/>
  <c r="H51" i="3"/>
  <c r="I51" i="3" s="1"/>
  <c r="H44" i="3"/>
  <c r="I44" i="3" s="1"/>
  <c r="H38" i="3"/>
  <c r="I38" i="3" s="1"/>
  <c r="L33" i="3"/>
  <c r="H30" i="3"/>
  <c r="I30" i="3" s="1"/>
  <c r="L24" i="3"/>
  <c r="L22" i="3"/>
  <c r="H20" i="3"/>
  <c r="I20" i="3" s="1"/>
  <c r="L13" i="3"/>
  <c r="L9" i="3"/>
  <c r="L6" i="3"/>
  <c r="B35" i="7"/>
  <c r="B34" i="7"/>
  <c r="B33" i="7"/>
  <c r="I231" i="5" l="1"/>
  <c r="I226" i="5"/>
  <c r="I90" i="5"/>
  <c r="I45" i="5"/>
  <c r="J3" i="5"/>
  <c r="K3" i="5" s="1"/>
  <c r="J16" i="5"/>
  <c r="K16" i="5" s="1"/>
  <c r="I233" i="4"/>
  <c r="I159" i="4"/>
  <c r="J4" i="4"/>
  <c r="K4" i="4" s="1"/>
  <c r="J19" i="4"/>
  <c r="K19" i="4" s="1"/>
  <c r="J10" i="4"/>
  <c r="K10" i="4" s="1"/>
  <c r="J30" i="4"/>
  <c r="K30" i="4" s="1"/>
  <c r="J25" i="4"/>
  <c r="K25" i="4" s="1"/>
  <c r="J20" i="4"/>
  <c r="K20" i="4" s="1"/>
  <c r="J3" i="4"/>
  <c r="K3" i="4" s="1"/>
  <c r="J6" i="4"/>
  <c r="K6" i="4" s="1"/>
  <c r="I100" i="3"/>
  <c r="I47" i="3"/>
  <c r="I8" i="3"/>
  <c r="J41" i="3"/>
  <c r="K41" i="3" s="1"/>
  <c r="J25" i="3"/>
  <c r="K25" i="3" s="1"/>
  <c r="J6" i="3"/>
  <c r="K6" i="3" s="1"/>
  <c r="K2" i="4"/>
  <c r="K2" i="5"/>
  <c r="J23" i="4"/>
  <c r="K23" i="4" s="1"/>
  <c r="J22" i="4"/>
  <c r="K22" i="4" s="1"/>
  <c r="J21" i="4"/>
  <c r="K21" i="4" s="1"/>
  <c r="J18" i="4"/>
  <c r="K18" i="4" s="1"/>
  <c r="J16" i="4"/>
  <c r="K16" i="4" s="1"/>
  <c r="J15" i="4"/>
  <c r="K15" i="4" s="1"/>
  <c r="J13" i="4"/>
  <c r="K13" i="4" s="1"/>
  <c r="J11" i="4"/>
  <c r="K11" i="4" s="1"/>
  <c r="J9" i="4"/>
  <c r="K9" i="4" s="1"/>
  <c r="J8" i="4"/>
  <c r="K8" i="4" s="1"/>
  <c r="J7" i="4"/>
  <c r="K7" i="4" s="1"/>
  <c r="J4" i="5"/>
  <c r="K4" i="5" s="1"/>
  <c r="J27" i="4"/>
  <c r="K27" i="4" s="1"/>
  <c r="J39" i="3"/>
  <c r="K39" i="3" s="1"/>
  <c r="J30" i="3"/>
  <c r="K30" i="3" s="1"/>
  <c r="J26" i="3"/>
  <c r="K26" i="3" s="1"/>
  <c r="J22" i="3"/>
  <c r="K22" i="3" s="1"/>
  <c r="J11" i="3"/>
  <c r="K11" i="3" s="1"/>
  <c r="J7" i="5"/>
  <c r="K7" i="5" s="1"/>
  <c r="J6" i="5"/>
  <c r="K6" i="5" s="1"/>
  <c r="J36" i="3"/>
  <c r="K36" i="3" s="1"/>
  <c r="J21" i="3"/>
  <c r="K21" i="3" s="1"/>
  <c r="J14" i="5"/>
  <c r="K14" i="5" s="1"/>
  <c r="J12" i="5"/>
  <c r="K12" i="5" s="1"/>
  <c r="J8" i="5"/>
  <c r="K8" i="5" s="1"/>
  <c r="J5" i="5"/>
  <c r="K5" i="5" s="1"/>
  <c r="J41" i="5"/>
  <c r="K41" i="5" s="1"/>
  <c r="J37" i="5"/>
  <c r="K37" i="5" s="1"/>
  <c r="J30" i="5"/>
  <c r="K30" i="5" s="1"/>
  <c r="J27" i="5"/>
  <c r="K27" i="5" s="1"/>
  <c r="J25" i="5"/>
  <c r="K25" i="5" s="1"/>
  <c r="J22" i="5"/>
  <c r="K22" i="5" s="1"/>
  <c r="J19" i="5"/>
  <c r="K19" i="5" s="1"/>
  <c r="J15" i="5"/>
  <c r="K15" i="5" s="1"/>
  <c r="J39" i="5"/>
  <c r="K39" i="5" s="1"/>
  <c r="J34" i="5"/>
  <c r="K34" i="5" s="1"/>
  <c r="J33" i="5"/>
  <c r="K33" i="5" s="1"/>
  <c r="J29" i="5"/>
  <c r="K29" i="5" s="1"/>
  <c r="J23" i="5"/>
  <c r="K23" i="5" s="1"/>
  <c r="J13" i="5"/>
  <c r="K13" i="5" s="1"/>
  <c r="J11" i="5"/>
  <c r="K11" i="5" s="1"/>
  <c r="J17" i="4"/>
  <c r="K17" i="4" s="1"/>
  <c r="J12" i="4"/>
  <c r="K12" i="4" s="1"/>
  <c r="J37" i="3"/>
  <c r="K37" i="3" s="1"/>
  <c r="J28" i="4"/>
  <c r="K28" i="4" s="1"/>
  <c r="J18" i="3"/>
  <c r="K18" i="3" s="1"/>
  <c r="J17" i="3"/>
  <c r="K17" i="3" s="1"/>
  <c r="J40" i="5"/>
  <c r="K40" i="5" s="1"/>
  <c r="J36" i="5"/>
  <c r="K36" i="5" s="1"/>
  <c r="J35" i="5"/>
  <c r="K35" i="5" s="1"/>
  <c r="J31" i="5"/>
  <c r="K31" i="5" s="1"/>
  <c r="J24" i="5"/>
  <c r="K24" i="5" s="1"/>
  <c r="J20" i="5"/>
  <c r="K20" i="5" s="1"/>
  <c r="J18" i="5"/>
  <c r="K18" i="5" s="1"/>
  <c r="J10" i="5"/>
  <c r="K10" i="5" s="1"/>
  <c r="J9" i="5"/>
  <c r="K9" i="5" s="1"/>
  <c r="J38" i="5"/>
  <c r="K38" i="5" s="1"/>
  <c r="J32" i="5"/>
  <c r="K32" i="5" s="1"/>
  <c r="J28" i="5"/>
  <c r="K28" i="5" s="1"/>
  <c r="J26" i="5"/>
  <c r="K26" i="5" s="1"/>
  <c r="J21" i="5"/>
  <c r="K21" i="5" s="1"/>
  <c r="J38" i="3"/>
  <c r="K38" i="3" s="1"/>
  <c r="J40" i="3"/>
  <c r="K40" i="3" s="1"/>
  <c r="J35" i="3"/>
  <c r="K35" i="3" s="1"/>
  <c r="J33" i="3"/>
  <c r="K33" i="3" s="1"/>
  <c r="J32" i="3"/>
  <c r="K32" i="3" s="1"/>
  <c r="J31" i="3"/>
  <c r="K31" i="3" s="1"/>
  <c r="J29" i="3"/>
  <c r="K29" i="3" s="1"/>
  <c r="J28" i="3"/>
  <c r="K28" i="3" s="1"/>
  <c r="J27" i="3"/>
  <c r="K27" i="3" s="1"/>
  <c r="J24" i="3"/>
  <c r="K24" i="3" s="1"/>
  <c r="J23" i="3"/>
  <c r="K23" i="3" s="1"/>
  <c r="J19" i="3"/>
  <c r="K19" i="3" s="1"/>
  <c r="J16" i="3"/>
  <c r="K16" i="3" s="1"/>
  <c r="J15" i="3"/>
  <c r="K15" i="3" s="1"/>
  <c r="J14" i="3"/>
  <c r="K14" i="3" s="1"/>
  <c r="J13" i="3"/>
  <c r="K13" i="3" s="1"/>
  <c r="J12" i="3"/>
  <c r="K12" i="3" s="1"/>
  <c r="J10" i="3"/>
  <c r="K10" i="3" s="1"/>
  <c r="J7" i="3"/>
  <c r="K7" i="3" s="1"/>
  <c r="J5" i="3"/>
  <c r="K5" i="3" s="1"/>
  <c r="J4" i="3"/>
  <c r="K4" i="3" s="1"/>
  <c r="J3" i="3"/>
  <c r="K3" i="3" s="1"/>
  <c r="J2" i="3"/>
  <c r="J26" i="4"/>
  <c r="K26" i="4" s="1"/>
  <c r="J24" i="4"/>
  <c r="K24" i="4" s="1"/>
  <c r="J41" i="4"/>
  <c r="K41" i="4" s="1"/>
  <c r="J40" i="4"/>
  <c r="K40" i="4" s="1"/>
  <c r="J39" i="4"/>
  <c r="K39" i="4" s="1"/>
  <c r="J36" i="4"/>
  <c r="K36" i="4" s="1"/>
  <c r="J35" i="4"/>
  <c r="K35" i="4" s="1"/>
  <c r="J32" i="4"/>
  <c r="K32" i="4" s="1"/>
  <c r="J31" i="4"/>
  <c r="K31" i="4" s="1"/>
  <c r="E20" i="7" l="1"/>
  <c r="E19" i="7"/>
  <c r="C21" i="7"/>
  <c r="D21" i="7" s="1"/>
  <c r="J8" i="3"/>
  <c r="K8" i="3" s="1"/>
  <c r="K2" i="3"/>
  <c r="C20" i="7"/>
  <c r="D20" i="7" s="1"/>
  <c r="E21" i="7"/>
  <c r="C19" i="7"/>
  <c r="D19" i="7" s="1"/>
  <c r="E16" i="7"/>
  <c r="C18" i="7"/>
  <c r="D18" i="7" s="1"/>
  <c r="C16" i="7"/>
  <c r="D16" i="7" s="1"/>
  <c r="E18" i="7"/>
  <c r="E17" i="7"/>
  <c r="C17" i="7"/>
  <c r="D17" i="7" s="1"/>
  <c r="E13" i="7" l="1"/>
  <c r="C15" i="7"/>
  <c r="D15" i="7" s="1"/>
  <c r="E14" i="7"/>
  <c r="C14" i="7"/>
  <c r="D14" i="7" s="1"/>
  <c r="C13" i="7"/>
  <c r="D13" i="7" s="1"/>
  <c r="E15" i="7"/>
  <c r="C8" i="7"/>
  <c r="C6" i="7"/>
  <c r="C7" i="7" l="1"/>
  <c r="C5" i="7"/>
</calcChain>
</file>

<file path=xl/sharedStrings.xml><?xml version="1.0" encoding="utf-8"?>
<sst xmlns="http://schemas.openxmlformats.org/spreadsheetml/2006/main" count="1985" uniqueCount="155">
  <si>
    <t>Stage Race Configuration</t>
  </si>
  <si>
    <t>FieldName</t>
  </si>
  <si>
    <t>BibStart</t>
  </si>
  <si>
    <t>BibEnd</t>
  </si>
  <si>
    <t>Place</t>
  </si>
  <si>
    <t>Stage1BonusSec</t>
  </si>
  <si>
    <t>Stage2BonusSec</t>
  </si>
  <si>
    <t>Stage3BonusSec</t>
  </si>
  <si>
    <t>Men Under 40</t>
  </si>
  <si>
    <t>Men 40+</t>
  </si>
  <si>
    <t>Men 50+</t>
  </si>
  <si>
    <t>Women</t>
  </si>
  <si>
    <t>TimeFormat</t>
  </si>
  <si>
    <t>hh:mm:ss</t>
  </si>
  <si>
    <t>NumStages</t>
  </si>
  <si>
    <t>Bib</t>
  </si>
  <si>
    <t>FirstName</t>
  </si>
  <si>
    <t>LastName</t>
  </si>
  <si>
    <t>Field</t>
  </si>
  <si>
    <t>Team</t>
  </si>
  <si>
    <t>LicenseID</t>
  </si>
  <si>
    <t>Nora</t>
  </si>
  <si>
    <t>Lopez</t>
  </si>
  <si>
    <t>Apex Cycling</t>
  </si>
  <si>
    <t>LIC-672493</t>
  </si>
  <si>
    <t>Ruby</t>
  </si>
  <si>
    <t>Garcia</t>
  </si>
  <si>
    <t>Rapid Chain</t>
  </si>
  <si>
    <t>LIC-926506</t>
  </si>
  <si>
    <t>Ivy</t>
  </si>
  <si>
    <t>Harris</t>
  </si>
  <si>
    <t>City Sprint</t>
  </si>
  <si>
    <t>LIC-647345</t>
  </si>
  <si>
    <t>Moore</t>
  </si>
  <si>
    <t>Northwind Velo</t>
  </si>
  <si>
    <t>LIC-771203</t>
  </si>
  <si>
    <t>Mila</t>
  </si>
  <si>
    <t>Summit Wheels</t>
  </si>
  <si>
    <t>LIC-724618</t>
  </si>
  <si>
    <t>Jude</t>
  </si>
  <si>
    <t>Johnson</t>
  </si>
  <si>
    <t>LIC-478530</t>
  </si>
  <si>
    <t>LIC-810254</t>
  </si>
  <si>
    <t>Aria</t>
  </si>
  <si>
    <t>Nomad CC</t>
  </si>
  <si>
    <t>LIC-887419</t>
  </si>
  <si>
    <t>Wilson</t>
  </si>
  <si>
    <t>LIC-612941</t>
  </si>
  <si>
    <t>Park</t>
  </si>
  <si>
    <t>LIC-995107</t>
  </si>
  <si>
    <t>LIC-531800</t>
  </si>
  <si>
    <t>Thomas</t>
  </si>
  <si>
    <t>LIC-222961</t>
  </si>
  <si>
    <t>Ethan</t>
  </si>
  <si>
    <t>LIC-350332</t>
  </si>
  <si>
    <t>Lena</t>
  </si>
  <si>
    <t>Anderson</t>
  </si>
  <si>
    <t>LIC-288544</t>
  </si>
  <si>
    <t>Noah</t>
  </si>
  <si>
    <t>Martinez</t>
  </si>
  <si>
    <t>LIC-236617</t>
  </si>
  <si>
    <t>LIC-383936</t>
  </si>
  <si>
    <t>Liam</t>
  </si>
  <si>
    <t>LIC-449755</t>
  </si>
  <si>
    <t>Ava</t>
  </si>
  <si>
    <t>Kim</t>
  </si>
  <si>
    <t>LIC-960306</t>
  </si>
  <si>
    <t>Leo</t>
  </si>
  <si>
    <t>LIC-652564</t>
  </si>
  <si>
    <t>Miller</t>
  </si>
  <si>
    <t>LIC-818733</t>
  </si>
  <si>
    <t>Alex</t>
  </si>
  <si>
    <t>Taylor</t>
  </si>
  <si>
    <t>LIC-630524</t>
  </si>
  <si>
    <t>LIC-107272</t>
  </si>
  <si>
    <t>Lewis</t>
  </si>
  <si>
    <t>LIC-616971</t>
  </si>
  <si>
    <t>Smith</t>
  </si>
  <si>
    <t>LIC-224278</t>
  </si>
  <si>
    <t>LIC-324548</t>
  </si>
  <si>
    <t>Owen</t>
  </si>
  <si>
    <t>LIC-627976</t>
  </si>
  <si>
    <t>Clark</t>
  </si>
  <si>
    <t>LIC-282893</t>
  </si>
  <si>
    <t>LIC-652281</t>
  </si>
  <si>
    <t>Sofia</t>
  </si>
  <si>
    <t>Brown</t>
  </si>
  <si>
    <t>LIC-982587</t>
  </si>
  <si>
    <t>Emma</t>
  </si>
  <si>
    <t>LIC-928867</t>
  </si>
  <si>
    <t>Nguyen</t>
  </si>
  <si>
    <t>LIC-725353</t>
  </si>
  <si>
    <t>LIC-815489</t>
  </si>
  <si>
    <t>Kai</t>
  </si>
  <si>
    <t>LIC-280497</t>
  </si>
  <si>
    <t>LIC-830551</t>
  </si>
  <si>
    <t>LIC-847602</t>
  </si>
  <si>
    <t>LIC-193931</t>
  </si>
  <si>
    <t>LIC-725480</t>
  </si>
  <si>
    <t>LIC-274045</t>
  </si>
  <si>
    <t>LIC-587361</t>
  </si>
  <si>
    <t>Davis</t>
  </si>
  <si>
    <t>LIC-441173</t>
  </si>
  <si>
    <t/>
  </si>
  <si>
    <t>StageTime</t>
  </si>
  <si>
    <t>StageSeconds</t>
  </si>
  <si>
    <t>Position</t>
  </si>
  <si>
    <t>BonusSeconds</t>
  </si>
  <si>
    <t>NetSeconds</t>
  </si>
  <si>
    <t>NetTime</t>
  </si>
  <si>
    <t>SortKey</t>
  </si>
  <si>
    <t>Quick Field View</t>
  </si>
  <si>
    <t>Selected Field Results</t>
  </si>
  <si>
    <t>Use table header dropdown filters above for slice-and-dice.</t>
  </si>
  <si>
    <t>DNF</t>
  </si>
  <si>
    <t>DNS</t>
  </si>
  <si>
    <t>S1NetTime</t>
  </si>
  <si>
    <t>S2NetTime</t>
  </si>
  <si>
    <t>S3NetTime</t>
  </si>
  <si>
    <t>TotalSec</t>
  </si>
  <si>
    <t>BonusTime</t>
  </si>
  <si>
    <t>TotalTime</t>
  </si>
  <si>
    <t>GCStatus</t>
  </si>
  <si>
    <t>GCRank</t>
  </si>
  <si>
    <t>3-Day Stage Race Dashboard</t>
  </si>
  <si>
    <t>Field Summary</t>
  </si>
  <si>
    <t>Navigation</t>
  </si>
  <si>
    <t>Registered</t>
  </si>
  <si>
    <t>Active</t>
  </si>
  <si>
    <t>Go to Config</t>
  </si>
  <si>
    <t>Go to Registration</t>
  </si>
  <si>
    <t>Go to Group Stage</t>
  </si>
  <si>
    <t>Go to TT Stage</t>
  </si>
  <si>
    <t>Go to Mountain Stage</t>
  </si>
  <si>
    <t>Go to GC</t>
  </si>
  <si>
    <t>Go to Dashboard</t>
  </si>
  <si>
    <t>Stage Top 3 Podiums</t>
  </si>
  <si>
    <t>Stage</t>
  </si>
  <si>
    <t>Rider</t>
  </si>
  <si>
    <t>Net Time</t>
  </si>
  <si>
    <t>Group Stage</t>
  </si>
  <si>
    <t>TT Stage</t>
  </si>
  <si>
    <t>Mountain Stage</t>
  </si>
  <si>
    <t>Field GC Leaders</t>
  </si>
  <si>
    <t>Leader Bib</t>
  </si>
  <si>
    <t>Leader Name</t>
  </si>
  <si>
    <t>Leader Time</t>
  </si>
  <si>
    <t>Absolute GC Leader</t>
  </si>
  <si>
    <t>Leader Field</t>
  </si>
  <si>
    <t>Warnings</t>
  </si>
  <si>
    <t>Bib range full</t>
  </si>
  <si>
    <t>Missing Group Stage times</t>
  </si>
  <si>
    <t>Missing TT Stage times</t>
  </si>
  <si>
    <t>Missing Mountain Stage times</t>
  </si>
  <si>
    <t>Duplicate bibs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</si>
</sst>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h:mm:ss"/>
    <numFmt numFmtId="165" formatCode="&quot;-&quot;hh:mm:ss"/>
  </numFmts>
  <fonts count="3" x14ac:knownFonts="1">
    <font>
      <sz val="11"/>
      <color theme="1"/>
      <name val="Calibri"/>
      <family val="2"/>
      <scheme val="minor"/>
    </font>
    <font>
      <b/>
      <sz val="11"/>
      <color rgb="FFFFFFFF"/>
      <name val="Calibri"/>
    </font>
    <font>
      <b/>
      <sz val="11"/>
      <name val="Calibri"/>
    </font>
  </fonts>
  <fills count="4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rgb="FF2E75B6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0" xfId="0" applyFont="1" applyFill="1"/>
    <xf numFmtId="0" fontId="0" fillId="0" borderId="0" xfId="0" applyProtection="1">
      <protection locked="0"/>
    </xf>
    <xf numFmtId="0" fontId="2" fillId="0" borderId="0" xfId="0" applyFont="1"/>
    <xf numFmtId="164" fontId="0" fillId="0" borderId="0" xfId="0" applyNumberFormat="1" applyProtection="1">
      <protection locked="0"/>
    </xf>
    <xf numFmtId="164" fontId="0" fillId="0" borderId="0" xfId="0" applyNumberFormat="1"/>
    <xf numFmtId="0" fontId="1" fillId="2" borderId="0" xfId="0" applyFont="1" applyFill="1" applyProtection="1">
      <protection locked="0"/>
    </xf>
    <xf numFmtId="165" fontId="0" fillId="0" borderId="0" xfId="0" applyNumberFormat="1"/>
    <xf numFmtId="0" fontId="1" fillId="3" borderId="0" xfId="0" applyFont="1" applyFill="1" applyAlignment="1">
      <alignment horizontal="center"/>
    </xf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</xdr:row>
      <xdr:rowOff>25400</xdr:rowOff>
    </xdr:from>
    <xdr:to>
      <xdr:col>16</xdr:col>
      <xdr:colOff>203200</xdr:colOff>
      <xdr:row>3</xdr:row>
      <xdr:rowOff>50800</xdr:rowOff>
    </xdr:to>
    <xdr:sp macro="[0]!ManualReorderStage" textlink="">
      <xdr:nvSpPr>
        <xdr:cNvPr id="3" name="btnManualReorder">
          <a:extLst>
            <a:ext uri="{FF2B5EF4-FFF2-40B4-BE49-F238E27FC236}">
              <a16:creationId xmlns:a16="http://schemas.microsoft.com/office/drawing/2014/main" id="{5407FBBC-9BA1-D439-0959-CE71E0D6D5DE}"/>
            </a:ext>
          </a:extLst>
        </xdr:cNvPr>
        <xdr:cNvSpPr/>
      </xdr:nvSpPr>
      <xdr:spPr>
        <a:xfrm>
          <a:off x="11468100" y="215900"/>
          <a:ext cx="2032000" cy="406400"/>
        </a:xfrm>
        <a:prstGeom prst="roundRect">
          <a:avLst/>
        </a:prstGeom>
        <a:gradFill flip="none" rotWithShape="1">
          <a:gsLst>
            <a:gs pos="0">
              <a:srgbClr val="165695"/>
            </a:gs>
            <a:gs pos="100000">
              <a:schemeClr val="accent1">
                <a:tint val="50000"/>
                <a:shade val="100000"/>
                <a:satMod val="350000"/>
              </a:schemeClr>
            </a:gs>
          </a:gsLst>
          <a:lin ang="16200000" scaled="0"/>
          <a:tileRect/>
        </a:gradFill>
        <a:ln w="9525" cap="flat" cmpd="sng" algn="ctr">
          <a:noFill/>
          <a:prstDash val="soli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l"/>
          <a:r>
            <a:rPr lang="en-US" sz="1100" b="1">
              <a:solidFill>
                <a:srgbClr val="FFFFFF"/>
              </a:solidFill>
            </a:rPr>
            <a:t>Recalculate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</xdr:row>
      <xdr:rowOff>25400</xdr:rowOff>
    </xdr:from>
    <xdr:to>
      <xdr:col>16</xdr:col>
      <xdr:colOff>203200</xdr:colOff>
      <xdr:row>3</xdr:row>
      <xdr:rowOff>50800</xdr:rowOff>
    </xdr:to>
    <xdr:sp macro="[0]!ManualReorderStage" textlink="">
      <xdr:nvSpPr>
        <xdr:cNvPr id="3" name="btnManualReorder">
          <a:extLst>
            <a:ext uri="{FF2B5EF4-FFF2-40B4-BE49-F238E27FC236}">
              <a16:creationId xmlns:a16="http://schemas.microsoft.com/office/drawing/2014/main" id="{CC933835-8602-26EF-37ED-54EE02B8E667}"/>
            </a:ext>
          </a:extLst>
        </xdr:cNvPr>
        <xdr:cNvSpPr/>
      </xdr:nvSpPr>
      <xdr:spPr>
        <a:xfrm>
          <a:off x="11468100" y="215900"/>
          <a:ext cx="2032000" cy="406400"/>
        </a:xfrm>
        <a:prstGeom prst="roundRect">
          <a:avLst/>
        </a:prstGeom>
        <a:gradFill flip="none" rotWithShape="1">
          <a:gsLst>
            <a:gs pos="0">
              <a:srgbClr val="165695"/>
            </a:gs>
            <a:gs pos="100000">
              <a:schemeClr val="accent1">
                <a:tint val="50000"/>
                <a:shade val="100000"/>
                <a:satMod val="350000"/>
              </a:schemeClr>
            </a:gs>
          </a:gsLst>
          <a:lin ang="16200000" scaled="0"/>
          <a:tileRect/>
        </a:gradFill>
        <a:ln w="9525" cap="flat" cmpd="sng" algn="ctr">
          <a:noFill/>
          <a:prstDash val="soli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l"/>
          <a:r>
            <a:rPr lang="en-US" sz="1100" b="1">
              <a:solidFill>
                <a:srgbClr val="FFFFFF"/>
              </a:solidFill>
            </a:rPr>
            <a:t>Recalculate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</xdr:row>
      <xdr:rowOff>25400</xdr:rowOff>
    </xdr:from>
    <xdr:to>
      <xdr:col>16</xdr:col>
      <xdr:colOff>203200</xdr:colOff>
      <xdr:row>3</xdr:row>
      <xdr:rowOff>50800</xdr:rowOff>
    </xdr:to>
    <xdr:sp macro="[0]!ManualReorderStage" textlink="">
      <xdr:nvSpPr>
        <xdr:cNvPr id="3" name="btnManualReorder">
          <a:extLst>
            <a:ext uri="{FF2B5EF4-FFF2-40B4-BE49-F238E27FC236}">
              <a16:creationId xmlns:a16="http://schemas.microsoft.com/office/drawing/2014/main" id="{29980C25-82EA-5562-DCE6-E89B4B9E03AE}"/>
            </a:ext>
          </a:extLst>
        </xdr:cNvPr>
        <xdr:cNvSpPr/>
      </xdr:nvSpPr>
      <xdr:spPr>
        <a:xfrm>
          <a:off x="11468100" y="215900"/>
          <a:ext cx="2032000" cy="406400"/>
        </a:xfrm>
        <a:prstGeom prst="roundRect">
          <a:avLst/>
        </a:prstGeom>
        <a:gradFill flip="none" rotWithShape="1">
          <a:gsLst>
            <a:gs pos="0">
              <a:srgbClr val="165695"/>
            </a:gs>
            <a:gs pos="100000">
              <a:schemeClr val="accent1">
                <a:tint val="50000"/>
                <a:shade val="100000"/>
                <a:satMod val="350000"/>
              </a:schemeClr>
            </a:gs>
          </a:gsLst>
          <a:lin ang="16200000" scaled="0"/>
          <a:tileRect/>
        </a:gradFill>
        <a:ln w="9525" cap="flat" cmpd="sng" algn="ctr">
          <a:noFill/>
          <a:prstDash val="soli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l"/>
          <a:r>
            <a:rPr lang="en-US" sz="1100" b="1">
              <a:solidFill>
                <a:srgbClr val="FFFFFF"/>
              </a:solidFill>
            </a:rPr>
            <a:t>Recalculate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</xdr:row>
      <xdr:rowOff>25400</xdr:rowOff>
    </xdr:from>
    <xdr:to>
      <xdr:col>16</xdr:col>
      <xdr:colOff>203200</xdr:colOff>
      <xdr:row>3</xdr:row>
      <xdr:rowOff>50800</xdr:rowOff>
    </xdr:to>
    <xdr:sp macro="[0]!ManualReorderGC" textlink="">
      <xdr:nvSpPr>
        <xdr:cNvPr id="4" name="btnManualReorder">
          <a:extLst>
            <a:ext uri="{FF2B5EF4-FFF2-40B4-BE49-F238E27FC236}">
              <a16:creationId xmlns:a16="http://schemas.microsoft.com/office/drawing/2014/main" id="{594022D4-1910-30E1-6A5E-06AAC3AC6B53}"/>
            </a:ext>
          </a:extLst>
        </xdr:cNvPr>
        <xdr:cNvSpPr/>
      </xdr:nvSpPr>
      <xdr:spPr>
        <a:xfrm>
          <a:off x="12401550" y="215900"/>
          <a:ext cx="2032000" cy="406400"/>
        </a:xfrm>
        <a:prstGeom prst="roundRect">
          <a:avLst/>
        </a:prstGeom>
        <a:gradFill flip="none" rotWithShape="1">
          <a:gsLst>
            <a:gs pos="0">
              <a:srgbClr val="165695"/>
            </a:gs>
            <a:gs pos="100000">
              <a:schemeClr val="accent1">
                <a:tint val="50000"/>
                <a:shade val="100000"/>
                <a:satMod val="350000"/>
              </a:schemeClr>
            </a:gs>
          </a:gsLst>
          <a:lin ang="16200000" scaled="0"/>
          <a:tileRect/>
        </a:gradFill>
        <a:ln w="9525" cap="flat" cmpd="sng" algn="ctr">
          <a:noFill/>
          <a:prstDash val="soli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l"/>
          <a:r>
            <a:rPr lang="en-US" sz="1100" b="1">
              <a:solidFill>
                <a:srgbClr val="FFFFFF"/>
              </a:solidFill>
            </a:rPr>
            <a:t>Recalculate</a:t>
          </a:r>
        </a:p>
      </xdr:txBody>
    </xdr:sp>
    <xdr:clientData/>
  </xdr:twoCellAnchor>
  <xdr:twoCellAnchor>
    <xdr:from>
      <xdr:col>15</xdr:col>
      <xdr:colOff>0</xdr:colOff>
      <xdr:row>1</xdr:row>
      <xdr:rowOff>25400</xdr:rowOff>
    </xdr:from>
    <xdr:to>
      <xdr:col>17</xdr:col>
      <xdr:colOff>558800</xdr:colOff>
      <xdr:row>3</xdr:row>
      <xdr:rowOff>50800</xdr:rowOff>
    </xdr:to>
    <xdr:sp macro="[0]!PublishRaceResultsAction" textlink="">
      <xdr:nvSpPr>
        <xdr:cNvPr id="5" name="btnPublishResults">
          <a:extLst>
            <a:ext uri="{FF2B5EF4-FFF2-40B4-BE49-F238E27FC236}">
              <a16:creationId xmlns:a16="http://schemas.microsoft.com/office/drawing/2014/main" id="{85F35353-37BE-20EA-6E64-4FCCBAE6C9CB}"/>
            </a:ext>
          </a:extLst>
        </xdr:cNvPr>
        <xdr:cNvSpPr/>
      </xdr:nvSpPr>
      <xdr:spPr>
        <a:xfrm>
          <a:off x="13620750" y="215900"/>
          <a:ext cx="1778000" cy="406400"/>
        </a:xfrm>
        <a:prstGeom prst="roundRect">
          <a:avLst/>
        </a:prstGeom>
        <a:gradFill flip="none" rotWithShape="1">
          <a:gsLst>
            <a:gs pos="0">
              <a:srgbClr val="107C41"/>
            </a:gs>
            <a:gs pos="100000">
              <a:schemeClr val="accent1">
                <a:tint val="50000"/>
                <a:shade val="100000"/>
                <a:satMod val="350000"/>
              </a:schemeClr>
            </a:gs>
          </a:gsLst>
          <a:lin ang="16200000" scaled="0"/>
          <a:tileRect/>
        </a:gradFill>
        <a:ln w="9525" cap="flat" cmpd="sng" algn="ctr">
          <a:noFill/>
          <a:prstDash val="soli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l"/>
          <a:r>
            <a:rPr lang="en-US" sz="1100" b="1">
              <a:solidFill>
                <a:srgbClr val="FFFFFF"/>
              </a:solidFill>
            </a:rPr>
            <a:t>Publish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Fields" displayName="tblFields" ref="A3:A7">
  <autoFilter ref="A3:A7" xr:uid="{00000000-0009-0000-0100-000001000000}"/>
  <tableColumns count="1">
    <tableColumn id="1" xr3:uid="{00000000-0010-0000-0000-000001000000}" name="FieldName" totalsRowLabel="Tota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BibRanges" displayName="tblBibRanges" ref="C3:E7">
  <autoFilter ref="C3:E7" xr:uid="{00000000-0009-0000-0100-000002000000}"/>
  <tableColumns count="3">
    <tableColumn id="1" xr3:uid="{00000000-0010-0000-0100-000001000000}" name="FieldName" totalsRowLabel="Total"/>
    <tableColumn id="2" xr3:uid="{00000000-0010-0000-0100-000002000000}" name="BibStart"/>
    <tableColumn id="3" xr3:uid="{00000000-0010-0000-0100-000003000000}" name="BibEnd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Bonus" displayName="tblBonus" ref="H3:K6">
  <autoFilter ref="H3:K6" xr:uid="{00000000-0009-0000-0100-000003000000}"/>
  <tableColumns count="4">
    <tableColumn id="1" xr3:uid="{00000000-0010-0000-0200-000001000000}" name="Place" totalsRowLabel="Total"/>
    <tableColumn id="2" xr3:uid="{00000000-0010-0000-0200-000002000000}" name="Stage1BonusSec"/>
    <tableColumn id="3" xr3:uid="{00000000-0010-0000-0200-000003000000}" name="Stage2BonusSec"/>
    <tableColumn id="4" xr3:uid="{00000000-0010-0000-0200-000004000000}" name="Stage3BonusSec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Reg" displayName="tblReg" ref="A1:F201">
  <autoFilter ref="A1:F201" xr:uid="{00000000-0009-0000-0100-000004000000}"/>
  <tableColumns count="6">
    <tableColumn id="1" xr3:uid="{00000000-0010-0000-0300-000001000000}" name="Bib" totalsRowLabel="Total"/>
    <tableColumn id="2" xr3:uid="{00000000-0010-0000-0300-000002000000}" name="FirstName"/>
    <tableColumn id="3" xr3:uid="{00000000-0010-0000-0300-000003000000}" name="LastName"/>
    <tableColumn id="4" xr3:uid="{00000000-0010-0000-0300-000004000000}" name="Field"/>
    <tableColumn id="5" xr3:uid="{00000000-0010-0000-0300-000005000000}" name="Team"/>
    <tableColumn id="6" xr3:uid="{00000000-0010-0000-0300-000006000000}" name="LicenseID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Stage1" displayName="tblStage1" ref="A1:L251">
  <autoFilter ref="A1:L251" xr:uid="{00000000-0009-0000-0100-000005000000}"/>
  <tableColumns count="12">
    <tableColumn id="1" xr3:uid="{00000000-0010-0000-0400-000001000000}" name="Bib" totalsRowLabel="Total"/>
    <tableColumn id="2" xr3:uid="{00000000-0010-0000-0400-000002000000}" name="Field"/>
    <tableColumn id="3" xr3:uid="{00000000-0010-0000-0400-000003000000}" name="FirstName"/>
    <tableColumn id="4" xr3:uid="{00000000-0010-0000-0400-000004000000}" name="LastName"/>
    <tableColumn id="5" xr3:uid="{00000000-0010-0000-0400-000005000000}" name="Team"/>
    <tableColumn id="6" xr3:uid="{00000000-0010-0000-0400-000006000000}" name="StageTime"/>
    <tableColumn id="7" xr3:uid="{00000000-0010-0000-0400-000007000000}" name="StageSeconds"/>
    <tableColumn id="8" xr3:uid="{00000000-0010-0000-0400-000008000000}" name="Position"/>
    <tableColumn id="9" xr3:uid="{00000000-0010-0000-0400-000009000000}" name="BonusSeconds"/>
    <tableColumn id="10" xr3:uid="{00000000-0010-0000-0400-00000A000000}" name="NetSeconds"/>
    <tableColumn id="11" xr3:uid="{00000000-0010-0000-0400-00000B000000}" name="NetTime"/>
    <tableColumn id="12" xr3:uid="{00000000-0010-0000-0400-00000C000000}" name="SortKey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Stage2" displayName="tblStage2" ref="A1:L251">
  <autoFilter ref="A1:L251" xr:uid="{00000000-0009-0000-0100-000006000000}"/>
  <tableColumns count="12">
    <tableColumn id="1" xr3:uid="{00000000-0010-0000-0500-000001000000}" name="Bib" totalsRowLabel="Total"/>
    <tableColumn id="2" xr3:uid="{00000000-0010-0000-0500-000002000000}" name="Field"/>
    <tableColumn id="3" xr3:uid="{00000000-0010-0000-0500-000003000000}" name="FirstName"/>
    <tableColumn id="4" xr3:uid="{00000000-0010-0000-0500-000004000000}" name="LastName"/>
    <tableColumn id="5" xr3:uid="{00000000-0010-0000-0500-000005000000}" name="Team"/>
    <tableColumn id="6" xr3:uid="{00000000-0010-0000-0500-000006000000}" name="StageTime"/>
    <tableColumn id="7" xr3:uid="{00000000-0010-0000-0500-000007000000}" name="StageSeconds"/>
    <tableColumn id="8" xr3:uid="{00000000-0010-0000-0500-000008000000}" name="Position"/>
    <tableColumn id="9" xr3:uid="{00000000-0010-0000-0500-000009000000}" name="BonusSeconds"/>
    <tableColumn id="10" xr3:uid="{00000000-0010-0000-0500-00000A000000}" name="NetSeconds"/>
    <tableColumn id="11" xr3:uid="{00000000-0010-0000-0500-00000B000000}" name="NetTime"/>
    <tableColumn id="12" xr3:uid="{00000000-0010-0000-0500-00000C000000}" name="SortKey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Stage3" displayName="tblStage3" ref="A1:L251">
  <autoFilter ref="A1:L251" xr:uid="{00000000-0009-0000-0100-000007000000}"/>
  <tableColumns count="12">
    <tableColumn id="1" xr3:uid="{00000000-0010-0000-0600-000001000000}" name="Bib" totalsRowLabel="Total"/>
    <tableColumn id="2" xr3:uid="{00000000-0010-0000-0600-000002000000}" name="Field"/>
    <tableColumn id="3" xr3:uid="{00000000-0010-0000-0600-000003000000}" name="FirstName"/>
    <tableColumn id="4" xr3:uid="{00000000-0010-0000-0600-000004000000}" name="LastName"/>
    <tableColumn id="5" xr3:uid="{00000000-0010-0000-0600-000005000000}" name="Team"/>
    <tableColumn id="6" xr3:uid="{00000000-0010-0000-0600-000006000000}" name="StageTime"/>
    <tableColumn id="7" xr3:uid="{00000000-0010-0000-0600-000007000000}" name="StageSeconds"/>
    <tableColumn id="8" xr3:uid="{00000000-0010-0000-0600-000008000000}" name="Position"/>
    <tableColumn id="9" xr3:uid="{00000000-0010-0000-0600-000009000000}" name="BonusSeconds"/>
    <tableColumn id="10" xr3:uid="{00000000-0010-0000-0600-00000A000000}" name="NetSeconds"/>
    <tableColumn id="11" xr3:uid="{00000000-0010-0000-0600-00000B000000}" name="NetTime"/>
    <tableColumn id="12" xr3:uid="{00000000-0010-0000-0600-00000C000000}" name="SortKe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1"/>
  <sheetViews>
    <sheetView tabSelected="1" workbookViewId="0">
      <selection activeCell="H5" sqref="H5"/>
    </sheetView>
  </sheetViews>
  <sheetFormatPr defaultRowHeight="15" x14ac:dyDescent="0.25"/>
  <cols>
    <col min="1" max="4" width="14" customWidth="1"/>
    <col min="5" max="5" width="18" customWidth="1"/>
    <col min="6" max="13" width="14" customWidth="1"/>
  </cols>
  <sheetData>
    <row r="1" spans="1:11" x14ac:dyDescent="0.25">
      <c r="A1" s="9" t="s">
        <v>0</v>
      </c>
      <c r="B1" s="9"/>
      <c r="C1" s="9"/>
      <c r="D1" s="9"/>
    </row>
    <row r="3" spans="1:11" x14ac:dyDescent="0.25">
      <c r="A3" t="s">
        <v>1</v>
      </c>
      <c r="C3" t="s">
        <v>1</v>
      </c>
      <c r="D3" t="s">
        <v>2</v>
      </c>
      <c r="E3" t="s">
        <v>3</v>
      </c>
      <c r="H3" t="s">
        <v>4</v>
      </c>
      <c r="I3" t="s">
        <v>5</v>
      </c>
      <c r="J3" t="s">
        <v>6</v>
      </c>
      <c r="K3" t="s">
        <v>7</v>
      </c>
    </row>
    <row r="4" spans="1:11" x14ac:dyDescent="0.25">
      <c r="A4" s="2" t="s">
        <v>8</v>
      </c>
      <c r="C4" s="2" t="s">
        <v>8</v>
      </c>
      <c r="D4" s="2">
        <v>1</v>
      </c>
      <c r="E4" s="2">
        <v>50</v>
      </c>
      <c r="H4" s="2">
        <v>1</v>
      </c>
      <c r="I4" s="2">
        <v>10</v>
      </c>
      <c r="J4" s="2">
        <v>10</v>
      </c>
      <c r="K4" s="2">
        <v>0</v>
      </c>
    </row>
    <row r="5" spans="1:11" x14ac:dyDescent="0.25">
      <c r="A5" s="2" t="s">
        <v>9</v>
      </c>
      <c r="C5" s="2" t="s">
        <v>9</v>
      </c>
      <c r="D5" s="2">
        <v>51</v>
      </c>
      <c r="E5" s="2">
        <v>100</v>
      </c>
      <c r="H5" s="2">
        <v>2</v>
      </c>
      <c r="I5" s="2">
        <v>6</v>
      </c>
      <c r="J5" s="2">
        <v>6</v>
      </c>
      <c r="K5" s="2">
        <v>0</v>
      </c>
    </row>
    <row r="6" spans="1:11" x14ac:dyDescent="0.25">
      <c r="A6" s="2" t="s">
        <v>10</v>
      </c>
      <c r="C6" s="2" t="s">
        <v>10</v>
      </c>
      <c r="D6" s="2">
        <v>101</v>
      </c>
      <c r="E6" s="2">
        <v>150</v>
      </c>
      <c r="H6" s="2">
        <v>3</v>
      </c>
      <c r="I6" s="2">
        <v>4</v>
      </c>
      <c r="J6" s="2">
        <v>4</v>
      </c>
      <c r="K6" s="2">
        <v>0</v>
      </c>
    </row>
    <row r="7" spans="1:11" x14ac:dyDescent="0.25">
      <c r="A7" s="2" t="s">
        <v>11</v>
      </c>
      <c r="C7" s="2" t="s">
        <v>11</v>
      </c>
      <c r="D7" s="2">
        <v>151</v>
      </c>
      <c r="E7" s="2">
        <v>200</v>
      </c>
    </row>
    <row r="10" spans="1:11" x14ac:dyDescent="0.25">
      <c r="A10" s="3" t="s">
        <v>12</v>
      </c>
      <c r="B10" s="2" t="s">
        <v>13</v>
      </c>
    </row>
    <row r="11" spans="1:11" x14ac:dyDescent="0.25">
      <c r="A11" s="3" t="s">
        <v>14</v>
      </c>
      <c r="B11" s="2">
        <v>3</v>
      </c>
    </row>
  </sheetData>
  <sheetProtection algorithmName="SHA-512" hashValue="PuR72otJ9/de54x3weqfLLO2506Iv+Lfo1hy1CSsVTtifuZjrcMHPzwJ20qYkAIVynMf88U+ramVKF2p2xV06w==" saltValue="0JE2JbVPioJSjILLLJOm5g==" spinCount="100000" sheet="1" objects="1" scenarios="1" formatCells="0" selectLockedCells="1"/>
  <mergeCells count="1">
    <mergeCell ref="A1:D1"/>
  </mergeCells>
  <pageMargins left="0.7" right="0.7" top="0.75" bottom="0.75" header="0.3" footer="0.3"/>
  <pageSetup orientation="portrait" useFirstPageNumber="1" horizontalDpi="4294967295" verticalDpi="4294967295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201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4" width="14" customWidth="1"/>
    <col min="5" max="5" width="18" customWidth="1"/>
    <col min="6" max="13" width="14" customWidth="1"/>
  </cols>
  <sheetData>
    <row r="1" spans="1:6" x14ac:dyDescent="0.25">
      <c r="A1" t="s">
        <v>15</v>
      </c>
      <c r="B1" t="s">
        <v>16</v>
      </c>
      <c r="C1" t="s">
        <v>17</v>
      </c>
      <c r="D1" t="s">
        <v>18</v>
      </c>
      <c r="E1" t="s">
        <v>19</v>
      </c>
      <c r="F1" t="s">
        <v>20</v>
      </c>
    </row>
    <row r="2" spans="1:6" x14ac:dyDescent="0.25">
      <c r="A2" s="2">
        <v>1</v>
      </c>
      <c r="B2" s="2" t="s">
        <v>21</v>
      </c>
      <c r="C2" s="2" t="s">
        <v>22</v>
      </c>
      <c r="D2" s="2" t="s">
        <v>8</v>
      </c>
      <c r="E2" s="2" t="s">
        <v>23</v>
      </c>
      <c r="F2" s="2" t="s">
        <v>24</v>
      </c>
    </row>
    <row r="3" spans="1:6" x14ac:dyDescent="0.25">
      <c r="A3" s="2">
        <v>2</v>
      </c>
      <c r="B3" s="2" t="s">
        <v>25</v>
      </c>
      <c r="C3" s="2" t="s">
        <v>26</v>
      </c>
      <c r="D3" s="2" t="s">
        <v>8</v>
      </c>
      <c r="E3" s="2" t="s">
        <v>27</v>
      </c>
      <c r="F3" s="2" t="s">
        <v>28</v>
      </c>
    </row>
    <row r="4" spans="1:6" x14ac:dyDescent="0.25">
      <c r="A4" s="2">
        <v>3</v>
      </c>
      <c r="B4" s="2" t="s">
        <v>29</v>
      </c>
      <c r="C4" s="2" t="s">
        <v>30</v>
      </c>
      <c r="D4" s="2" t="s">
        <v>8</v>
      </c>
      <c r="E4" s="2" t="s">
        <v>31</v>
      </c>
      <c r="F4" s="2" t="s">
        <v>32</v>
      </c>
    </row>
    <row r="5" spans="1:6" x14ac:dyDescent="0.25">
      <c r="A5" s="2">
        <v>4</v>
      </c>
      <c r="B5" s="2" t="s">
        <v>21</v>
      </c>
      <c r="C5" s="2" t="s">
        <v>33</v>
      </c>
      <c r="D5" s="2" t="s">
        <v>8</v>
      </c>
      <c r="E5" s="2" t="s">
        <v>34</v>
      </c>
      <c r="F5" s="2" t="s">
        <v>35</v>
      </c>
    </row>
    <row r="6" spans="1:6" x14ac:dyDescent="0.25">
      <c r="A6" s="2">
        <v>5</v>
      </c>
      <c r="B6" s="2" t="s">
        <v>36</v>
      </c>
      <c r="C6" s="2" t="s">
        <v>30</v>
      </c>
      <c r="D6" s="2" t="s">
        <v>8</v>
      </c>
      <c r="E6" s="2" t="s">
        <v>37</v>
      </c>
      <c r="F6" s="2" t="s">
        <v>38</v>
      </c>
    </row>
    <row r="7" spans="1:6" x14ac:dyDescent="0.25">
      <c r="A7" s="2">
        <v>6</v>
      </c>
      <c r="B7" s="2" t="s">
        <v>39</v>
      </c>
      <c r="C7" s="2" t="s">
        <v>40</v>
      </c>
      <c r="D7" s="2" t="s">
        <v>8</v>
      </c>
      <c r="E7" s="2" t="s">
        <v>37</v>
      </c>
      <c r="F7" s="2" t="s">
        <v>41</v>
      </c>
    </row>
    <row r="8" spans="1:6" x14ac:dyDescent="0.25">
      <c r="A8" s="2">
        <v>7</v>
      </c>
      <c r="B8" s="2" t="s">
        <v>29</v>
      </c>
      <c r="C8" s="2" t="s">
        <v>26</v>
      </c>
      <c r="D8" s="2" t="s">
        <v>8</v>
      </c>
      <c r="E8" s="2" t="s">
        <v>23</v>
      </c>
      <c r="F8" s="2" t="s">
        <v>42</v>
      </c>
    </row>
    <row r="9" spans="1:6" x14ac:dyDescent="0.25">
      <c r="A9" s="2">
        <v>8</v>
      </c>
      <c r="B9" s="2" t="s">
        <v>43</v>
      </c>
      <c r="C9" s="2" t="s">
        <v>33</v>
      </c>
      <c r="D9" s="2" t="s">
        <v>8</v>
      </c>
      <c r="E9" s="2" t="s">
        <v>44</v>
      </c>
      <c r="F9" s="2" t="s">
        <v>45</v>
      </c>
    </row>
    <row r="10" spans="1:6" x14ac:dyDescent="0.25">
      <c r="A10" s="2">
        <v>9</v>
      </c>
      <c r="B10" s="2" t="s">
        <v>43</v>
      </c>
      <c r="C10" s="2" t="s">
        <v>46</v>
      </c>
      <c r="D10" s="2" t="s">
        <v>8</v>
      </c>
      <c r="E10" s="2" t="s">
        <v>37</v>
      </c>
      <c r="F10" s="2" t="s">
        <v>47</v>
      </c>
    </row>
    <row r="11" spans="1:6" x14ac:dyDescent="0.25">
      <c r="A11" s="2">
        <v>10</v>
      </c>
      <c r="B11" s="2" t="s">
        <v>29</v>
      </c>
      <c r="C11" s="2" t="s">
        <v>48</v>
      </c>
      <c r="D11" s="2" t="s">
        <v>8</v>
      </c>
      <c r="E11" s="2" t="s">
        <v>23</v>
      </c>
      <c r="F11" s="2" t="s">
        <v>49</v>
      </c>
    </row>
    <row r="12" spans="1:6" x14ac:dyDescent="0.25">
      <c r="A12" s="2">
        <v>51</v>
      </c>
      <c r="B12" s="2" t="s">
        <v>36</v>
      </c>
      <c r="C12" s="2" t="s">
        <v>30</v>
      </c>
      <c r="D12" s="2" t="s">
        <v>9</v>
      </c>
      <c r="E12" s="2" t="s">
        <v>44</v>
      </c>
      <c r="F12" s="2" t="s">
        <v>50</v>
      </c>
    </row>
    <row r="13" spans="1:6" x14ac:dyDescent="0.25">
      <c r="A13" s="2">
        <v>52</v>
      </c>
      <c r="B13" s="2" t="s">
        <v>43</v>
      </c>
      <c r="C13" s="2" t="s">
        <v>51</v>
      </c>
      <c r="D13" s="2" t="s">
        <v>9</v>
      </c>
      <c r="E13" s="2" t="s">
        <v>44</v>
      </c>
      <c r="F13" s="2" t="s">
        <v>52</v>
      </c>
    </row>
    <row r="14" spans="1:6" x14ac:dyDescent="0.25">
      <c r="A14" s="2">
        <v>53</v>
      </c>
      <c r="B14" s="2" t="s">
        <v>53</v>
      </c>
      <c r="C14" s="2" t="s">
        <v>33</v>
      </c>
      <c r="D14" s="2" t="s">
        <v>9</v>
      </c>
      <c r="E14" s="2" t="s">
        <v>34</v>
      </c>
      <c r="F14" s="2" t="s">
        <v>54</v>
      </c>
    </row>
    <row r="15" spans="1:6" x14ac:dyDescent="0.25">
      <c r="A15" s="2">
        <v>54</v>
      </c>
      <c r="B15" s="2" t="s">
        <v>55</v>
      </c>
      <c r="C15" s="2" t="s">
        <v>56</v>
      </c>
      <c r="D15" s="2" t="s">
        <v>9</v>
      </c>
      <c r="E15" s="2" t="s">
        <v>44</v>
      </c>
      <c r="F15" s="2" t="s">
        <v>57</v>
      </c>
    </row>
    <row r="16" spans="1:6" x14ac:dyDescent="0.25">
      <c r="A16" s="2">
        <v>55</v>
      </c>
      <c r="B16" s="2" t="s">
        <v>58</v>
      </c>
      <c r="C16" s="2" t="s">
        <v>59</v>
      </c>
      <c r="D16" s="2" t="s">
        <v>9</v>
      </c>
      <c r="E16" s="2" t="s">
        <v>31</v>
      </c>
      <c r="F16" s="2" t="s">
        <v>60</v>
      </c>
    </row>
    <row r="17" spans="1:6" x14ac:dyDescent="0.25">
      <c r="A17" s="2">
        <v>56</v>
      </c>
      <c r="B17" s="2" t="s">
        <v>58</v>
      </c>
      <c r="C17" s="2" t="s">
        <v>51</v>
      </c>
      <c r="D17" s="2" t="s">
        <v>9</v>
      </c>
      <c r="E17" s="2" t="s">
        <v>23</v>
      </c>
      <c r="F17" s="2" t="s">
        <v>61</v>
      </c>
    </row>
    <row r="18" spans="1:6" x14ac:dyDescent="0.25">
      <c r="A18" s="2">
        <v>57</v>
      </c>
      <c r="B18" s="2" t="s">
        <v>62</v>
      </c>
      <c r="C18" s="2" t="s">
        <v>33</v>
      </c>
      <c r="D18" s="2" t="s">
        <v>9</v>
      </c>
      <c r="E18" s="2" t="s">
        <v>44</v>
      </c>
      <c r="F18" s="2" t="s">
        <v>63</v>
      </c>
    </row>
    <row r="19" spans="1:6" x14ac:dyDescent="0.25">
      <c r="A19" s="2">
        <v>58</v>
      </c>
      <c r="B19" s="2" t="s">
        <v>64</v>
      </c>
      <c r="C19" s="2" t="s">
        <v>65</v>
      </c>
      <c r="D19" s="2" t="s">
        <v>9</v>
      </c>
      <c r="E19" s="2" t="s">
        <v>34</v>
      </c>
      <c r="F19" s="2" t="s">
        <v>66</v>
      </c>
    </row>
    <row r="20" spans="1:6" x14ac:dyDescent="0.25">
      <c r="A20" s="2">
        <v>59</v>
      </c>
      <c r="B20" s="2" t="s">
        <v>67</v>
      </c>
      <c r="C20" s="2" t="s">
        <v>65</v>
      </c>
      <c r="D20" s="2" t="s">
        <v>9</v>
      </c>
      <c r="E20" s="2" t="s">
        <v>37</v>
      </c>
      <c r="F20" s="2" t="s">
        <v>68</v>
      </c>
    </row>
    <row r="21" spans="1:6" x14ac:dyDescent="0.25">
      <c r="A21" s="2">
        <v>60</v>
      </c>
      <c r="B21" s="2" t="s">
        <v>25</v>
      </c>
      <c r="C21" s="2" t="s">
        <v>69</v>
      </c>
      <c r="D21" s="2" t="s">
        <v>9</v>
      </c>
      <c r="E21" s="2" t="s">
        <v>34</v>
      </c>
      <c r="F21" s="2" t="s">
        <v>70</v>
      </c>
    </row>
    <row r="22" spans="1:6" x14ac:dyDescent="0.25">
      <c r="A22" s="2">
        <v>101</v>
      </c>
      <c r="B22" s="2" t="s">
        <v>71</v>
      </c>
      <c r="C22" s="2" t="s">
        <v>72</v>
      </c>
      <c r="D22" s="2" t="s">
        <v>10</v>
      </c>
      <c r="E22" s="2" t="s">
        <v>34</v>
      </c>
      <c r="F22" s="2" t="s">
        <v>73</v>
      </c>
    </row>
    <row r="23" spans="1:6" x14ac:dyDescent="0.25">
      <c r="A23" s="2">
        <v>102</v>
      </c>
      <c r="B23" s="2" t="s">
        <v>29</v>
      </c>
      <c r="C23" s="2" t="s">
        <v>40</v>
      </c>
      <c r="D23" s="2" t="s">
        <v>10</v>
      </c>
      <c r="E23" s="2" t="s">
        <v>31</v>
      </c>
      <c r="F23" s="2" t="s">
        <v>74</v>
      </c>
    </row>
    <row r="24" spans="1:6" x14ac:dyDescent="0.25">
      <c r="A24" s="2">
        <v>103</v>
      </c>
      <c r="B24" s="2" t="s">
        <v>53</v>
      </c>
      <c r="C24" s="2" t="s">
        <v>75</v>
      </c>
      <c r="D24" s="2" t="s">
        <v>10</v>
      </c>
      <c r="E24" s="2" t="s">
        <v>23</v>
      </c>
      <c r="F24" s="2" t="s">
        <v>76</v>
      </c>
    </row>
    <row r="25" spans="1:6" x14ac:dyDescent="0.25">
      <c r="A25" s="2">
        <v>104</v>
      </c>
      <c r="B25" s="2" t="s">
        <v>58</v>
      </c>
      <c r="C25" s="2" t="s">
        <v>77</v>
      </c>
      <c r="D25" s="2" t="s">
        <v>10</v>
      </c>
      <c r="E25" s="2" t="s">
        <v>34</v>
      </c>
      <c r="F25" s="2" t="s">
        <v>78</v>
      </c>
    </row>
    <row r="26" spans="1:6" x14ac:dyDescent="0.25">
      <c r="A26" s="2">
        <v>105</v>
      </c>
      <c r="B26" s="2" t="s">
        <v>25</v>
      </c>
      <c r="C26" s="2" t="s">
        <v>33</v>
      </c>
      <c r="D26" s="2" t="s">
        <v>10</v>
      </c>
      <c r="E26" s="2" t="s">
        <v>34</v>
      </c>
      <c r="F26" s="2" t="s">
        <v>79</v>
      </c>
    </row>
    <row r="27" spans="1:6" x14ac:dyDescent="0.25">
      <c r="A27" s="2">
        <v>106</v>
      </c>
      <c r="B27" s="2" t="s">
        <v>80</v>
      </c>
      <c r="C27" s="2" t="s">
        <v>59</v>
      </c>
      <c r="D27" s="2" t="s">
        <v>10</v>
      </c>
      <c r="E27" s="2" t="s">
        <v>27</v>
      </c>
      <c r="F27" s="2" t="s">
        <v>81</v>
      </c>
    </row>
    <row r="28" spans="1:6" x14ac:dyDescent="0.25">
      <c r="A28" s="2">
        <v>107</v>
      </c>
      <c r="B28" s="2" t="s">
        <v>39</v>
      </c>
      <c r="C28" s="2" t="s">
        <v>82</v>
      </c>
      <c r="D28" s="2" t="s">
        <v>10</v>
      </c>
      <c r="E28" s="2" t="s">
        <v>34</v>
      </c>
      <c r="F28" s="2" t="s">
        <v>83</v>
      </c>
    </row>
    <row r="29" spans="1:6" x14ac:dyDescent="0.25">
      <c r="A29" s="2">
        <v>108</v>
      </c>
      <c r="B29" s="2" t="s">
        <v>25</v>
      </c>
      <c r="C29" s="2" t="s">
        <v>56</v>
      </c>
      <c r="D29" s="2" t="s">
        <v>10</v>
      </c>
      <c r="E29" s="2" t="s">
        <v>27</v>
      </c>
      <c r="F29" s="2" t="s">
        <v>84</v>
      </c>
    </row>
    <row r="30" spans="1:6" x14ac:dyDescent="0.25">
      <c r="A30" s="2">
        <v>109</v>
      </c>
      <c r="B30" s="2" t="s">
        <v>85</v>
      </c>
      <c r="C30" s="2" t="s">
        <v>86</v>
      </c>
      <c r="D30" s="2" t="s">
        <v>10</v>
      </c>
      <c r="E30" s="2" t="s">
        <v>23</v>
      </c>
      <c r="F30" s="2" t="s">
        <v>87</v>
      </c>
    </row>
    <row r="31" spans="1:6" x14ac:dyDescent="0.25">
      <c r="A31" s="2">
        <v>110</v>
      </c>
      <c r="B31" s="2" t="s">
        <v>88</v>
      </c>
      <c r="C31" s="2" t="s">
        <v>33</v>
      </c>
      <c r="D31" s="2" t="s">
        <v>10</v>
      </c>
      <c r="E31" s="2" t="s">
        <v>37</v>
      </c>
      <c r="F31" s="2" t="s">
        <v>89</v>
      </c>
    </row>
    <row r="32" spans="1:6" x14ac:dyDescent="0.25">
      <c r="A32" s="2">
        <v>151</v>
      </c>
      <c r="B32" s="2" t="s">
        <v>25</v>
      </c>
      <c r="C32" s="2" t="s">
        <v>90</v>
      </c>
      <c r="D32" s="2" t="s">
        <v>11</v>
      </c>
      <c r="E32" s="2" t="s">
        <v>31</v>
      </c>
      <c r="F32" s="2" t="s">
        <v>91</v>
      </c>
    </row>
    <row r="33" spans="1:6" x14ac:dyDescent="0.25">
      <c r="A33" s="2">
        <v>152</v>
      </c>
      <c r="B33" s="2" t="s">
        <v>29</v>
      </c>
      <c r="C33" s="2" t="s">
        <v>75</v>
      </c>
      <c r="D33" s="2" t="s">
        <v>11</v>
      </c>
      <c r="E33" s="2" t="s">
        <v>37</v>
      </c>
      <c r="F33" s="2" t="s">
        <v>92</v>
      </c>
    </row>
    <row r="34" spans="1:6" x14ac:dyDescent="0.25">
      <c r="A34" s="2">
        <v>153</v>
      </c>
      <c r="B34" s="2" t="s">
        <v>93</v>
      </c>
      <c r="C34" s="2" t="s">
        <v>72</v>
      </c>
      <c r="D34" s="2" t="s">
        <v>11</v>
      </c>
      <c r="E34" s="2" t="s">
        <v>34</v>
      </c>
      <c r="F34" s="2" t="s">
        <v>94</v>
      </c>
    </row>
    <row r="35" spans="1:6" x14ac:dyDescent="0.25">
      <c r="A35" s="2">
        <v>154</v>
      </c>
      <c r="B35" s="2" t="s">
        <v>43</v>
      </c>
      <c r="C35" s="2" t="s">
        <v>22</v>
      </c>
      <c r="D35" s="2" t="s">
        <v>11</v>
      </c>
      <c r="E35" s="2" t="s">
        <v>27</v>
      </c>
      <c r="F35" s="2" t="s">
        <v>95</v>
      </c>
    </row>
    <row r="36" spans="1:6" x14ac:dyDescent="0.25">
      <c r="A36" s="2">
        <v>155</v>
      </c>
      <c r="B36" s="2" t="s">
        <v>39</v>
      </c>
      <c r="C36" s="2" t="s">
        <v>59</v>
      </c>
      <c r="D36" s="2" t="s">
        <v>11</v>
      </c>
      <c r="E36" s="2" t="s">
        <v>27</v>
      </c>
      <c r="F36" s="2" t="s">
        <v>96</v>
      </c>
    </row>
    <row r="37" spans="1:6" x14ac:dyDescent="0.25">
      <c r="A37" s="2">
        <v>156</v>
      </c>
      <c r="B37" s="2" t="s">
        <v>25</v>
      </c>
      <c r="C37" s="2" t="s">
        <v>86</v>
      </c>
      <c r="D37" s="2" t="s">
        <v>11</v>
      </c>
      <c r="E37" s="2" t="s">
        <v>27</v>
      </c>
      <c r="F37" s="2" t="s">
        <v>97</v>
      </c>
    </row>
    <row r="38" spans="1:6" x14ac:dyDescent="0.25">
      <c r="A38" s="2">
        <v>157</v>
      </c>
      <c r="B38" s="2" t="s">
        <v>53</v>
      </c>
      <c r="C38" s="2" t="s">
        <v>48</v>
      </c>
      <c r="D38" s="2" t="s">
        <v>11</v>
      </c>
      <c r="E38" s="2" t="s">
        <v>31</v>
      </c>
      <c r="F38" s="2" t="s">
        <v>98</v>
      </c>
    </row>
    <row r="39" spans="1:6" x14ac:dyDescent="0.25">
      <c r="A39" s="2">
        <v>158</v>
      </c>
      <c r="B39" s="2" t="s">
        <v>36</v>
      </c>
      <c r="C39" s="2" t="s">
        <v>65</v>
      </c>
      <c r="D39" s="2" t="s">
        <v>11</v>
      </c>
      <c r="E39" s="2" t="s">
        <v>31</v>
      </c>
      <c r="F39" s="2" t="s">
        <v>99</v>
      </c>
    </row>
    <row r="40" spans="1:6" x14ac:dyDescent="0.25">
      <c r="A40" s="2">
        <v>159</v>
      </c>
      <c r="B40" s="2" t="s">
        <v>88</v>
      </c>
      <c r="C40" s="2" t="s">
        <v>86</v>
      </c>
      <c r="D40" s="2" t="s">
        <v>11</v>
      </c>
      <c r="E40" s="2" t="s">
        <v>27</v>
      </c>
      <c r="F40" s="2" t="s">
        <v>100</v>
      </c>
    </row>
    <row r="41" spans="1:6" x14ac:dyDescent="0.25">
      <c r="A41" s="2">
        <v>160</v>
      </c>
      <c r="B41" s="2" t="s">
        <v>58</v>
      </c>
      <c r="C41" s="2" t="s">
        <v>101</v>
      </c>
      <c r="D41" s="2" t="s">
        <v>11</v>
      </c>
      <c r="E41" s="2" t="s">
        <v>27</v>
      </c>
      <c r="F41" s="2" t="s">
        <v>102</v>
      </c>
    </row>
    <row r="42" spans="1:6" x14ac:dyDescent="0.25">
      <c r="A42" s="2" t="s">
        <v>103</v>
      </c>
      <c r="B42" s="2" t="s">
        <v>103</v>
      </c>
      <c r="C42" s="2" t="s">
        <v>103</v>
      </c>
      <c r="D42" s="2" t="s">
        <v>103</v>
      </c>
      <c r="E42" s="2" t="s">
        <v>103</v>
      </c>
      <c r="F42" s="2" t="s">
        <v>103</v>
      </c>
    </row>
    <row r="43" spans="1:6" x14ac:dyDescent="0.25">
      <c r="A43" s="2" t="s">
        <v>103</v>
      </c>
      <c r="B43" s="2" t="s">
        <v>103</v>
      </c>
      <c r="C43" s="2" t="s">
        <v>103</v>
      </c>
      <c r="D43" s="2" t="s">
        <v>103</v>
      </c>
      <c r="E43" s="2" t="s">
        <v>103</v>
      </c>
      <c r="F43" s="2" t="s">
        <v>103</v>
      </c>
    </row>
    <row r="44" spans="1:6" x14ac:dyDescent="0.25">
      <c r="A44" s="2" t="s">
        <v>103</v>
      </c>
      <c r="B44" s="2" t="s">
        <v>103</v>
      </c>
      <c r="C44" s="2" t="s">
        <v>103</v>
      </c>
      <c r="D44" s="2" t="s">
        <v>103</v>
      </c>
      <c r="E44" s="2" t="s">
        <v>103</v>
      </c>
      <c r="F44" s="2" t="s">
        <v>103</v>
      </c>
    </row>
    <row r="45" spans="1:6" x14ac:dyDescent="0.25">
      <c r="A45" s="2" t="s">
        <v>103</v>
      </c>
      <c r="B45" s="2" t="s">
        <v>103</v>
      </c>
      <c r="C45" s="2" t="s">
        <v>103</v>
      </c>
      <c r="D45" s="2" t="s">
        <v>103</v>
      </c>
      <c r="E45" s="2" t="s">
        <v>103</v>
      </c>
      <c r="F45" s="2" t="s">
        <v>103</v>
      </c>
    </row>
    <row r="46" spans="1:6" x14ac:dyDescent="0.25">
      <c r="A46" s="2" t="s">
        <v>103</v>
      </c>
      <c r="B46" s="2" t="s">
        <v>103</v>
      </c>
      <c r="C46" s="2" t="s">
        <v>103</v>
      </c>
      <c r="D46" s="2" t="s">
        <v>103</v>
      </c>
      <c r="E46" s="2" t="s">
        <v>103</v>
      </c>
      <c r="F46" s="2" t="s">
        <v>103</v>
      </c>
    </row>
    <row r="47" spans="1:6" x14ac:dyDescent="0.25">
      <c r="A47" s="2" t="s">
        <v>103</v>
      </c>
      <c r="B47" s="2" t="s">
        <v>103</v>
      </c>
      <c r="C47" s="2" t="s">
        <v>103</v>
      </c>
      <c r="D47" s="2" t="s">
        <v>103</v>
      </c>
      <c r="E47" s="2" t="s">
        <v>103</v>
      </c>
      <c r="F47" s="2" t="s">
        <v>103</v>
      </c>
    </row>
    <row r="48" spans="1:6" x14ac:dyDescent="0.25">
      <c r="A48" s="2" t="s">
        <v>103</v>
      </c>
      <c r="B48" s="2" t="s">
        <v>103</v>
      </c>
      <c r="C48" s="2" t="s">
        <v>103</v>
      </c>
      <c r="D48" s="2" t="s">
        <v>103</v>
      </c>
      <c r="E48" s="2" t="s">
        <v>103</v>
      </c>
      <c r="F48" s="2" t="s">
        <v>103</v>
      </c>
    </row>
    <row r="49" spans="1:6" x14ac:dyDescent="0.25">
      <c r="A49" s="2" t="s">
        <v>103</v>
      </c>
      <c r="B49" s="2" t="s">
        <v>103</v>
      </c>
      <c r="C49" s="2" t="s">
        <v>103</v>
      </c>
      <c r="D49" s="2" t="s">
        <v>103</v>
      </c>
      <c r="E49" s="2" t="s">
        <v>103</v>
      </c>
      <c r="F49" s="2" t="s">
        <v>103</v>
      </c>
    </row>
    <row r="50" spans="1:6" x14ac:dyDescent="0.25">
      <c r="A50" s="2" t="s">
        <v>103</v>
      </c>
      <c r="B50" s="2" t="s">
        <v>103</v>
      </c>
      <c r="C50" s="2" t="s">
        <v>103</v>
      </c>
      <c r="D50" s="2" t="s">
        <v>103</v>
      </c>
      <c r="E50" s="2" t="s">
        <v>103</v>
      </c>
      <c r="F50" s="2" t="s">
        <v>103</v>
      </c>
    </row>
    <row r="51" spans="1:6" x14ac:dyDescent="0.25">
      <c r="A51" s="2" t="s">
        <v>103</v>
      </c>
      <c r="B51" s="2" t="s">
        <v>103</v>
      </c>
      <c r="C51" s="2" t="s">
        <v>103</v>
      </c>
      <c r="D51" s="2" t="s">
        <v>103</v>
      </c>
      <c r="E51" s="2" t="s">
        <v>103</v>
      </c>
      <c r="F51" s="2" t="s">
        <v>103</v>
      </c>
    </row>
    <row r="52" spans="1:6" x14ac:dyDescent="0.25">
      <c r="A52" s="2" t="s">
        <v>103</v>
      </c>
      <c r="B52" s="2" t="s">
        <v>103</v>
      </c>
      <c r="C52" s="2" t="s">
        <v>103</v>
      </c>
      <c r="D52" s="2" t="s">
        <v>103</v>
      </c>
      <c r="E52" s="2" t="s">
        <v>103</v>
      </c>
      <c r="F52" s="2" t="s">
        <v>103</v>
      </c>
    </row>
    <row r="53" spans="1:6" x14ac:dyDescent="0.25">
      <c r="A53" s="2" t="s">
        <v>103</v>
      </c>
      <c r="B53" s="2" t="s">
        <v>103</v>
      </c>
      <c r="C53" s="2" t="s">
        <v>103</v>
      </c>
      <c r="D53" s="2" t="s">
        <v>103</v>
      </c>
      <c r="E53" s="2" t="s">
        <v>103</v>
      </c>
      <c r="F53" s="2" t="s">
        <v>103</v>
      </c>
    </row>
    <row r="54" spans="1:6" x14ac:dyDescent="0.25">
      <c r="A54" s="2" t="s">
        <v>103</v>
      </c>
      <c r="B54" s="2" t="s">
        <v>103</v>
      </c>
      <c r="C54" s="2" t="s">
        <v>103</v>
      </c>
      <c r="D54" s="2" t="s">
        <v>103</v>
      </c>
      <c r="E54" s="2" t="s">
        <v>103</v>
      </c>
      <c r="F54" s="2" t="s">
        <v>103</v>
      </c>
    </row>
    <row r="55" spans="1:6" x14ac:dyDescent="0.25">
      <c r="A55" s="2" t="s">
        <v>103</v>
      </c>
      <c r="B55" s="2" t="s">
        <v>103</v>
      </c>
      <c r="C55" s="2" t="s">
        <v>103</v>
      </c>
      <c r="D55" s="2" t="s">
        <v>103</v>
      </c>
      <c r="E55" s="2" t="s">
        <v>103</v>
      </c>
      <c r="F55" s="2" t="s">
        <v>103</v>
      </c>
    </row>
    <row r="56" spans="1:6" x14ac:dyDescent="0.25">
      <c r="A56" s="2" t="s">
        <v>103</v>
      </c>
      <c r="B56" s="2" t="s">
        <v>103</v>
      </c>
      <c r="C56" s="2" t="s">
        <v>103</v>
      </c>
      <c r="D56" s="2" t="s">
        <v>103</v>
      </c>
      <c r="E56" s="2" t="s">
        <v>103</v>
      </c>
      <c r="F56" s="2" t="s">
        <v>103</v>
      </c>
    </row>
    <row r="57" spans="1:6" x14ac:dyDescent="0.25">
      <c r="A57" s="2" t="s">
        <v>103</v>
      </c>
      <c r="B57" s="2" t="s">
        <v>103</v>
      </c>
      <c r="C57" s="2" t="s">
        <v>103</v>
      </c>
      <c r="D57" s="2" t="s">
        <v>103</v>
      </c>
      <c r="E57" s="2" t="s">
        <v>103</v>
      </c>
      <c r="F57" s="2" t="s">
        <v>103</v>
      </c>
    </row>
    <row r="58" spans="1:6" x14ac:dyDescent="0.25">
      <c r="A58" s="2" t="s">
        <v>103</v>
      </c>
      <c r="B58" s="2" t="s">
        <v>103</v>
      </c>
      <c r="C58" s="2" t="s">
        <v>103</v>
      </c>
      <c r="D58" s="2" t="s">
        <v>103</v>
      </c>
      <c r="E58" s="2" t="s">
        <v>103</v>
      </c>
      <c r="F58" s="2" t="s">
        <v>103</v>
      </c>
    </row>
    <row r="59" spans="1:6" x14ac:dyDescent="0.25">
      <c r="A59" s="2" t="s">
        <v>103</v>
      </c>
      <c r="B59" s="2" t="s">
        <v>103</v>
      </c>
      <c r="C59" s="2" t="s">
        <v>103</v>
      </c>
      <c r="D59" s="2" t="s">
        <v>103</v>
      </c>
      <c r="E59" s="2" t="s">
        <v>103</v>
      </c>
      <c r="F59" s="2" t="s">
        <v>103</v>
      </c>
    </row>
    <row r="60" spans="1:6" x14ac:dyDescent="0.25">
      <c r="A60" s="2" t="s">
        <v>103</v>
      </c>
      <c r="B60" s="2" t="s">
        <v>103</v>
      </c>
      <c r="C60" s="2" t="s">
        <v>103</v>
      </c>
      <c r="D60" s="2" t="s">
        <v>103</v>
      </c>
      <c r="E60" s="2" t="s">
        <v>103</v>
      </c>
      <c r="F60" s="2" t="s">
        <v>103</v>
      </c>
    </row>
    <row r="61" spans="1:6" x14ac:dyDescent="0.25">
      <c r="A61" s="2" t="s">
        <v>103</v>
      </c>
      <c r="B61" s="2" t="s">
        <v>103</v>
      </c>
      <c r="C61" s="2" t="s">
        <v>103</v>
      </c>
      <c r="D61" s="2" t="s">
        <v>103</v>
      </c>
      <c r="E61" s="2" t="s">
        <v>103</v>
      </c>
      <c r="F61" s="2" t="s">
        <v>103</v>
      </c>
    </row>
    <row r="62" spans="1:6" x14ac:dyDescent="0.25">
      <c r="A62" s="2" t="s">
        <v>103</v>
      </c>
      <c r="B62" s="2" t="s">
        <v>103</v>
      </c>
      <c r="C62" s="2" t="s">
        <v>103</v>
      </c>
      <c r="D62" s="2" t="s">
        <v>103</v>
      </c>
      <c r="E62" s="2" t="s">
        <v>103</v>
      </c>
      <c r="F62" s="2" t="s">
        <v>103</v>
      </c>
    </row>
    <row r="63" spans="1:6" x14ac:dyDescent="0.25">
      <c r="A63" s="2" t="s">
        <v>103</v>
      </c>
      <c r="B63" s="2" t="s">
        <v>103</v>
      </c>
      <c r="C63" s="2" t="s">
        <v>103</v>
      </c>
      <c r="D63" s="2" t="s">
        <v>103</v>
      </c>
      <c r="E63" s="2" t="s">
        <v>103</v>
      </c>
      <c r="F63" s="2" t="s">
        <v>103</v>
      </c>
    </row>
    <row r="64" spans="1:6" x14ac:dyDescent="0.25">
      <c r="A64" s="2" t="s">
        <v>103</v>
      </c>
      <c r="B64" s="2" t="s">
        <v>103</v>
      </c>
      <c r="C64" s="2" t="s">
        <v>103</v>
      </c>
      <c r="D64" s="2" t="s">
        <v>103</v>
      </c>
      <c r="E64" s="2" t="s">
        <v>103</v>
      </c>
      <c r="F64" s="2" t="s">
        <v>103</v>
      </c>
    </row>
    <row r="65" spans="1:6" x14ac:dyDescent="0.25">
      <c r="A65" s="2" t="s">
        <v>103</v>
      </c>
      <c r="B65" s="2" t="s">
        <v>103</v>
      </c>
      <c r="C65" s="2" t="s">
        <v>103</v>
      </c>
      <c r="D65" s="2" t="s">
        <v>103</v>
      </c>
      <c r="E65" s="2" t="s">
        <v>103</v>
      </c>
      <c r="F65" s="2" t="s">
        <v>103</v>
      </c>
    </row>
    <row r="66" spans="1:6" x14ac:dyDescent="0.25">
      <c r="A66" s="2" t="s">
        <v>103</v>
      </c>
      <c r="B66" s="2" t="s">
        <v>103</v>
      </c>
      <c r="C66" s="2" t="s">
        <v>103</v>
      </c>
      <c r="D66" s="2" t="s">
        <v>103</v>
      </c>
      <c r="E66" s="2" t="s">
        <v>103</v>
      </c>
      <c r="F66" s="2" t="s">
        <v>103</v>
      </c>
    </row>
    <row r="67" spans="1:6" x14ac:dyDescent="0.25">
      <c r="A67" s="2" t="s">
        <v>103</v>
      </c>
      <c r="B67" s="2" t="s">
        <v>103</v>
      </c>
      <c r="C67" s="2" t="s">
        <v>103</v>
      </c>
      <c r="D67" s="2" t="s">
        <v>103</v>
      </c>
      <c r="E67" s="2" t="s">
        <v>103</v>
      </c>
      <c r="F67" s="2" t="s">
        <v>103</v>
      </c>
    </row>
    <row r="68" spans="1:6" x14ac:dyDescent="0.25">
      <c r="A68" s="2" t="s">
        <v>103</v>
      </c>
      <c r="B68" s="2" t="s">
        <v>103</v>
      </c>
      <c r="C68" s="2" t="s">
        <v>103</v>
      </c>
      <c r="D68" s="2" t="s">
        <v>103</v>
      </c>
      <c r="E68" s="2" t="s">
        <v>103</v>
      </c>
      <c r="F68" s="2" t="s">
        <v>103</v>
      </c>
    </row>
    <row r="69" spans="1:6" x14ac:dyDescent="0.25">
      <c r="A69" s="2" t="s">
        <v>103</v>
      </c>
      <c r="B69" s="2" t="s">
        <v>103</v>
      </c>
      <c r="C69" s="2" t="s">
        <v>103</v>
      </c>
      <c r="D69" s="2" t="s">
        <v>103</v>
      </c>
      <c r="E69" s="2" t="s">
        <v>103</v>
      </c>
      <c r="F69" s="2" t="s">
        <v>103</v>
      </c>
    </row>
    <row r="70" spans="1:6" x14ac:dyDescent="0.25">
      <c r="A70" s="2" t="s">
        <v>103</v>
      </c>
      <c r="B70" s="2" t="s">
        <v>103</v>
      </c>
      <c r="C70" s="2" t="s">
        <v>103</v>
      </c>
      <c r="D70" s="2" t="s">
        <v>103</v>
      </c>
      <c r="E70" s="2" t="s">
        <v>103</v>
      </c>
      <c r="F70" s="2" t="s">
        <v>103</v>
      </c>
    </row>
    <row r="71" spans="1:6" x14ac:dyDescent="0.25">
      <c r="A71" s="2" t="s">
        <v>103</v>
      </c>
      <c r="B71" s="2" t="s">
        <v>103</v>
      </c>
      <c r="C71" s="2" t="s">
        <v>103</v>
      </c>
      <c r="D71" s="2" t="s">
        <v>103</v>
      </c>
      <c r="E71" s="2" t="s">
        <v>103</v>
      </c>
      <c r="F71" s="2" t="s">
        <v>103</v>
      </c>
    </row>
    <row r="72" spans="1:6" x14ac:dyDescent="0.25">
      <c r="A72" s="2" t="s">
        <v>103</v>
      </c>
      <c r="B72" s="2" t="s">
        <v>103</v>
      </c>
      <c r="C72" s="2" t="s">
        <v>103</v>
      </c>
      <c r="D72" s="2" t="s">
        <v>103</v>
      </c>
      <c r="E72" s="2" t="s">
        <v>103</v>
      </c>
      <c r="F72" s="2" t="s">
        <v>103</v>
      </c>
    </row>
    <row r="73" spans="1:6" x14ac:dyDescent="0.25">
      <c r="A73" s="2" t="s">
        <v>103</v>
      </c>
      <c r="B73" s="2" t="s">
        <v>103</v>
      </c>
      <c r="C73" s="2" t="s">
        <v>103</v>
      </c>
      <c r="D73" s="2" t="s">
        <v>103</v>
      </c>
      <c r="E73" s="2" t="s">
        <v>103</v>
      </c>
      <c r="F73" s="2" t="s">
        <v>103</v>
      </c>
    </row>
    <row r="74" spans="1:6" x14ac:dyDescent="0.25">
      <c r="A74" s="2" t="s">
        <v>103</v>
      </c>
      <c r="B74" s="2" t="s">
        <v>103</v>
      </c>
      <c r="C74" s="2" t="s">
        <v>103</v>
      </c>
      <c r="D74" s="2" t="s">
        <v>103</v>
      </c>
      <c r="E74" s="2" t="s">
        <v>103</v>
      </c>
      <c r="F74" s="2" t="s">
        <v>103</v>
      </c>
    </row>
    <row r="75" spans="1:6" x14ac:dyDescent="0.25">
      <c r="A75" s="2" t="s">
        <v>103</v>
      </c>
      <c r="B75" s="2" t="s">
        <v>103</v>
      </c>
      <c r="C75" s="2" t="s">
        <v>103</v>
      </c>
      <c r="D75" s="2" t="s">
        <v>103</v>
      </c>
      <c r="E75" s="2" t="s">
        <v>103</v>
      </c>
      <c r="F75" s="2" t="s">
        <v>103</v>
      </c>
    </row>
    <row r="76" spans="1:6" x14ac:dyDescent="0.25">
      <c r="A76" s="2" t="s">
        <v>103</v>
      </c>
      <c r="B76" s="2" t="s">
        <v>103</v>
      </c>
      <c r="C76" s="2" t="s">
        <v>103</v>
      </c>
      <c r="D76" s="2" t="s">
        <v>103</v>
      </c>
      <c r="E76" s="2" t="s">
        <v>103</v>
      </c>
      <c r="F76" s="2" t="s">
        <v>103</v>
      </c>
    </row>
    <row r="77" spans="1:6" x14ac:dyDescent="0.25">
      <c r="A77" s="2" t="s">
        <v>103</v>
      </c>
      <c r="B77" s="2" t="s">
        <v>103</v>
      </c>
      <c r="C77" s="2" t="s">
        <v>103</v>
      </c>
      <c r="D77" s="2" t="s">
        <v>103</v>
      </c>
      <c r="E77" s="2" t="s">
        <v>103</v>
      </c>
      <c r="F77" s="2" t="s">
        <v>103</v>
      </c>
    </row>
    <row r="78" spans="1:6" x14ac:dyDescent="0.25">
      <c r="A78" s="2" t="s">
        <v>103</v>
      </c>
      <c r="B78" s="2" t="s">
        <v>103</v>
      </c>
      <c r="C78" s="2" t="s">
        <v>103</v>
      </c>
      <c r="D78" s="2" t="s">
        <v>103</v>
      </c>
      <c r="E78" s="2" t="s">
        <v>103</v>
      </c>
      <c r="F78" s="2" t="s">
        <v>103</v>
      </c>
    </row>
    <row r="79" spans="1:6" x14ac:dyDescent="0.25">
      <c r="A79" s="2" t="s">
        <v>103</v>
      </c>
      <c r="B79" s="2" t="s">
        <v>103</v>
      </c>
      <c r="C79" s="2" t="s">
        <v>103</v>
      </c>
      <c r="D79" s="2" t="s">
        <v>103</v>
      </c>
      <c r="E79" s="2" t="s">
        <v>103</v>
      </c>
      <c r="F79" s="2" t="s">
        <v>103</v>
      </c>
    </row>
    <row r="80" spans="1:6" x14ac:dyDescent="0.25">
      <c r="A80" s="2" t="s">
        <v>103</v>
      </c>
      <c r="B80" s="2" t="s">
        <v>103</v>
      </c>
      <c r="C80" s="2" t="s">
        <v>103</v>
      </c>
      <c r="D80" s="2" t="s">
        <v>103</v>
      </c>
      <c r="E80" s="2" t="s">
        <v>103</v>
      </c>
      <c r="F80" s="2" t="s">
        <v>103</v>
      </c>
    </row>
    <row r="81" spans="1:6" x14ac:dyDescent="0.25">
      <c r="A81" s="2" t="s">
        <v>103</v>
      </c>
      <c r="B81" s="2" t="s">
        <v>103</v>
      </c>
      <c r="C81" s="2" t="s">
        <v>103</v>
      </c>
      <c r="D81" s="2" t="s">
        <v>103</v>
      </c>
      <c r="E81" s="2" t="s">
        <v>103</v>
      </c>
      <c r="F81" s="2" t="s">
        <v>103</v>
      </c>
    </row>
    <row r="82" spans="1:6" x14ac:dyDescent="0.25">
      <c r="A82" s="2" t="s">
        <v>103</v>
      </c>
      <c r="B82" s="2" t="s">
        <v>103</v>
      </c>
      <c r="C82" s="2" t="s">
        <v>103</v>
      </c>
      <c r="D82" s="2" t="s">
        <v>103</v>
      </c>
      <c r="E82" s="2" t="s">
        <v>103</v>
      </c>
      <c r="F82" s="2" t="s">
        <v>103</v>
      </c>
    </row>
    <row r="83" spans="1:6" x14ac:dyDescent="0.25">
      <c r="A83" s="2" t="s">
        <v>103</v>
      </c>
      <c r="B83" s="2" t="s">
        <v>103</v>
      </c>
      <c r="C83" s="2" t="s">
        <v>103</v>
      </c>
      <c r="D83" s="2" t="s">
        <v>103</v>
      </c>
      <c r="E83" s="2" t="s">
        <v>103</v>
      </c>
      <c r="F83" s="2" t="s">
        <v>103</v>
      </c>
    </row>
    <row r="84" spans="1:6" x14ac:dyDescent="0.25">
      <c r="A84" s="2" t="s">
        <v>103</v>
      </c>
      <c r="B84" s="2" t="s">
        <v>103</v>
      </c>
      <c r="C84" s="2" t="s">
        <v>103</v>
      </c>
      <c r="D84" s="2" t="s">
        <v>103</v>
      </c>
      <c r="E84" s="2" t="s">
        <v>103</v>
      </c>
      <c r="F84" s="2" t="s">
        <v>103</v>
      </c>
    </row>
    <row r="85" spans="1:6" x14ac:dyDescent="0.25">
      <c r="A85" s="2" t="s">
        <v>103</v>
      </c>
      <c r="B85" s="2" t="s">
        <v>103</v>
      </c>
      <c r="C85" s="2" t="s">
        <v>103</v>
      </c>
      <c r="D85" s="2" t="s">
        <v>103</v>
      </c>
      <c r="E85" s="2" t="s">
        <v>103</v>
      </c>
      <c r="F85" s="2" t="s">
        <v>103</v>
      </c>
    </row>
    <row r="86" spans="1:6" x14ac:dyDescent="0.25">
      <c r="A86" s="2" t="s">
        <v>103</v>
      </c>
      <c r="B86" s="2" t="s">
        <v>103</v>
      </c>
      <c r="C86" s="2" t="s">
        <v>103</v>
      </c>
      <c r="D86" s="2" t="s">
        <v>103</v>
      </c>
      <c r="E86" s="2" t="s">
        <v>103</v>
      </c>
      <c r="F86" s="2" t="s">
        <v>103</v>
      </c>
    </row>
    <row r="87" spans="1:6" x14ac:dyDescent="0.25">
      <c r="A87" s="2" t="s">
        <v>103</v>
      </c>
      <c r="B87" s="2" t="s">
        <v>103</v>
      </c>
      <c r="C87" s="2" t="s">
        <v>103</v>
      </c>
      <c r="D87" s="2" t="s">
        <v>103</v>
      </c>
      <c r="E87" s="2" t="s">
        <v>103</v>
      </c>
      <c r="F87" s="2" t="s">
        <v>103</v>
      </c>
    </row>
    <row r="88" spans="1:6" x14ac:dyDescent="0.25">
      <c r="A88" s="2" t="s">
        <v>103</v>
      </c>
      <c r="B88" s="2" t="s">
        <v>103</v>
      </c>
      <c r="C88" s="2" t="s">
        <v>103</v>
      </c>
      <c r="D88" s="2" t="s">
        <v>103</v>
      </c>
      <c r="E88" s="2" t="s">
        <v>103</v>
      </c>
      <c r="F88" s="2" t="s">
        <v>103</v>
      </c>
    </row>
    <row r="89" spans="1:6" x14ac:dyDescent="0.25">
      <c r="A89" s="2" t="s">
        <v>103</v>
      </c>
      <c r="B89" s="2" t="s">
        <v>103</v>
      </c>
      <c r="C89" s="2" t="s">
        <v>103</v>
      </c>
      <c r="D89" s="2" t="s">
        <v>103</v>
      </c>
      <c r="E89" s="2" t="s">
        <v>103</v>
      </c>
      <c r="F89" s="2" t="s">
        <v>103</v>
      </c>
    </row>
    <row r="90" spans="1:6" x14ac:dyDescent="0.25">
      <c r="A90" s="2" t="s">
        <v>103</v>
      </c>
      <c r="B90" s="2" t="s">
        <v>103</v>
      </c>
      <c r="C90" s="2" t="s">
        <v>103</v>
      </c>
      <c r="D90" s="2" t="s">
        <v>103</v>
      </c>
      <c r="E90" s="2" t="s">
        <v>103</v>
      </c>
      <c r="F90" s="2" t="s">
        <v>103</v>
      </c>
    </row>
    <row r="91" spans="1:6" x14ac:dyDescent="0.25">
      <c r="A91" s="2" t="s">
        <v>103</v>
      </c>
      <c r="B91" s="2" t="s">
        <v>103</v>
      </c>
      <c r="C91" s="2" t="s">
        <v>103</v>
      </c>
      <c r="D91" s="2" t="s">
        <v>103</v>
      </c>
      <c r="E91" s="2" t="s">
        <v>103</v>
      </c>
      <c r="F91" s="2" t="s">
        <v>103</v>
      </c>
    </row>
    <row r="92" spans="1:6" x14ac:dyDescent="0.25">
      <c r="A92" s="2" t="s">
        <v>103</v>
      </c>
      <c r="B92" s="2" t="s">
        <v>103</v>
      </c>
      <c r="C92" s="2" t="s">
        <v>103</v>
      </c>
      <c r="D92" s="2" t="s">
        <v>103</v>
      </c>
      <c r="E92" s="2" t="s">
        <v>103</v>
      </c>
      <c r="F92" s="2" t="s">
        <v>103</v>
      </c>
    </row>
    <row r="93" spans="1:6" x14ac:dyDescent="0.25">
      <c r="A93" s="2" t="s">
        <v>103</v>
      </c>
      <c r="B93" s="2" t="s">
        <v>103</v>
      </c>
      <c r="C93" s="2" t="s">
        <v>103</v>
      </c>
      <c r="D93" s="2" t="s">
        <v>103</v>
      </c>
      <c r="E93" s="2" t="s">
        <v>103</v>
      </c>
      <c r="F93" s="2" t="s">
        <v>103</v>
      </c>
    </row>
    <row r="94" spans="1:6" x14ac:dyDescent="0.25">
      <c r="A94" s="2" t="s">
        <v>103</v>
      </c>
      <c r="B94" s="2" t="s">
        <v>103</v>
      </c>
      <c r="C94" s="2" t="s">
        <v>103</v>
      </c>
      <c r="D94" s="2" t="s">
        <v>103</v>
      </c>
      <c r="E94" s="2" t="s">
        <v>103</v>
      </c>
      <c r="F94" s="2" t="s">
        <v>103</v>
      </c>
    </row>
    <row r="95" spans="1:6" x14ac:dyDescent="0.25">
      <c r="A95" s="2" t="s">
        <v>103</v>
      </c>
      <c r="B95" s="2" t="s">
        <v>103</v>
      </c>
      <c r="C95" s="2" t="s">
        <v>103</v>
      </c>
      <c r="D95" s="2" t="s">
        <v>103</v>
      </c>
      <c r="E95" s="2" t="s">
        <v>103</v>
      </c>
      <c r="F95" s="2" t="s">
        <v>103</v>
      </c>
    </row>
    <row r="96" spans="1:6" x14ac:dyDescent="0.25">
      <c r="A96" s="2" t="s">
        <v>103</v>
      </c>
      <c r="B96" s="2" t="s">
        <v>103</v>
      </c>
      <c r="C96" s="2" t="s">
        <v>103</v>
      </c>
      <c r="D96" s="2" t="s">
        <v>103</v>
      </c>
      <c r="E96" s="2" t="s">
        <v>103</v>
      </c>
      <c r="F96" s="2" t="s">
        <v>103</v>
      </c>
    </row>
    <row r="97" spans="1:6" x14ac:dyDescent="0.25">
      <c r="A97" s="2" t="s">
        <v>103</v>
      </c>
      <c r="B97" s="2" t="s">
        <v>103</v>
      </c>
      <c r="C97" s="2" t="s">
        <v>103</v>
      </c>
      <c r="D97" s="2" t="s">
        <v>103</v>
      </c>
      <c r="E97" s="2" t="s">
        <v>103</v>
      </c>
      <c r="F97" s="2" t="s">
        <v>103</v>
      </c>
    </row>
    <row r="98" spans="1:6" x14ac:dyDescent="0.25">
      <c r="A98" s="2" t="s">
        <v>103</v>
      </c>
      <c r="B98" s="2" t="s">
        <v>103</v>
      </c>
      <c r="C98" s="2" t="s">
        <v>103</v>
      </c>
      <c r="D98" s="2" t="s">
        <v>103</v>
      </c>
      <c r="E98" s="2" t="s">
        <v>103</v>
      </c>
      <c r="F98" s="2" t="s">
        <v>103</v>
      </c>
    </row>
    <row r="99" spans="1:6" x14ac:dyDescent="0.25">
      <c r="A99" s="2" t="s">
        <v>103</v>
      </c>
      <c r="B99" s="2" t="s">
        <v>103</v>
      </c>
      <c r="C99" s="2" t="s">
        <v>103</v>
      </c>
      <c r="D99" s="2" t="s">
        <v>103</v>
      </c>
      <c r="E99" s="2" t="s">
        <v>103</v>
      </c>
      <c r="F99" s="2" t="s">
        <v>103</v>
      </c>
    </row>
    <row r="100" spans="1:6" x14ac:dyDescent="0.25">
      <c r="A100" s="2" t="s">
        <v>103</v>
      </c>
      <c r="B100" s="2" t="s">
        <v>103</v>
      </c>
      <c r="C100" s="2" t="s">
        <v>103</v>
      </c>
      <c r="D100" s="2" t="s">
        <v>103</v>
      </c>
      <c r="E100" s="2" t="s">
        <v>103</v>
      </c>
      <c r="F100" s="2" t="s">
        <v>103</v>
      </c>
    </row>
    <row r="101" spans="1:6" x14ac:dyDescent="0.25">
      <c r="A101" s="2" t="s">
        <v>103</v>
      </c>
      <c r="B101" s="2" t="s">
        <v>103</v>
      </c>
      <c r="C101" s="2" t="s">
        <v>103</v>
      </c>
      <c r="D101" s="2" t="s">
        <v>103</v>
      </c>
      <c r="E101" s="2" t="s">
        <v>103</v>
      </c>
      <c r="F101" s="2" t="s">
        <v>103</v>
      </c>
    </row>
    <row r="102" spans="1:6" x14ac:dyDescent="0.25">
      <c r="A102" s="2" t="s">
        <v>103</v>
      </c>
      <c r="B102" s="2" t="s">
        <v>103</v>
      </c>
      <c r="C102" s="2" t="s">
        <v>103</v>
      </c>
      <c r="D102" s="2" t="s">
        <v>103</v>
      </c>
      <c r="E102" s="2" t="s">
        <v>103</v>
      </c>
      <c r="F102" s="2" t="s">
        <v>103</v>
      </c>
    </row>
    <row r="103" spans="1:6" x14ac:dyDescent="0.25">
      <c r="A103" s="2" t="s">
        <v>103</v>
      </c>
      <c r="B103" s="2" t="s">
        <v>103</v>
      </c>
      <c r="C103" s="2" t="s">
        <v>103</v>
      </c>
      <c r="D103" s="2" t="s">
        <v>103</v>
      </c>
      <c r="E103" s="2" t="s">
        <v>103</v>
      </c>
      <c r="F103" s="2" t="s">
        <v>103</v>
      </c>
    </row>
    <row r="104" spans="1:6" x14ac:dyDescent="0.25">
      <c r="A104" s="2" t="s">
        <v>103</v>
      </c>
      <c r="B104" s="2" t="s">
        <v>103</v>
      </c>
      <c r="C104" s="2" t="s">
        <v>103</v>
      </c>
      <c r="D104" s="2" t="s">
        <v>103</v>
      </c>
      <c r="E104" s="2" t="s">
        <v>103</v>
      </c>
      <c r="F104" s="2" t="s">
        <v>103</v>
      </c>
    </row>
    <row r="105" spans="1:6" x14ac:dyDescent="0.25">
      <c r="A105" s="2" t="s">
        <v>103</v>
      </c>
      <c r="B105" s="2" t="s">
        <v>103</v>
      </c>
      <c r="C105" s="2" t="s">
        <v>103</v>
      </c>
      <c r="D105" s="2" t="s">
        <v>103</v>
      </c>
      <c r="E105" s="2" t="s">
        <v>103</v>
      </c>
      <c r="F105" s="2" t="s">
        <v>103</v>
      </c>
    </row>
    <row r="106" spans="1:6" x14ac:dyDescent="0.25">
      <c r="A106" s="2" t="s">
        <v>103</v>
      </c>
      <c r="B106" s="2" t="s">
        <v>103</v>
      </c>
      <c r="C106" s="2" t="s">
        <v>103</v>
      </c>
      <c r="D106" s="2" t="s">
        <v>103</v>
      </c>
      <c r="E106" s="2" t="s">
        <v>103</v>
      </c>
      <c r="F106" s="2" t="s">
        <v>103</v>
      </c>
    </row>
    <row r="107" spans="1:6" x14ac:dyDescent="0.25">
      <c r="A107" s="2" t="s">
        <v>103</v>
      </c>
      <c r="B107" s="2" t="s">
        <v>103</v>
      </c>
      <c r="C107" s="2" t="s">
        <v>103</v>
      </c>
      <c r="D107" s="2" t="s">
        <v>103</v>
      </c>
      <c r="E107" s="2" t="s">
        <v>103</v>
      </c>
      <c r="F107" s="2" t="s">
        <v>103</v>
      </c>
    </row>
    <row r="108" spans="1:6" x14ac:dyDescent="0.25">
      <c r="A108" s="2" t="s">
        <v>103</v>
      </c>
      <c r="B108" s="2" t="s">
        <v>103</v>
      </c>
      <c r="C108" s="2" t="s">
        <v>103</v>
      </c>
      <c r="D108" s="2" t="s">
        <v>103</v>
      </c>
      <c r="E108" s="2" t="s">
        <v>103</v>
      </c>
      <c r="F108" s="2" t="s">
        <v>103</v>
      </c>
    </row>
    <row r="109" spans="1:6" x14ac:dyDescent="0.25">
      <c r="A109" s="2" t="s">
        <v>103</v>
      </c>
      <c r="B109" s="2" t="s">
        <v>103</v>
      </c>
      <c r="C109" s="2" t="s">
        <v>103</v>
      </c>
      <c r="D109" s="2" t="s">
        <v>103</v>
      </c>
      <c r="E109" s="2" t="s">
        <v>103</v>
      </c>
      <c r="F109" s="2" t="s">
        <v>103</v>
      </c>
    </row>
    <row r="110" spans="1:6" x14ac:dyDescent="0.25">
      <c r="A110" s="2" t="s">
        <v>103</v>
      </c>
      <c r="B110" s="2" t="s">
        <v>103</v>
      </c>
      <c r="C110" s="2" t="s">
        <v>103</v>
      </c>
      <c r="D110" s="2" t="s">
        <v>103</v>
      </c>
      <c r="E110" s="2" t="s">
        <v>103</v>
      </c>
      <c r="F110" s="2" t="s">
        <v>103</v>
      </c>
    </row>
    <row r="111" spans="1:6" x14ac:dyDescent="0.25">
      <c r="A111" s="2" t="s">
        <v>103</v>
      </c>
      <c r="B111" s="2" t="s">
        <v>103</v>
      </c>
      <c r="C111" s="2" t="s">
        <v>103</v>
      </c>
      <c r="D111" s="2" t="s">
        <v>103</v>
      </c>
      <c r="E111" s="2" t="s">
        <v>103</v>
      </c>
      <c r="F111" s="2" t="s">
        <v>103</v>
      </c>
    </row>
    <row r="112" spans="1:6" x14ac:dyDescent="0.25">
      <c r="A112" s="2" t="s">
        <v>103</v>
      </c>
      <c r="B112" s="2" t="s">
        <v>103</v>
      </c>
      <c r="C112" s="2" t="s">
        <v>103</v>
      </c>
      <c r="D112" s="2" t="s">
        <v>103</v>
      </c>
      <c r="E112" s="2" t="s">
        <v>103</v>
      </c>
      <c r="F112" s="2" t="s">
        <v>103</v>
      </c>
    </row>
    <row r="113" spans="1:6" x14ac:dyDescent="0.25">
      <c r="A113" s="2" t="s">
        <v>103</v>
      </c>
      <c r="B113" s="2" t="s">
        <v>103</v>
      </c>
      <c r="C113" s="2" t="s">
        <v>103</v>
      </c>
      <c r="D113" s="2" t="s">
        <v>103</v>
      </c>
      <c r="E113" s="2" t="s">
        <v>103</v>
      </c>
      <c r="F113" s="2" t="s">
        <v>103</v>
      </c>
    </row>
    <row r="114" spans="1:6" x14ac:dyDescent="0.25">
      <c r="A114" s="2" t="s">
        <v>103</v>
      </c>
      <c r="B114" s="2" t="s">
        <v>103</v>
      </c>
      <c r="C114" s="2" t="s">
        <v>103</v>
      </c>
      <c r="D114" s="2" t="s">
        <v>103</v>
      </c>
      <c r="E114" s="2" t="s">
        <v>103</v>
      </c>
      <c r="F114" s="2" t="s">
        <v>103</v>
      </c>
    </row>
    <row r="115" spans="1:6" x14ac:dyDescent="0.25">
      <c r="A115" s="2" t="s">
        <v>103</v>
      </c>
      <c r="B115" s="2" t="s">
        <v>103</v>
      </c>
      <c r="C115" s="2" t="s">
        <v>103</v>
      </c>
      <c r="D115" s="2" t="s">
        <v>103</v>
      </c>
      <c r="E115" s="2" t="s">
        <v>103</v>
      </c>
      <c r="F115" s="2" t="s">
        <v>103</v>
      </c>
    </row>
    <row r="116" spans="1:6" x14ac:dyDescent="0.25">
      <c r="A116" s="2" t="s">
        <v>103</v>
      </c>
      <c r="B116" s="2" t="s">
        <v>103</v>
      </c>
      <c r="C116" s="2" t="s">
        <v>103</v>
      </c>
      <c r="D116" s="2" t="s">
        <v>103</v>
      </c>
      <c r="E116" s="2" t="s">
        <v>103</v>
      </c>
      <c r="F116" s="2" t="s">
        <v>103</v>
      </c>
    </row>
    <row r="117" spans="1:6" x14ac:dyDescent="0.25">
      <c r="A117" s="2" t="s">
        <v>103</v>
      </c>
      <c r="B117" s="2" t="s">
        <v>103</v>
      </c>
      <c r="C117" s="2" t="s">
        <v>103</v>
      </c>
      <c r="D117" s="2" t="s">
        <v>103</v>
      </c>
      <c r="E117" s="2" t="s">
        <v>103</v>
      </c>
      <c r="F117" s="2" t="s">
        <v>103</v>
      </c>
    </row>
    <row r="118" spans="1:6" x14ac:dyDescent="0.25">
      <c r="A118" s="2" t="s">
        <v>103</v>
      </c>
      <c r="B118" s="2" t="s">
        <v>103</v>
      </c>
      <c r="C118" s="2" t="s">
        <v>103</v>
      </c>
      <c r="D118" s="2" t="s">
        <v>103</v>
      </c>
      <c r="E118" s="2" t="s">
        <v>103</v>
      </c>
      <c r="F118" s="2" t="s">
        <v>103</v>
      </c>
    </row>
    <row r="119" spans="1:6" x14ac:dyDescent="0.25">
      <c r="A119" s="2" t="s">
        <v>103</v>
      </c>
      <c r="B119" s="2" t="s">
        <v>103</v>
      </c>
      <c r="C119" s="2" t="s">
        <v>103</v>
      </c>
      <c r="D119" s="2" t="s">
        <v>103</v>
      </c>
      <c r="E119" s="2" t="s">
        <v>103</v>
      </c>
      <c r="F119" s="2" t="s">
        <v>103</v>
      </c>
    </row>
    <row r="120" spans="1:6" x14ac:dyDescent="0.25">
      <c r="A120" s="2" t="s">
        <v>103</v>
      </c>
      <c r="B120" s="2" t="s">
        <v>103</v>
      </c>
      <c r="C120" s="2" t="s">
        <v>103</v>
      </c>
      <c r="D120" s="2" t="s">
        <v>103</v>
      </c>
      <c r="E120" s="2" t="s">
        <v>103</v>
      </c>
      <c r="F120" s="2" t="s">
        <v>103</v>
      </c>
    </row>
    <row r="121" spans="1:6" x14ac:dyDescent="0.25">
      <c r="A121" s="2" t="s">
        <v>103</v>
      </c>
      <c r="B121" s="2" t="s">
        <v>103</v>
      </c>
      <c r="C121" s="2" t="s">
        <v>103</v>
      </c>
      <c r="D121" s="2" t="s">
        <v>103</v>
      </c>
      <c r="E121" s="2" t="s">
        <v>103</v>
      </c>
      <c r="F121" s="2" t="s">
        <v>103</v>
      </c>
    </row>
    <row r="122" spans="1:6" x14ac:dyDescent="0.25">
      <c r="A122" s="2" t="s">
        <v>103</v>
      </c>
      <c r="B122" s="2" t="s">
        <v>103</v>
      </c>
      <c r="C122" s="2" t="s">
        <v>103</v>
      </c>
      <c r="D122" s="2" t="s">
        <v>103</v>
      </c>
      <c r="E122" s="2" t="s">
        <v>103</v>
      </c>
      <c r="F122" s="2" t="s">
        <v>103</v>
      </c>
    </row>
    <row r="123" spans="1:6" x14ac:dyDescent="0.25">
      <c r="A123" s="2" t="s">
        <v>103</v>
      </c>
      <c r="B123" s="2" t="s">
        <v>103</v>
      </c>
      <c r="C123" s="2" t="s">
        <v>103</v>
      </c>
      <c r="D123" s="2" t="s">
        <v>103</v>
      </c>
      <c r="E123" s="2" t="s">
        <v>103</v>
      </c>
      <c r="F123" s="2" t="s">
        <v>103</v>
      </c>
    </row>
    <row r="124" spans="1:6" x14ac:dyDescent="0.25">
      <c r="A124" s="2" t="s">
        <v>103</v>
      </c>
      <c r="B124" s="2" t="s">
        <v>103</v>
      </c>
      <c r="C124" s="2" t="s">
        <v>103</v>
      </c>
      <c r="D124" s="2" t="s">
        <v>103</v>
      </c>
      <c r="E124" s="2" t="s">
        <v>103</v>
      </c>
      <c r="F124" s="2" t="s">
        <v>103</v>
      </c>
    </row>
    <row r="125" spans="1:6" x14ac:dyDescent="0.25">
      <c r="A125" s="2" t="s">
        <v>103</v>
      </c>
      <c r="B125" s="2" t="s">
        <v>103</v>
      </c>
      <c r="C125" s="2" t="s">
        <v>103</v>
      </c>
      <c r="D125" s="2" t="s">
        <v>103</v>
      </c>
      <c r="E125" s="2" t="s">
        <v>103</v>
      </c>
      <c r="F125" s="2" t="s">
        <v>103</v>
      </c>
    </row>
    <row r="126" spans="1:6" x14ac:dyDescent="0.25">
      <c r="A126" s="2" t="s">
        <v>103</v>
      </c>
      <c r="B126" s="2" t="s">
        <v>103</v>
      </c>
      <c r="C126" s="2" t="s">
        <v>103</v>
      </c>
      <c r="D126" s="2" t="s">
        <v>103</v>
      </c>
      <c r="E126" s="2" t="s">
        <v>103</v>
      </c>
      <c r="F126" s="2" t="s">
        <v>103</v>
      </c>
    </row>
    <row r="127" spans="1:6" x14ac:dyDescent="0.25">
      <c r="A127" s="2" t="s">
        <v>103</v>
      </c>
      <c r="B127" s="2" t="s">
        <v>103</v>
      </c>
      <c r="C127" s="2" t="s">
        <v>103</v>
      </c>
      <c r="D127" s="2" t="s">
        <v>103</v>
      </c>
      <c r="E127" s="2" t="s">
        <v>103</v>
      </c>
      <c r="F127" s="2" t="s">
        <v>103</v>
      </c>
    </row>
    <row r="128" spans="1:6" x14ac:dyDescent="0.25">
      <c r="A128" s="2" t="s">
        <v>103</v>
      </c>
      <c r="B128" s="2" t="s">
        <v>103</v>
      </c>
      <c r="C128" s="2" t="s">
        <v>103</v>
      </c>
      <c r="D128" s="2" t="s">
        <v>103</v>
      </c>
      <c r="E128" s="2" t="s">
        <v>103</v>
      </c>
      <c r="F128" s="2" t="s">
        <v>103</v>
      </c>
    </row>
    <row r="129" spans="1:6" x14ac:dyDescent="0.25">
      <c r="A129" s="2" t="s">
        <v>103</v>
      </c>
      <c r="B129" s="2" t="s">
        <v>103</v>
      </c>
      <c r="C129" s="2" t="s">
        <v>103</v>
      </c>
      <c r="D129" s="2" t="s">
        <v>103</v>
      </c>
      <c r="E129" s="2" t="s">
        <v>103</v>
      </c>
      <c r="F129" s="2" t="s">
        <v>103</v>
      </c>
    </row>
    <row r="130" spans="1:6" x14ac:dyDescent="0.25">
      <c r="A130" s="2" t="s">
        <v>103</v>
      </c>
      <c r="B130" s="2" t="s">
        <v>103</v>
      </c>
      <c r="C130" s="2" t="s">
        <v>103</v>
      </c>
      <c r="D130" s="2" t="s">
        <v>103</v>
      </c>
      <c r="E130" s="2" t="s">
        <v>103</v>
      </c>
      <c r="F130" s="2" t="s">
        <v>103</v>
      </c>
    </row>
    <row r="131" spans="1:6" x14ac:dyDescent="0.25">
      <c r="A131" s="2" t="s">
        <v>103</v>
      </c>
      <c r="B131" s="2" t="s">
        <v>103</v>
      </c>
      <c r="C131" s="2" t="s">
        <v>103</v>
      </c>
      <c r="D131" s="2" t="s">
        <v>103</v>
      </c>
      <c r="E131" s="2" t="s">
        <v>103</v>
      </c>
      <c r="F131" s="2" t="s">
        <v>103</v>
      </c>
    </row>
    <row r="132" spans="1:6" x14ac:dyDescent="0.25">
      <c r="A132" s="2" t="s">
        <v>103</v>
      </c>
      <c r="B132" s="2" t="s">
        <v>103</v>
      </c>
      <c r="C132" s="2" t="s">
        <v>103</v>
      </c>
      <c r="D132" s="2" t="s">
        <v>103</v>
      </c>
      <c r="E132" s="2" t="s">
        <v>103</v>
      </c>
      <c r="F132" s="2" t="s">
        <v>103</v>
      </c>
    </row>
    <row r="133" spans="1:6" x14ac:dyDescent="0.25">
      <c r="A133" s="2" t="s">
        <v>103</v>
      </c>
      <c r="B133" s="2" t="s">
        <v>103</v>
      </c>
      <c r="C133" s="2" t="s">
        <v>103</v>
      </c>
      <c r="D133" s="2" t="s">
        <v>103</v>
      </c>
      <c r="E133" s="2" t="s">
        <v>103</v>
      </c>
      <c r="F133" s="2" t="s">
        <v>103</v>
      </c>
    </row>
    <row r="134" spans="1:6" x14ac:dyDescent="0.25">
      <c r="A134" s="2" t="s">
        <v>103</v>
      </c>
      <c r="B134" s="2" t="s">
        <v>103</v>
      </c>
      <c r="C134" s="2" t="s">
        <v>103</v>
      </c>
      <c r="D134" s="2" t="s">
        <v>103</v>
      </c>
      <c r="E134" s="2" t="s">
        <v>103</v>
      </c>
      <c r="F134" s="2" t="s">
        <v>103</v>
      </c>
    </row>
    <row r="135" spans="1:6" x14ac:dyDescent="0.25">
      <c r="A135" s="2" t="s">
        <v>103</v>
      </c>
      <c r="B135" s="2" t="s">
        <v>103</v>
      </c>
      <c r="C135" s="2" t="s">
        <v>103</v>
      </c>
      <c r="D135" s="2" t="s">
        <v>103</v>
      </c>
      <c r="E135" s="2" t="s">
        <v>103</v>
      </c>
      <c r="F135" s="2" t="s">
        <v>103</v>
      </c>
    </row>
    <row r="136" spans="1:6" x14ac:dyDescent="0.25">
      <c r="A136" s="2" t="s">
        <v>103</v>
      </c>
      <c r="B136" s="2" t="s">
        <v>103</v>
      </c>
      <c r="C136" s="2" t="s">
        <v>103</v>
      </c>
      <c r="D136" s="2" t="s">
        <v>103</v>
      </c>
      <c r="E136" s="2" t="s">
        <v>103</v>
      </c>
      <c r="F136" s="2" t="s">
        <v>103</v>
      </c>
    </row>
    <row r="137" spans="1:6" x14ac:dyDescent="0.25">
      <c r="A137" s="2" t="s">
        <v>103</v>
      </c>
      <c r="B137" s="2" t="s">
        <v>103</v>
      </c>
      <c r="C137" s="2" t="s">
        <v>103</v>
      </c>
      <c r="D137" s="2" t="s">
        <v>103</v>
      </c>
      <c r="E137" s="2" t="s">
        <v>103</v>
      </c>
      <c r="F137" s="2" t="s">
        <v>103</v>
      </c>
    </row>
    <row r="138" spans="1:6" x14ac:dyDescent="0.25">
      <c r="A138" s="2" t="s">
        <v>103</v>
      </c>
      <c r="B138" s="2" t="s">
        <v>103</v>
      </c>
      <c r="C138" s="2" t="s">
        <v>103</v>
      </c>
      <c r="D138" s="2" t="s">
        <v>103</v>
      </c>
      <c r="E138" s="2" t="s">
        <v>103</v>
      </c>
      <c r="F138" s="2" t="s">
        <v>103</v>
      </c>
    </row>
    <row r="139" spans="1:6" x14ac:dyDescent="0.25">
      <c r="A139" s="2" t="s">
        <v>103</v>
      </c>
      <c r="B139" s="2" t="s">
        <v>103</v>
      </c>
      <c r="C139" s="2" t="s">
        <v>103</v>
      </c>
      <c r="D139" s="2" t="s">
        <v>103</v>
      </c>
      <c r="E139" s="2" t="s">
        <v>103</v>
      </c>
      <c r="F139" s="2" t="s">
        <v>103</v>
      </c>
    </row>
    <row r="140" spans="1:6" x14ac:dyDescent="0.25">
      <c r="A140" s="2" t="s">
        <v>103</v>
      </c>
      <c r="B140" s="2" t="s">
        <v>103</v>
      </c>
      <c r="C140" s="2" t="s">
        <v>103</v>
      </c>
      <c r="D140" s="2" t="s">
        <v>103</v>
      </c>
      <c r="E140" s="2" t="s">
        <v>103</v>
      </c>
      <c r="F140" s="2" t="s">
        <v>103</v>
      </c>
    </row>
    <row r="141" spans="1:6" x14ac:dyDescent="0.25">
      <c r="A141" s="2" t="s">
        <v>103</v>
      </c>
      <c r="B141" s="2" t="s">
        <v>103</v>
      </c>
      <c r="C141" s="2" t="s">
        <v>103</v>
      </c>
      <c r="D141" s="2" t="s">
        <v>103</v>
      </c>
      <c r="E141" s="2" t="s">
        <v>103</v>
      </c>
      <c r="F141" s="2" t="s">
        <v>103</v>
      </c>
    </row>
    <row r="142" spans="1:6" x14ac:dyDescent="0.25">
      <c r="A142" s="2" t="s">
        <v>103</v>
      </c>
      <c r="B142" s="2" t="s">
        <v>103</v>
      </c>
      <c r="C142" s="2" t="s">
        <v>103</v>
      </c>
      <c r="D142" s="2" t="s">
        <v>103</v>
      </c>
      <c r="E142" s="2" t="s">
        <v>103</v>
      </c>
      <c r="F142" s="2" t="s">
        <v>103</v>
      </c>
    </row>
    <row r="143" spans="1:6" x14ac:dyDescent="0.25">
      <c r="A143" s="2" t="s">
        <v>103</v>
      </c>
      <c r="B143" s="2" t="s">
        <v>103</v>
      </c>
      <c r="C143" s="2" t="s">
        <v>103</v>
      </c>
      <c r="D143" s="2" t="s">
        <v>103</v>
      </c>
      <c r="E143" s="2" t="s">
        <v>103</v>
      </c>
      <c r="F143" s="2" t="s">
        <v>103</v>
      </c>
    </row>
    <row r="144" spans="1:6" x14ac:dyDescent="0.25">
      <c r="A144" s="2" t="s">
        <v>103</v>
      </c>
      <c r="B144" s="2" t="s">
        <v>103</v>
      </c>
      <c r="C144" s="2" t="s">
        <v>103</v>
      </c>
      <c r="D144" s="2" t="s">
        <v>103</v>
      </c>
      <c r="E144" s="2" t="s">
        <v>103</v>
      </c>
      <c r="F144" s="2" t="s">
        <v>103</v>
      </c>
    </row>
    <row r="145" spans="1:6" x14ac:dyDescent="0.25">
      <c r="A145" s="2" t="s">
        <v>103</v>
      </c>
      <c r="B145" s="2" t="s">
        <v>103</v>
      </c>
      <c r="C145" s="2" t="s">
        <v>103</v>
      </c>
      <c r="D145" s="2" t="s">
        <v>103</v>
      </c>
      <c r="E145" s="2" t="s">
        <v>103</v>
      </c>
      <c r="F145" s="2" t="s">
        <v>103</v>
      </c>
    </row>
    <row r="146" spans="1:6" x14ac:dyDescent="0.25">
      <c r="A146" s="2" t="s">
        <v>103</v>
      </c>
      <c r="B146" s="2" t="s">
        <v>103</v>
      </c>
      <c r="C146" s="2" t="s">
        <v>103</v>
      </c>
      <c r="D146" s="2" t="s">
        <v>103</v>
      </c>
      <c r="E146" s="2" t="s">
        <v>103</v>
      </c>
      <c r="F146" s="2" t="s">
        <v>103</v>
      </c>
    </row>
    <row r="147" spans="1:6" x14ac:dyDescent="0.25">
      <c r="A147" s="2" t="s">
        <v>103</v>
      </c>
      <c r="B147" s="2" t="s">
        <v>103</v>
      </c>
      <c r="C147" s="2" t="s">
        <v>103</v>
      </c>
      <c r="D147" s="2" t="s">
        <v>103</v>
      </c>
      <c r="E147" s="2" t="s">
        <v>103</v>
      </c>
      <c r="F147" s="2" t="s">
        <v>103</v>
      </c>
    </row>
    <row r="148" spans="1:6" x14ac:dyDescent="0.25">
      <c r="A148" s="2" t="s">
        <v>103</v>
      </c>
      <c r="B148" s="2" t="s">
        <v>103</v>
      </c>
      <c r="C148" s="2" t="s">
        <v>103</v>
      </c>
      <c r="D148" s="2" t="s">
        <v>103</v>
      </c>
      <c r="E148" s="2" t="s">
        <v>103</v>
      </c>
      <c r="F148" s="2" t="s">
        <v>103</v>
      </c>
    </row>
    <row r="149" spans="1:6" x14ac:dyDescent="0.25">
      <c r="A149" s="2" t="s">
        <v>103</v>
      </c>
      <c r="B149" s="2" t="s">
        <v>103</v>
      </c>
      <c r="C149" s="2" t="s">
        <v>103</v>
      </c>
      <c r="D149" s="2" t="s">
        <v>103</v>
      </c>
      <c r="E149" s="2" t="s">
        <v>103</v>
      </c>
      <c r="F149" s="2" t="s">
        <v>103</v>
      </c>
    </row>
    <row r="150" spans="1:6" x14ac:dyDescent="0.25">
      <c r="A150" s="2" t="s">
        <v>103</v>
      </c>
      <c r="B150" s="2" t="s">
        <v>103</v>
      </c>
      <c r="C150" s="2" t="s">
        <v>103</v>
      </c>
      <c r="D150" s="2" t="s">
        <v>103</v>
      </c>
      <c r="E150" s="2" t="s">
        <v>103</v>
      </c>
      <c r="F150" s="2" t="s">
        <v>103</v>
      </c>
    </row>
    <row r="151" spans="1:6" x14ac:dyDescent="0.25">
      <c r="A151" s="2" t="s">
        <v>103</v>
      </c>
      <c r="B151" s="2" t="s">
        <v>103</v>
      </c>
      <c r="C151" s="2" t="s">
        <v>103</v>
      </c>
      <c r="D151" s="2" t="s">
        <v>103</v>
      </c>
      <c r="E151" s="2" t="s">
        <v>103</v>
      </c>
      <c r="F151" s="2" t="s">
        <v>103</v>
      </c>
    </row>
    <row r="152" spans="1:6" x14ac:dyDescent="0.25">
      <c r="A152" s="2" t="s">
        <v>103</v>
      </c>
      <c r="B152" s="2" t="s">
        <v>103</v>
      </c>
      <c r="C152" s="2" t="s">
        <v>103</v>
      </c>
      <c r="D152" s="2" t="s">
        <v>103</v>
      </c>
      <c r="E152" s="2" t="s">
        <v>103</v>
      </c>
      <c r="F152" s="2" t="s">
        <v>103</v>
      </c>
    </row>
    <row r="153" spans="1:6" x14ac:dyDescent="0.25">
      <c r="A153" s="2" t="s">
        <v>103</v>
      </c>
      <c r="B153" s="2" t="s">
        <v>103</v>
      </c>
      <c r="C153" s="2" t="s">
        <v>103</v>
      </c>
      <c r="D153" s="2" t="s">
        <v>103</v>
      </c>
      <c r="E153" s="2" t="s">
        <v>103</v>
      </c>
      <c r="F153" s="2" t="s">
        <v>103</v>
      </c>
    </row>
    <row r="154" spans="1:6" x14ac:dyDescent="0.25">
      <c r="A154" s="2" t="s">
        <v>103</v>
      </c>
      <c r="B154" s="2" t="s">
        <v>103</v>
      </c>
      <c r="C154" s="2" t="s">
        <v>103</v>
      </c>
      <c r="D154" s="2" t="s">
        <v>103</v>
      </c>
      <c r="E154" s="2" t="s">
        <v>103</v>
      </c>
      <c r="F154" s="2" t="s">
        <v>103</v>
      </c>
    </row>
    <row r="155" spans="1:6" x14ac:dyDescent="0.25">
      <c r="A155" s="2" t="s">
        <v>103</v>
      </c>
      <c r="B155" s="2" t="s">
        <v>103</v>
      </c>
      <c r="C155" s="2" t="s">
        <v>103</v>
      </c>
      <c r="D155" s="2" t="s">
        <v>103</v>
      </c>
      <c r="E155" s="2" t="s">
        <v>103</v>
      </c>
      <c r="F155" s="2" t="s">
        <v>103</v>
      </c>
    </row>
    <row r="156" spans="1:6" x14ac:dyDescent="0.25">
      <c r="A156" s="2" t="s">
        <v>103</v>
      </c>
      <c r="B156" s="2" t="s">
        <v>103</v>
      </c>
      <c r="C156" s="2" t="s">
        <v>103</v>
      </c>
      <c r="D156" s="2" t="s">
        <v>103</v>
      </c>
      <c r="E156" s="2" t="s">
        <v>103</v>
      </c>
      <c r="F156" s="2" t="s">
        <v>103</v>
      </c>
    </row>
    <row r="157" spans="1:6" x14ac:dyDescent="0.25">
      <c r="A157" s="2" t="s">
        <v>103</v>
      </c>
      <c r="B157" s="2" t="s">
        <v>103</v>
      </c>
      <c r="C157" s="2" t="s">
        <v>103</v>
      </c>
      <c r="D157" s="2" t="s">
        <v>103</v>
      </c>
      <c r="E157" s="2" t="s">
        <v>103</v>
      </c>
      <c r="F157" s="2" t="s">
        <v>103</v>
      </c>
    </row>
    <row r="158" spans="1:6" x14ac:dyDescent="0.25">
      <c r="A158" s="2" t="s">
        <v>103</v>
      </c>
      <c r="B158" s="2" t="s">
        <v>103</v>
      </c>
      <c r="C158" s="2" t="s">
        <v>103</v>
      </c>
      <c r="D158" s="2" t="s">
        <v>103</v>
      </c>
      <c r="E158" s="2" t="s">
        <v>103</v>
      </c>
      <c r="F158" s="2" t="s">
        <v>103</v>
      </c>
    </row>
    <row r="159" spans="1:6" x14ac:dyDescent="0.25">
      <c r="A159" s="2" t="s">
        <v>103</v>
      </c>
      <c r="B159" s="2" t="s">
        <v>103</v>
      </c>
      <c r="C159" s="2" t="s">
        <v>103</v>
      </c>
      <c r="D159" s="2" t="s">
        <v>103</v>
      </c>
      <c r="E159" s="2" t="s">
        <v>103</v>
      </c>
      <c r="F159" s="2" t="s">
        <v>103</v>
      </c>
    </row>
    <row r="160" spans="1:6" x14ac:dyDescent="0.25">
      <c r="A160" s="2" t="s">
        <v>103</v>
      </c>
      <c r="B160" s="2" t="s">
        <v>103</v>
      </c>
      <c r="C160" s="2" t="s">
        <v>103</v>
      </c>
      <c r="D160" s="2" t="s">
        <v>103</v>
      </c>
      <c r="E160" s="2" t="s">
        <v>103</v>
      </c>
      <c r="F160" s="2" t="s">
        <v>103</v>
      </c>
    </row>
    <row r="161" spans="1:6" x14ac:dyDescent="0.25">
      <c r="A161" s="2" t="s">
        <v>103</v>
      </c>
      <c r="B161" s="2" t="s">
        <v>103</v>
      </c>
      <c r="C161" s="2" t="s">
        <v>103</v>
      </c>
      <c r="D161" s="2" t="s">
        <v>103</v>
      </c>
      <c r="E161" s="2" t="s">
        <v>103</v>
      </c>
      <c r="F161" s="2" t="s">
        <v>103</v>
      </c>
    </row>
    <row r="162" spans="1:6" x14ac:dyDescent="0.25">
      <c r="A162" s="2" t="s">
        <v>103</v>
      </c>
      <c r="B162" s="2" t="s">
        <v>103</v>
      </c>
      <c r="C162" s="2" t="s">
        <v>103</v>
      </c>
      <c r="D162" s="2" t="s">
        <v>103</v>
      </c>
      <c r="E162" s="2" t="s">
        <v>103</v>
      </c>
      <c r="F162" s="2" t="s">
        <v>103</v>
      </c>
    </row>
    <row r="163" spans="1:6" x14ac:dyDescent="0.25">
      <c r="A163" s="2" t="s">
        <v>103</v>
      </c>
      <c r="B163" s="2" t="s">
        <v>103</v>
      </c>
      <c r="C163" s="2" t="s">
        <v>103</v>
      </c>
      <c r="D163" s="2" t="s">
        <v>103</v>
      </c>
      <c r="E163" s="2" t="s">
        <v>103</v>
      </c>
      <c r="F163" s="2" t="s">
        <v>103</v>
      </c>
    </row>
    <row r="164" spans="1:6" x14ac:dyDescent="0.25">
      <c r="A164" s="2" t="s">
        <v>103</v>
      </c>
      <c r="B164" s="2" t="s">
        <v>103</v>
      </c>
      <c r="C164" s="2" t="s">
        <v>103</v>
      </c>
      <c r="D164" s="2" t="s">
        <v>103</v>
      </c>
      <c r="E164" s="2" t="s">
        <v>103</v>
      </c>
      <c r="F164" s="2" t="s">
        <v>103</v>
      </c>
    </row>
    <row r="165" spans="1:6" x14ac:dyDescent="0.25">
      <c r="A165" s="2" t="s">
        <v>103</v>
      </c>
      <c r="B165" s="2" t="s">
        <v>103</v>
      </c>
      <c r="C165" s="2" t="s">
        <v>103</v>
      </c>
      <c r="D165" s="2" t="s">
        <v>103</v>
      </c>
      <c r="E165" s="2" t="s">
        <v>103</v>
      </c>
      <c r="F165" s="2" t="s">
        <v>103</v>
      </c>
    </row>
    <row r="166" spans="1:6" x14ac:dyDescent="0.25">
      <c r="A166" s="2" t="s">
        <v>103</v>
      </c>
      <c r="B166" s="2" t="s">
        <v>103</v>
      </c>
      <c r="C166" s="2" t="s">
        <v>103</v>
      </c>
      <c r="D166" s="2" t="s">
        <v>103</v>
      </c>
      <c r="E166" s="2" t="s">
        <v>103</v>
      </c>
      <c r="F166" s="2" t="s">
        <v>103</v>
      </c>
    </row>
    <row r="167" spans="1:6" x14ac:dyDescent="0.25">
      <c r="A167" s="2" t="s">
        <v>103</v>
      </c>
      <c r="B167" s="2" t="s">
        <v>103</v>
      </c>
      <c r="C167" s="2" t="s">
        <v>103</v>
      </c>
      <c r="D167" s="2" t="s">
        <v>103</v>
      </c>
      <c r="E167" s="2" t="s">
        <v>103</v>
      </c>
      <c r="F167" s="2" t="s">
        <v>103</v>
      </c>
    </row>
    <row r="168" spans="1:6" x14ac:dyDescent="0.25">
      <c r="A168" s="2" t="s">
        <v>103</v>
      </c>
      <c r="B168" s="2" t="s">
        <v>103</v>
      </c>
      <c r="C168" s="2" t="s">
        <v>103</v>
      </c>
      <c r="D168" s="2" t="s">
        <v>103</v>
      </c>
      <c r="E168" s="2" t="s">
        <v>103</v>
      </c>
      <c r="F168" s="2" t="s">
        <v>103</v>
      </c>
    </row>
    <row r="169" spans="1:6" x14ac:dyDescent="0.25">
      <c r="A169" s="2" t="s">
        <v>103</v>
      </c>
      <c r="B169" s="2" t="s">
        <v>103</v>
      </c>
      <c r="C169" s="2" t="s">
        <v>103</v>
      </c>
      <c r="D169" s="2" t="s">
        <v>103</v>
      </c>
      <c r="E169" s="2" t="s">
        <v>103</v>
      </c>
      <c r="F169" s="2" t="s">
        <v>103</v>
      </c>
    </row>
    <row r="170" spans="1:6" x14ac:dyDescent="0.25">
      <c r="A170" s="2" t="s">
        <v>103</v>
      </c>
      <c r="B170" s="2" t="s">
        <v>103</v>
      </c>
      <c r="C170" s="2" t="s">
        <v>103</v>
      </c>
      <c r="D170" s="2" t="s">
        <v>103</v>
      </c>
      <c r="E170" s="2" t="s">
        <v>103</v>
      </c>
      <c r="F170" s="2" t="s">
        <v>103</v>
      </c>
    </row>
    <row r="171" spans="1:6" x14ac:dyDescent="0.25">
      <c r="A171" s="2" t="s">
        <v>103</v>
      </c>
      <c r="B171" s="2" t="s">
        <v>103</v>
      </c>
      <c r="C171" s="2" t="s">
        <v>103</v>
      </c>
      <c r="D171" s="2" t="s">
        <v>103</v>
      </c>
      <c r="E171" s="2" t="s">
        <v>103</v>
      </c>
      <c r="F171" s="2" t="s">
        <v>103</v>
      </c>
    </row>
    <row r="172" spans="1:6" x14ac:dyDescent="0.25">
      <c r="A172" s="2" t="s">
        <v>103</v>
      </c>
      <c r="B172" s="2" t="s">
        <v>103</v>
      </c>
      <c r="C172" s="2" t="s">
        <v>103</v>
      </c>
      <c r="D172" s="2" t="s">
        <v>103</v>
      </c>
      <c r="E172" s="2" t="s">
        <v>103</v>
      </c>
      <c r="F172" s="2" t="s">
        <v>103</v>
      </c>
    </row>
    <row r="173" spans="1:6" x14ac:dyDescent="0.25">
      <c r="A173" s="2" t="s">
        <v>103</v>
      </c>
      <c r="B173" s="2" t="s">
        <v>103</v>
      </c>
      <c r="C173" s="2" t="s">
        <v>103</v>
      </c>
      <c r="D173" s="2" t="s">
        <v>103</v>
      </c>
      <c r="E173" s="2" t="s">
        <v>103</v>
      </c>
      <c r="F173" s="2" t="s">
        <v>103</v>
      </c>
    </row>
    <row r="174" spans="1:6" x14ac:dyDescent="0.25">
      <c r="A174" s="2" t="s">
        <v>103</v>
      </c>
      <c r="B174" s="2" t="s">
        <v>103</v>
      </c>
      <c r="C174" s="2" t="s">
        <v>103</v>
      </c>
      <c r="D174" s="2" t="s">
        <v>103</v>
      </c>
      <c r="E174" s="2" t="s">
        <v>103</v>
      </c>
      <c r="F174" s="2" t="s">
        <v>103</v>
      </c>
    </row>
    <row r="175" spans="1:6" x14ac:dyDescent="0.25">
      <c r="A175" s="2" t="s">
        <v>103</v>
      </c>
      <c r="B175" s="2" t="s">
        <v>103</v>
      </c>
      <c r="C175" s="2" t="s">
        <v>103</v>
      </c>
      <c r="D175" s="2" t="s">
        <v>103</v>
      </c>
      <c r="E175" s="2" t="s">
        <v>103</v>
      </c>
      <c r="F175" s="2" t="s">
        <v>103</v>
      </c>
    </row>
    <row r="176" spans="1:6" x14ac:dyDescent="0.25">
      <c r="A176" s="2" t="s">
        <v>103</v>
      </c>
      <c r="B176" s="2" t="s">
        <v>103</v>
      </c>
      <c r="C176" s="2" t="s">
        <v>103</v>
      </c>
      <c r="D176" s="2" t="s">
        <v>103</v>
      </c>
      <c r="E176" s="2" t="s">
        <v>103</v>
      </c>
      <c r="F176" s="2" t="s">
        <v>103</v>
      </c>
    </row>
    <row r="177" spans="1:6" x14ac:dyDescent="0.25">
      <c r="A177" s="2" t="s">
        <v>103</v>
      </c>
      <c r="B177" s="2" t="s">
        <v>103</v>
      </c>
      <c r="C177" s="2" t="s">
        <v>103</v>
      </c>
      <c r="D177" s="2" t="s">
        <v>103</v>
      </c>
      <c r="E177" s="2" t="s">
        <v>103</v>
      </c>
      <c r="F177" s="2" t="s">
        <v>103</v>
      </c>
    </row>
    <row r="178" spans="1:6" x14ac:dyDescent="0.25">
      <c r="A178" s="2" t="s">
        <v>103</v>
      </c>
      <c r="B178" s="2" t="s">
        <v>103</v>
      </c>
      <c r="C178" s="2" t="s">
        <v>103</v>
      </c>
      <c r="D178" s="2" t="s">
        <v>103</v>
      </c>
      <c r="E178" s="2" t="s">
        <v>103</v>
      </c>
      <c r="F178" s="2" t="s">
        <v>103</v>
      </c>
    </row>
    <row r="179" spans="1:6" x14ac:dyDescent="0.25">
      <c r="A179" s="2" t="s">
        <v>103</v>
      </c>
      <c r="B179" s="2" t="s">
        <v>103</v>
      </c>
      <c r="C179" s="2" t="s">
        <v>103</v>
      </c>
      <c r="D179" s="2" t="s">
        <v>103</v>
      </c>
      <c r="E179" s="2" t="s">
        <v>103</v>
      </c>
      <c r="F179" s="2" t="s">
        <v>103</v>
      </c>
    </row>
    <row r="180" spans="1:6" x14ac:dyDescent="0.25">
      <c r="A180" s="2" t="s">
        <v>103</v>
      </c>
      <c r="B180" s="2" t="s">
        <v>103</v>
      </c>
      <c r="C180" s="2" t="s">
        <v>103</v>
      </c>
      <c r="D180" s="2" t="s">
        <v>103</v>
      </c>
      <c r="E180" s="2" t="s">
        <v>103</v>
      </c>
      <c r="F180" s="2" t="s">
        <v>103</v>
      </c>
    </row>
    <row r="181" spans="1:6" x14ac:dyDescent="0.25">
      <c r="A181" s="2" t="s">
        <v>103</v>
      </c>
      <c r="B181" s="2" t="s">
        <v>103</v>
      </c>
      <c r="C181" s="2" t="s">
        <v>103</v>
      </c>
      <c r="D181" s="2" t="s">
        <v>103</v>
      </c>
      <c r="E181" s="2" t="s">
        <v>103</v>
      </c>
      <c r="F181" s="2" t="s">
        <v>103</v>
      </c>
    </row>
    <row r="182" spans="1:6" x14ac:dyDescent="0.25">
      <c r="A182" s="2" t="s">
        <v>103</v>
      </c>
      <c r="B182" s="2" t="s">
        <v>103</v>
      </c>
      <c r="C182" s="2" t="s">
        <v>103</v>
      </c>
      <c r="D182" s="2" t="s">
        <v>103</v>
      </c>
      <c r="E182" s="2" t="s">
        <v>103</v>
      </c>
      <c r="F182" s="2" t="s">
        <v>103</v>
      </c>
    </row>
    <row r="183" spans="1:6" x14ac:dyDescent="0.25">
      <c r="A183" s="2" t="s">
        <v>103</v>
      </c>
      <c r="B183" s="2" t="s">
        <v>103</v>
      </c>
      <c r="C183" s="2" t="s">
        <v>103</v>
      </c>
      <c r="D183" s="2" t="s">
        <v>103</v>
      </c>
      <c r="E183" s="2" t="s">
        <v>103</v>
      </c>
      <c r="F183" s="2" t="s">
        <v>103</v>
      </c>
    </row>
    <row r="184" spans="1:6" x14ac:dyDescent="0.25">
      <c r="A184" s="2" t="s">
        <v>103</v>
      </c>
      <c r="B184" s="2" t="s">
        <v>103</v>
      </c>
      <c r="C184" s="2" t="s">
        <v>103</v>
      </c>
      <c r="D184" s="2" t="s">
        <v>103</v>
      </c>
      <c r="E184" s="2" t="s">
        <v>103</v>
      </c>
      <c r="F184" s="2" t="s">
        <v>103</v>
      </c>
    </row>
    <row r="185" spans="1:6" x14ac:dyDescent="0.25">
      <c r="A185" s="2" t="s">
        <v>103</v>
      </c>
      <c r="B185" s="2" t="s">
        <v>103</v>
      </c>
      <c r="C185" s="2" t="s">
        <v>103</v>
      </c>
      <c r="D185" s="2" t="s">
        <v>103</v>
      </c>
      <c r="E185" s="2" t="s">
        <v>103</v>
      </c>
      <c r="F185" s="2" t="s">
        <v>103</v>
      </c>
    </row>
    <row r="186" spans="1:6" x14ac:dyDescent="0.25">
      <c r="A186" s="2" t="s">
        <v>103</v>
      </c>
      <c r="B186" s="2" t="s">
        <v>103</v>
      </c>
      <c r="C186" s="2" t="s">
        <v>103</v>
      </c>
      <c r="D186" s="2" t="s">
        <v>103</v>
      </c>
      <c r="E186" s="2" t="s">
        <v>103</v>
      </c>
      <c r="F186" s="2" t="s">
        <v>103</v>
      </c>
    </row>
    <row r="187" spans="1:6" x14ac:dyDescent="0.25">
      <c r="A187" s="2" t="s">
        <v>103</v>
      </c>
      <c r="B187" s="2" t="s">
        <v>103</v>
      </c>
      <c r="C187" s="2" t="s">
        <v>103</v>
      </c>
      <c r="D187" s="2" t="s">
        <v>103</v>
      </c>
      <c r="E187" s="2" t="s">
        <v>103</v>
      </c>
      <c r="F187" s="2" t="s">
        <v>103</v>
      </c>
    </row>
    <row r="188" spans="1:6" x14ac:dyDescent="0.25">
      <c r="A188" s="2" t="s">
        <v>103</v>
      </c>
      <c r="B188" s="2" t="s">
        <v>103</v>
      </c>
      <c r="C188" s="2" t="s">
        <v>103</v>
      </c>
      <c r="D188" s="2" t="s">
        <v>103</v>
      </c>
      <c r="E188" s="2" t="s">
        <v>103</v>
      </c>
      <c r="F188" s="2" t="s">
        <v>103</v>
      </c>
    </row>
    <row r="189" spans="1:6" x14ac:dyDescent="0.25">
      <c r="A189" s="2" t="s">
        <v>103</v>
      </c>
      <c r="B189" s="2" t="s">
        <v>103</v>
      </c>
      <c r="C189" s="2" t="s">
        <v>103</v>
      </c>
      <c r="D189" s="2" t="s">
        <v>103</v>
      </c>
      <c r="E189" s="2" t="s">
        <v>103</v>
      </c>
      <c r="F189" s="2" t="s">
        <v>103</v>
      </c>
    </row>
    <row r="190" spans="1:6" x14ac:dyDescent="0.25">
      <c r="A190" s="2" t="s">
        <v>103</v>
      </c>
      <c r="B190" s="2" t="s">
        <v>103</v>
      </c>
      <c r="C190" s="2" t="s">
        <v>103</v>
      </c>
      <c r="D190" s="2" t="s">
        <v>103</v>
      </c>
      <c r="E190" s="2" t="s">
        <v>103</v>
      </c>
      <c r="F190" s="2" t="s">
        <v>103</v>
      </c>
    </row>
    <row r="191" spans="1:6" x14ac:dyDescent="0.25">
      <c r="A191" s="2" t="s">
        <v>103</v>
      </c>
      <c r="B191" s="2" t="s">
        <v>103</v>
      </c>
      <c r="C191" s="2" t="s">
        <v>103</v>
      </c>
      <c r="D191" s="2" t="s">
        <v>103</v>
      </c>
      <c r="E191" s="2" t="s">
        <v>103</v>
      </c>
      <c r="F191" s="2" t="s">
        <v>103</v>
      </c>
    </row>
    <row r="192" spans="1:6" x14ac:dyDescent="0.25">
      <c r="A192" s="2" t="s">
        <v>103</v>
      </c>
      <c r="B192" s="2" t="s">
        <v>103</v>
      </c>
      <c r="C192" s="2" t="s">
        <v>103</v>
      </c>
      <c r="D192" s="2" t="s">
        <v>103</v>
      </c>
      <c r="E192" s="2" t="s">
        <v>103</v>
      </c>
      <c r="F192" s="2" t="s">
        <v>103</v>
      </c>
    </row>
    <row r="193" spans="1:6" x14ac:dyDescent="0.25">
      <c r="A193" s="2" t="s">
        <v>103</v>
      </c>
      <c r="B193" s="2" t="s">
        <v>103</v>
      </c>
      <c r="C193" s="2" t="s">
        <v>103</v>
      </c>
      <c r="D193" s="2" t="s">
        <v>103</v>
      </c>
      <c r="E193" s="2" t="s">
        <v>103</v>
      </c>
      <c r="F193" s="2" t="s">
        <v>103</v>
      </c>
    </row>
    <row r="194" spans="1:6" x14ac:dyDescent="0.25">
      <c r="A194" s="2" t="s">
        <v>103</v>
      </c>
      <c r="B194" s="2" t="s">
        <v>103</v>
      </c>
      <c r="C194" s="2" t="s">
        <v>103</v>
      </c>
      <c r="D194" s="2" t="s">
        <v>103</v>
      </c>
      <c r="E194" s="2" t="s">
        <v>103</v>
      </c>
      <c r="F194" s="2" t="s">
        <v>103</v>
      </c>
    </row>
    <row r="195" spans="1:6" x14ac:dyDescent="0.25">
      <c r="A195" s="2" t="s">
        <v>103</v>
      </c>
      <c r="B195" s="2" t="s">
        <v>103</v>
      </c>
      <c r="C195" s="2" t="s">
        <v>103</v>
      </c>
      <c r="D195" s="2" t="s">
        <v>103</v>
      </c>
      <c r="E195" s="2" t="s">
        <v>103</v>
      </c>
      <c r="F195" s="2" t="s">
        <v>103</v>
      </c>
    </row>
    <row r="196" spans="1:6" x14ac:dyDescent="0.25">
      <c r="A196" s="2" t="s">
        <v>103</v>
      </c>
      <c r="B196" s="2" t="s">
        <v>103</v>
      </c>
      <c r="C196" s="2" t="s">
        <v>103</v>
      </c>
      <c r="D196" s="2" t="s">
        <v>103</v>
      </c>
      <c r="E196" s="2" t="s">
        <v>103</v>
      </c>
      <c r="F196" s="2" t="s">
        <v>103</v>
      </c>
    </row>
    <row r="197" spans="1:6" x14ac:dyDescent="0.25">
      <c r="A197" s="2" t="s">
        <v>103</v>
      </c>
      <c r="B197" s="2" t="s">
        <v>103</v>
      </c>
      <c r="C197" s="2" t="s">
        <v>103</v>
      </c>
      <c r="D197" s="2" t="s">
        <v>103</v>
      </c>
      <c r="E197" s="2" t="s">
        <v>103</v>
      </c>
      <c r="F197" s="2" t="s">
        <v>103</v>
      </c>
    </row>
    <row r="198" spans="1:6" x14ac:dyDescent="0.25">
      <c r="A198" s="2" t="s">
        <v>103</v>
      </c>
      <c r="B198" s="2" t="s">
        <v>103</v>
      </c>
      <c r="C198" s="2" t="s">
        <v>103</v>
      </c>
      <c r="D198" s="2" t="s">
        <v>103</v>
      </c>
      <c r="E198" s="2" t="s">
        <v>103</v>
      </c>
      <c r="F198" s="2" t="s">
        <v>103</v>
      </c>
    </row>
    <row r="199" spans="1:6" x14ac:dyDescent="0.25">
      <c r="A199" s="2" t="s">
        <v>103</v>
      </c>
      <c r="B199" s="2" t="s">
        <v>103</v>
      </c>
      <c r="C199" s="2" t="s">
        <v>103</v>
      </c>
      <c r="D199" s="2" t="s">
        <v>103</v>
      </c>
      <c r="E199" s="2" t="s">
        <v>103</v>
      </c>
      <c r="F199" s="2" t="s">
        <v>103</v>
      </c>
    </row>
    <row r="200" spans="1:6" x14ac:dyDescent="0.25">
      <c r="A200" s="2" t="s">
        <v>103</v>
      </c>
      <c r="B200" s="2" t="s">
        <v>103</v>
      </c>
      <c r="C200" s="2" t="s">
        <v>103</v>
      </c>
      <c r="D200" s="2" t="s">
        <v>103</v>
      </c>
      <c r="E200" s="2" t="s">
        <v>103</v>
      </c>
      <c r="F200" s="2" t="s">
        <v>103</v>
      </c>
    </row>
    <row r="201" spans="1:6" x14ac:dyDescent="0.25">
      <c r="A201" s="2" t="s">
        <v>103</v>
      </c>
      <c r="B201" s="2" t="s">
        <v>103</v>
      </c>
      <c r="C201" s="2" t="s">
        <v>103</v>
      </c>
      <c r="D201" s="2" t="s">
        <v>103</v>
      </c>
      <c r="E201" s="2" t="s">
        <v>103</v>
      </c>
      <c r="F201" s="2" t="s">
        <v>103</v>
      </c>
    </row>
  </sheetData>
  <sheetProtection algorithmName="SHA-512" hashValue="HOybvdeoFPVlse22zDkwRE6IX5mrNxz5JqtEvk5QLa1LIhHD4H/EXo92z/riyaN5ict+cV2O+Bb/6W1rDOjXqA==" saltValue="lccfIVHACgiwsORIhkHINQ==" spinCount="100000" sheet="1" objects="1" scenarios="1" formatCells="0" selectLockedCells="1"/>
  <pageMargins left="0.7" right="0.7" top="0.75" bottom="0.75" header="0.3" footer="0.3"/>
  <pageSetup orientation="portrait" useFirstPageNumber="1" horizontalDpi="4294967295" verticalDpi="4294967295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100-000000000000}">
          <x14:formula1>
            <xm:f>Config!$A$4:$A$7</xm:f>
          </x14:formula1>
          <xm:sqref>D2:D201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251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cols>
    <col min="1" max="4" width="14" customWidth="1"/>
    <col min="5" max="5" width="18" customWidth="1"/>
    <col min="6" max="11" width="14" customWidth="1"/>
    <col min="12" max="12" width="14" hidden="1" customWidth="1"/>
    <col min="13" max="13" width="14" customWidth="1"/>
  </cols>
  <sheetData>
    <row r="1" spans="1:15" x14ac:dyDescent="0.25">
      <c r="A1" s="2" t="s">
        <v>15</v>
      </c>
      <c r="B1" s="2" t="s">
        <v>18</v>
      </c>
      <c r="C1" s="2" t="s">
        <v>16</v>
      </c>
      <c r="D1" s="2" t="s">
        <v>17</v>
      </c>
      <c r="E1" s="2" t="s">
        <v>19</v>
      </c>
      <c r="F1" s="2" t="s">
        <v>104</v>
      </c>
      <c r="G1" s="2" t="s">
        <v>105</v>
      </c>
      <c r="H1" s="2" t="s">
        <v>106</v>
      </c>
      <c r="I1" s="2" t="s">
        <v>107</v>
      </c>
      <c r="J1" s="2" t="s">
        <v>108</v>
      </c>
      <c r="K1" s="2" t="s">
        <v>109</v>
      </c>
      <c r="L1" s="2" t="s">
        <v>110</v>
      </c>
      <c r="M1" s="9" t="s">
        <v>111</v>
      </c>
      <c r="N1" s="9"/>
      <c r="O1" s="9"/>
    </row>
    <row r="2" spans="1:15" x14ac:dyDescent="0.25">
      <c r="A2">
        <v>1</v>
      </c>
      <c r="B2" t="str">
        <f>IF(A2="","",IFERROR(INDEX(tblReg[Field],MATCH(A2,tblReg[Bib],0)),""))</f>
        <v>Men Under 40</v>
      </c>
      <c r="C2" t="str">
        <f>IF(A2="","",IFERROR(INDEX(tblReg[FirstName],MATCH(A2,tblReg[Bib],0)),""))</f>
        <v>Nora</v>
      </c>
      <c r="D2" t="str">
        <f>IF(A2="","",IFERROR(INDEX(tblReg[LastName],MATCH(A2,tblReg[Bib],0)),""))</f>
        <v>Lopez</v>
      </c>
      <c r="E2" t="str">
        <f>IF(A2="","",IFERROR(INDEX(tblReg[Team],MATCH(A2,tblReg[Bib],0)),""))</f>
        <v>Apex Cycling</v>
      </c>
      <c r="F2" s="4">
        <v>6.626157407407407E-2</v>
      </c>
      <c r="G2">
        <f t="shared" ref="G2:G65" si="0">IF(OR(F2="",UPPER(F2)="DNF",UPPER(F2)="DNS"),"",HOUR(F2)*3600 + MINUTE(F2)*60 + SECOND(F2))</f>
        <v>5725</v>
      </c>
      <c r="H2">
        <f t="shared" ref="H2:H65" si="1">IF(OR(A2="",B2=""),"",IF(ISNUMBER(G2),1+COUNTIFS($B$2:$B$251,B2,$G$2:$G$251,"&lt;"&amp;G2),IF(F2="",COUNTIFS($B$2:$B$251,B2,$G$2:$G$251,"&gt;=0")+COUNTIFS($B$2:$B$251,B2,$F$2:$F$251,"",$A$2:$A$251,"&lt;"&amp;A2)+1,"")))</f>
        <v>1</v>
      </c>
      <c r="I2">
        <f>IF(H2="",0,IFERROR(INDEX(Config!$I$4:$I$6,MATCH(H2,Config!$H$4:$H$6,0)),0))</f>
        <v>10</v>
      </c>
      <c r="J2">
        <f t="shared" ref="J2:J65" si="2">IF(G2="","",G2-I2)</f>
        <v>5715</v>
      </c>
      <c r="K2" s="5">
        <f t="shared" ref="K2:K65" si="3">IF(J2="","",J2/86400)</f>
        <v>6.6145833333333334E-2</v>
      </c>
      <c r="L2">
        <f>IF(A2="",999,IFERROR(MATCH(B2,Config!$A$4:$A$7,0),99)*10+IF(ISNUMBER(F2),1,IF(F2="",2,IF(UPPER(F2)="DNF",3,IF(UPPER(F2)="DNS",4,8)))))</f>
        <v>11</v>
      </c>
      <c r="M2" t="s">
        <v>18</v>
      </c>
      <c r="N2" t="s">
        <v>8</v>
      </c>
    </row>
    <row r="3" spans="1:15" x14ac:dyDescent="0.25">
      <c r="A3">
        <v>2</v>
      </c>
      <c r="B3" t="str">
        <f>IF(A3="","",IFERROR(INDEX(tblReg[Field],MATCH(A3,tblReg[Bib],0)),""))</f>
        <v>Men Under 40</v>
      </c>
      <c r="C3" t="str">
        <f>IF(A3="","",IFERROR(INDEX(tblReg[FirstName],MATCH(A3,tblReg[Bib],0)),""))</f>
        <v>Ruby</v>
      </c>
      <c r="D3" t="str">
        <f>IF(A3="","",IFERROR(INDEX(tblReg[LastName],MATCH(A3,tblReg[Bib],0)),""))</f>
        <v>Garcia</v>
      </c>
      <c r="E3" t="str">
        <f>IF(A3="","",IFERROR(INDEX(tblReg[Team],MATCH(A3,tblReg[Bib],0)),""))</f>
        <v>Rapid Chain</v>
      </c>
      <c r="F3" s="4">
        <v>6.8240740740740741E-2</v>
      </c>
      <c r="G3">
        <f t="shared" si="0"/>
        <v>5896</v>
      </c>
      <c r="H3">
        <f t="shared" si="1"/>
        <v>2</v>
      </c>
      <c r="I3">
        <f>IF(H3="",0,IFERROR(INDEX(Config!$I$4:$I$6,MATCH(H3,Config!$H$4:$H$6,0)),0))</f>
        <v>6</v>
      </c>
      <c r="J3">
        <f t="shared" si="2"/>
        <v>5890</v>
      </c>
      <c r="K3" s="5">
        <f t="shared" si="3"/>
        <v>6.8171296296296299E-2</v>
      </c>
      <c r="L3">
        <f>IF(A3="",999,IFERROR(MATCH(B3,Config!$A$4:$A$7,0),99)*10+IF(ISNUMBER(F3),1,IF(F3="",2,IF(UPPER(F3)="DNF",3,IF(UPPER(F3)="DNS",4,8)))))</f>
        <v>11</v>
      </c>
      <c r="M3" s="9" t="s">
        <v>112</v>
      </c>
      <c r="N3" s="9"/>
      <c r="O3" s="9"/>
    </row>
    <row r="4" spans="1:15" x14ac:dyDescent="0.25">
      <c r="A4">
        <v>3</v>
      </c>
      <c r="B4" t="str">
        <f>IF(A4="","",IFERROR(INDEX(tblReg[Field],MATCH(A4,tblReg[Bib],0)),""))</f>
        <v>Men Under 40</v>
      </c>
      <c r="C4" t="str">
        <f>IF(A4="","",IFERROR(INDEX(tblReg[FirstName],MATCH(A4,tblReg[Bib],0)),""))</f>
        <v>Ivy</v>
      </c>
      <c r="D4" t="str">
        <f>IF(A4="","",IFERROR(INDEX(tblReg[LastName],MATCH(A4,tblReg[Bib],0)),""))</f>
        <v>Harris</v>
      </c>
      <c r="E4" t="str">
        <f>IF(A4="","",IFERROR(INDEX(tblReg[Team],MATCH(A4,tblReg[Bib],0)),""))</f>
        <v>City Sprint</v>
      </c>
      <c r="F4" s="4">
        <v>7.0694444444444449E-2</v>
      </c>
      <c r="G4">
        <f t="shared" si="0"/>
        <v>6108</v>
      </c>
      <c r="H4">
        <f t="shared" si="1"/>
        <v>4</v>
      </c>
      <c r="I4">
        <f>IF(H4="",0,IFERROR(INDEX(Config!$I$4:$I$6,MATCH(H4,Config!$H$4:$H$6,0)),0))</f>
        <v>0</v>
      </c>
      <c r="J4">
        <f t="shared" si="2"/>
        <v>6108</v>
      </c>
      <c r="K4" s="5">
        <f t="shared" si="3"/>
        <v>7.0694444444444449E-2</v>
      </c>
      <c r="L4">
        <f>IF(A4="",999,IFERROR(MATCH(B4,Config!$A$4:$A$7,0),99)*10+IF(ISNUMBER(F4),1,IF(F4="",2,IF(UPPER(F4)="DNF",3,IF(UPPER(F4)="DNS",4,8)))))</f>
        <v>11</v>
      </c>
      <c r="M4" t="s">
        <v>113</v>
      </c>
    </row>
    <row r="5" spans="1:15" x14ac:dyDescent="0.25">
      <c r="A5">
        <v>4</v>
      </c>
      <c r="B5" t="str">
        <f>IF(A5="","",IFERROR(INDEX(tblReg[Field],MATCH(A5,tblReg[Bib],0)),""))</f>
        <v>Men Under 40</v>
      </c>
      <c r="C5" t="str">
        <f>IF(A5="","",IFERROR(INDEX(tblReg[FirstName],MATCH(A5,tblReg[Bib],0)),""))</f>
        <v>Nora</v>
      </c>
      <c r="D5" t="str">
        <f>IF(A5="","",IFERROR(INDEX(tblReg[LastName],MATCH(A5,tblReg[Bib],0)),""))</f>
        <v>Moore</v>
      </c>
      <c r="E5" t="str">
        <f>IF(A5="","",IFERROR(INDEX(tblReg[Team],MATCH(A5,tblReg[Bib],0)),""))</f>
        <v>Northwind Velo</v>
      </c>
      <c r="F5" s="4">
        <v>7.5416666666666674E-2</v>
      </c>
      <c r="G5">
        <f t="shared" si="0"/>
        <v>6516</v>
      </c>
      <c r="H5">
        <f t="shared" si="1"/>
        <v>6</v>
      </c>
      <c r="I5">
        <f>IF(H5="",0,IFERROR(INDEX(Config!$I$4:$I$6,MATCH(H5,Config!$H$4:$H$6,0)),0))</f>
        <v>0</v>
      </c>
      <c r="J5">
        <f t="shared" si="2"/>
        <v>6516</v>
      </c>
      <c r="K5" s="5">
        <f t="shared" si="3"/>
        <v>7.5416666666666674E-2</v>
      </c>
      <c r="L5">
        <f>IF(A5="",999,IFERROR(MATCH(B5,Config!$A$4:$A$7,0),99)*10+IF(ISNUMBER(F5),1,IF(F5="",2,IF(UPPER(F5)="DNF",3,IF(UPPER(F5)="DNS",4,8)))))</f>
        <v>11</v>
      </c>
    </row>
    <row r="6" spans="1:15" x14ac:dyDescent="0.25">
      <c r="A6">
        <v>5</v>
      </c>
      <c r="B6" t="str">
        <f>IF(A6="","",IFERROR(INDEX(tblReg[Field],MATCH(A6,tblReg[Bib],0)),""))</f>
        <v>Men Under 40</v>
      </c>
      <c r="C6" t="str">
        <f>IF(A6="","",IFERROR(INDEX(tblReg[FirstName],MATCH(A6,tblReg[Bib],0)),""))</f>
        <v>Mila</v>
      </c>
      <c r="D6" t="str">
        <f>IF(A6="","",IFERROR(INDEX(tblReg[LastName],MATCH(A6,tblReg[Bib],0)),""))</f>
        <v>Harris</v>
      </c>
      <c r="E6" t="str">
        <f>IF(A6="","",IFERROR(INDEX(tblReg[Team],MATCH(A6,tblReg[Bib],0)),""))</f>
        <v>Summit Wheels</v>
      </c>
      <c r="F6" s="4">
        <v>7.7731481481481485E-2</v>
      </c>
      <c r="G6">
        <f t="shared" si="0"/>
        <v>6716</v>
      </c>
      <c r="H6">
        <f t="shared" si="1"/>
        <v>8</v>
      </c>
      <c r="I6">
        <f>IF(H6="",0,IFERROR(INDEX(Config!$I$4:$I$6,MATCH(H6,Config!$H$4:$H$6,0)),0))</f>
        <v>0</v>
      </c>
      <c r="J6">
        <f t="shared" si="2"/>
        <v>6716</v>
      </c>
      <c r="K6" s="5">
        <f t="shared" si="3"/>
        <v>7.7731481481481485E-2</v>
      </c>
      <c r="L6">
        <f>IF(A6="",999,IFERROR(MATCH(B6,Config!$A$4:$A$7,0),99)*10+IF(ISNUMBER(F6),1,IF(F6="",2,IF(UPPER(F6)="DNF",3,IF(UPPER(F6)="DNS",4,8)))))</f>
        <v>11</v>
      </c>
    </row>
    <row r="7" spans="1:15" x14ac:dyDescent="0.25">
      <c r="A7">
        <v>6</v>
      </c>
      <c r="B7" t="str">
        <f>IF(A7="","",IFERROR(INDEX(tblReg[Field],MATCH(A7,tblReg[Bib],0)),""))</f>
        <v>Men Under 40</v>
      </c>
      <c r="C7" t="str">
        <f>IF(A7="","",IFERROR(INDEX(tblReg[FirstName],MATCH(A7,tblReg[Bib],0)),""))</f>
        <v>Jude</v>
      </c>
      <c r="D7" t="str">
        <f>IF(A7="","",IFERROR(INDEX(tblReg[LastName],MATCH(A7,tblReg[Bib],0)),""))</f>
        <v>Johnson</v>
      </c>
      <c r="E7" t="str">
        <f>IF(A7="","",IFERROR(INDEX(tblReg[Team],MATCH(A7,tblReg[Bib],0)),""))</f>
        <v>Summit Wheels</v>
      </c>
      <c r="F7" s="4">
        <v>7.2268518518518524E-2</v>
      </c>
      <c r="G7">
        <f t="shared" si="0"/>
        <v>6244</v>
      </c>
      <c r="H7">
        <f t="shared" si="1"/>
        <v>5</v>
      </c>
      <c r="I7">
        <f>IF(H7="",0,IFERROR(INDEX(Config!$I$4:$I$6,MATCH(H7,Config!$H$4:$H$6,0)),0))</f>
        <v>0</v>
      </c>
      <c r="J7">
        <f t="shared" si="2"/>
        <v>6244</v>
      </c>
      <c r="K7" s="5">
        <f t="shared" si="3"/>
        <v>7.2268518518518524E-2</v>
      </c>
      <c r="L7">
        <f>IF(A7="",999,IFERROR(MATCH(B7,Config!$A$4:$A$7,0),99)*10+IF(ISNUMBER(F7),1,IF(F7="",2,IF(UPPER(F7)="DNF",3,IF(UPPER(F7)="DNS",4,8)))))</f>
        <v>11</v>
      </c>
    </row>
    <row r="8" spans="1:15" x14ac:dyDescent="0.25">
      <c r="A8">
        <v>7</v>
      </c>
      <c r="B8" t="str">
        <f>IF(A8="","",IFERROR(INDEX(tblReg[Field],MATCH(A8,tblReg[Bib],0)),""))</f>
        <v>Men Under 40</v>
      </c>
      <c r="C8" t="str">
        <f>IF(A8="","",IFERROR(INDEX(tblReg[FirstName],MATCH(A8,tblReg[Bib],0)),""))</f>
        <v>Ivy</v>
      </c>
      <c r="D8" t="str">
        <f>IF(A8="","",IFERROR(INDEX(tblReg[LastName],MATCH(A8,tblReg[Bib],0)),""))</f>
        <v>Garcia</v>
      </c>
      <c r="E8" t="str">
        <f>IF(A8="","",IFERROR(INDEX(tblReg[Team],MATCH(A8,tblReg[Bib],0)),""))</f>
        <v>Apex Cycling</v>
      </c>
      <c r="F8" s="4">
        <v>6.868055555555555E-2</v>
      </c>
      <c r="G8">
        <f t="shared" si="0"/>
        <v>5934</v>
      </c>
      <c r="H8">
        <f t="shared" si="1"/>
        <v>3</v>
      </c>
      <c r="I8">
        <f>IF(H8="",0,IFERROR(INDEX(Config!$I$4:$I$6,MATCH(H8,Config!$H$4:$H$6,0)),0))</f>
        <v>4</v>
      </c>
      <c r="J8">
        <f t="shared" si="2"/>
        <v>5930</v>
      </c>
      <c r="K8" s="5">
        <f t="shared" si="3"/>
        <v>6.8634259259259256E-2</v>
      </c>
      <c r="L8">
        <f>IF(A8="",999,IFERROR(MATCH(B8,Config!$A$4:$A$7,0),99)*10+IF(ISNUMBER(F8),1,IF(F8="",2,IF(UPPER(F8)="DNF",3,IF(UPPER(F8)="DNS",4,8)))))</f>
        <v>11</v>
      </c>
    </row>
    <row r="9" spans="1:15" x14ac:dyDescent="0.25">
      <c r="A9">
        <v>8</v>
      </c>
      <c r="B9" t="str">
        <f>IF(A9="","",IFERROR(INDEX(tblReg[Field],MATCH(A9,tblReg[Bib],0)),""))</f>
        <v>Men Under 40</v>
      </c>
      <c r="C9" t="str">
        <f>IF(A9="","",IFERROR(INDEX(tblReg[FirstName],MATCH(A9,tblReg[Bib],0)),""))</f>
        <v>Aria</v>
      </c>
      <c r="D9" t="str">
        <f>IF(A9="","",IFERROR(INDEX(tblReg[LastName],MATCH(A9,tblReg[Bib],0)),""))</f>
        <v>Moore</v>
      </c>
      <c r="E9" t="str">
        <f>IF(A9="","",IFERROR(INDEX(tblReg[Team],MATCH(A9,tblReg[Bib],0)),""))</f>
        <v>Nomad CC</v>
      </c>
      <c r="F9" s="4" t="s">
        <v>114</v>
      </c>
      <c r="G9" t="str">
        <f t="shared" si="0"/>
        <v/>
      </c>
      <c r="H9" t="str">
        <f t="shared" si="1"/>
        <v/>
      </c>
      <c r="I9">
        <f>IF(H9="",0,IFERROR(INDEX(Config!$I$4:$I$6,MATCH(H9,Config!$H$4:$H$6,0)),0))</f>
        <v>0</v>
      </c>
      <c r="J9" t="str">
        <f t="shared" si="2"/>
        <v/>
      </c>
      <c r="K9" s="5" t="str">
        <f t="shared" si="3"/>
        <v/>
      </c>
      <c r="L9">
        <f>IF(A9="",999,IFERROR(MATCH(B9,Config!$A$4:$A$7,0),99)*10+IF(ISNUMBER(F9),1,IF(F9="",2,IF(UPPER(F9)="DNF",3,IF(UPPER(F9)="DNS",4,8)))))</f>
        <v>13</v>
      </c>
    </row>
    <row r="10" spans="1:15" x14ac:dyDescent="0.25">
      <c r="A10">
        <v>9</v>
      </c>
      <c r="B10" t="str">
        <f>IF(A10="","",IFERROR(INDEX(tblReg[Field],MATCH(A10,tblReg[Bib],0)),""))</f>
        <v>Men Under 40</v>
      </c>
      <c r="C10" t="str">
        <f>IF(A10="","",IFERROR(INDEX(tblReg[FirstName],MATCH(A10,tblReg[Bib],0)),""))</f>
        <v>Aria</v>
      </c>
      <c r="D10" t="str">
        <f>IF(A10="","",IFERROR(INDEX(tblReg[LastName],MATCH(A10,tblReg[Bib],0)),""))</f>
        <v>Wilson</v>
      </c>
      <c r="E10" t="str">
        <f>IF(A10="","",IFERROR(INDEX(tblReg[Team],MATCH(A10,tblReg[Bib],0)),""))</f>
        <v>Summit Wheels</v>
      </c>
      <c r="F10" s="4">
        <v>7.947916666666667E-2</v>
      </c>
      <c r="G10">
        <f t="shared" si="0"/>
        <v>6867</v>
      </c>
      <c r="H10">
        <f t="shared" si="1"/>
        <v>9</v>
      </c>
      <c r="I10">
        <f>IF(H10="",0,IFERROR(INDEX(Config!$I$4:$I$6,MATCH(H10,Config!$H$4:$H$6,0)),0))</f>
        <v>0</v>
      </c>
      <c r="J10">
        <f t="shared" si="2"/>
        <v>6867</v>
      </c>
      <c r="K10" s="5">
        <f t="shared" si="3"/>
        <v>7.947916666666667E-2</v>
      </c>
      <c r="L10">
        <f>IF(A10="",999,IFERROR(MATCH(B10,Config!$A$4:$A$7,0),99)*10+IF(ISNUMBER(F10),1,IF(F10="",2,IF(UPPER(F10)="DNF",3,IF(UPPER(F10)="DNS",4,8)))))</f>
        <v>11</v>
      </c>
    </row>
    <row r="11" spans="1:15" x14ac:dyDescent="0.25">
      <c r="A11">
        <v>10</v>
      </c>
      <c r="B11" t="str">
        <f>IF(A11="","",IFERROR(INDEX(tblReg[Field],MATCH(A11,tblReg[Bib],0)),""))</f>
        <v>Men Under 40</v>
      </c>
      <c r="C11" t="str">
        <f>IF(A11="","",IFERROR(INDEX(tblReg[FirstName],MATCH(A11,tblReg[Bib],0)),""))</f>
        <v>Ivy</v>
      </c>
      <c r="D11" t="str">
        <f>IF(A11="","",IFERROR(INDEX(tblReg[LastName],MATCH(A11,tblReg[Bib],0)),""))</f>
        <v>Park</v>
      </c>
      <c r="E11" t="str">
        <f>IF(A11="","",IFERROR(INDEX(tblReg[Team],MATCH(A11,tblReg[Bib],0)),""))</f>
        <v>Apex Cycling</v>
      </c>
      <c r="F11" s="4">
        <v>7.6377314814814815E-2</v>
      </c>
      <c r="G11">
        <f t="shared" si="0"/>
        <v>6599</v>
      </c>
      <c r="H11">
        <f t="shared" si="1"/>
        <v>7</v>
      </c>
      <c r="I11">
        <f>IF(H11="",0,IFERROR(INDEX(Config!$I$4:$I$6,MATCH(H11,Config!$H$4:$H$6,0)),0))</f>
        <v>0</v>
      </c>
      <c r="J11">
        <f t="shared" si="2"/>
        <v>6599</v>
      </c>
      <c r="K11" s="5">
        <f t="shared" si="3"/>
        <v>7.6377314814814815E-2</v>
      </c>
      <c r="L11">
        <f>IF(A11="",999,IFERROR(MATCH(B11,Config!$A$4:$A$7,0),99)*10+IF(ISNUMBER(F11),1,IF(F11="",2,IF(UPPER(F11)="DNF",3,IF(UPPER(F11)="DNS",4,8)))))</f>
        <v>11</v>
      </c>
    </row>
    <row r="12" spans="1:15" x14ac:dyDescent="0.25">
      <c r="A12">
        <v>51</v>
      </c>
      <c r="B12" t="str">
        <f>IF(A12="","",IFERROR(INDEX(tblReg[Field],MATCH(A12,tblReg[Bib],0)),""))</f>
        <v>Men 40+</v>
      </c>
      <c r="C12" t="str">
        <f>IF(A12="","",IFERROR(INDEX(tblReg[FirstName],MATCH(A12,tblReg[Bib],0)),""))</f>
        <v>Mila</v>
      </c>
      <c r="D12" t="str">
        <f>IF(A12="","",IFERROR(INDEX(tblReg[LastName],MATCH(A12,tblReg[Bib],0)),""))</f>
        <v>Harris</v>
      </c>
      <c r="E12" t="str">
        <f>IF(A12="","",IFERROR(INDEX(tblReg[Team],MATCH(A12,tblReg[Bib],0)),""))</f>
        <v>Nomad CC</v>
      </c>
      <c r="F12" s="4">
        <v>7.1759259259259259E-2</v>
      </c>
      <c r="G12">
        <f t="shared" si="0"/>
        <v>6200</v>
      </c>
      <c r="H12">
        <f t="shared" si="1"/>
        <v>6</v>
      </c>
      <c r="I12">
        <f>IF(H12="",0,IFERROR(INDEX(Config!$I$4:$I$6,MATCH(H12,Config!$H$4:$H$6,0)),0))</f>
        <v>0</v>
      </c>
      <c r="J12">
        <f t="shared" si="2"/>
        <v>6200</v>
      </c>
      <c r="K12" s="5">
        <f t="shared" si="3"/>
        <v>7.1759259259259259E-2</v>
      </c>
      <c r="L12">
        <f>IF(A12="",999,IFERROR(MATCH(B12,Config!$A$4:$A$7,0),99)*10+IF(ISNUMBER(F12),1,IF(F12="",2,IF(UPPER(F12)="DNF",3,IF(UPPER(F12)="DNS",4,8)))))</f>
        <v>21</v>
      </c>
    </row>
    <row r="13" spans="1:15" x14ac:dyDescent="0.25">
      <c r="A13">
        <v>52</v>
      </c>
      <c r="B13" t="str">
        <f>IF(A13="","",IFERROR(INDEX(tblReg[Field],MATCH(A13,tblReg[Bib],0)),""))</f>
        <v>Men 40+</v>
      </c>
      <c r="C13" t="str">
        <f>IF(A13="","",IFERROR(INDEX(tblReg[FirstName],MATCH(A13,tblReg[Bib],0)),""))</f>
        <v>Aria</v>
      </c>
      <c r="D13" t="str">
        <f>IF(A13="","",IFERROR(INDEX(tblReg[LastName],MATCH(A13,tblReg[Bib],0)),""))</f>
        <v>Thomas</v>
      </c>
      <c r="E13" t="str">
        <f>IF(A13="","",IFERROR(INDEX(tblReg[Team],MATCH(A13,tblReg[Bib],0)),""))</f>
        <v>Nomad CC</v>
      </c>
      <c r="F13" s="4">
        <v>7.829861111111111E-2</v>
      </c>
      <c r="G13">
        <f t="shared" si="0"/>
        <v>6765</v>
      </c>
      <c r="H13">
        <f t="shared" si="1"/>
        <v>9</v>
      </c>
      <c r="I13">
        <f>IF(H13="",0,IFERROR(INDEX(Config!$I$4:$I$6,MATCH(H13,Config!$H$4:$H$6,0)),0))</f>
        <v>0</v>
      </c>
      <c r="J13">
        <f t="shared" si="2"/>
        <v>6765</v>
      </c>
      <c r="K13" s="5">
        <f t="shared" si="3"/>
        <v>7.829861111111111E-2</v>
      </c>
      <c r="L13">
        <f>IF(A13="",999,IFERROR(MATCH(B13,Config!$A$4:$A$7,0),99)*10+IF(ISNUMBER(F13),1,IF(F13="",2,IF(UPPER(F13)="DNF",3,IF(UPPER(F13)="DNS",4,8)))))</f>
        <v>21</v>
      </c>
    </row>
    <row r="14" spans="1:15" x14ac:dyDescent="0.25">
      <c r="A14">
        <v>53</v>
      </c>
      <c r="B14" t="str">
        <f>IF(A14="","",IFERROR(INDEX(tblReg[Field],MATCH(A14,tblReg[Bib],0)),""))</f>
        <v>Men 40+</v>
      </c>
      <c r="C14" t="str">
        <f>IF(A14="","",IFERROR(INDEX(tblReg[FirstName],MATCH(A14,tblReg[Bib],0)),""))</f>
        <v>Ethan</v>
      </c>
      <c r="D14" t="str">
        <f>IF(A14="","",IFERROR(INDEX(tblReg[LastName],MATCH(A14,tblReg[Bib],0)),""))</f>
        <v>Moore</v>
      </c>
      <c r="E14" t="str">
        <f>IF(A14="","",IFERROR(INDEX(tblReg[Team],MATCH(A14,tblReg[Bib],0)),""))</f>
        <v>Northwind Velo</v>
      </c>
      <c r="F14" s="4">
        <v>6.6192129629629629E-2</v>
      </c>
      <c r="G14">
        <f t="shared" si="0"/>
        <v>5719</v>
      </c>
      <c r="H14">
        <f t="shared" si="1"/>
        <v>1</v>
      </c>
      <c r="I14">
        <f>IF(H14="",0,IFERROR(INDEX(Config!$I$4:$I$6,MATCH(H14,Config!$H$4:$H$6,0)),0))</f>
        <v>10</v>
      </c>
      <c r="J14">
        <f t="shared" si="2"/>
        <v>5709</v>
      </c>
      <c r="K14" s="5">
        <f t="shared" si="3"/>
        <v>6.6076388888888893E-2</v>
      </c>
      <c r="L14">
        <f>IF(A14="",999,IFERROR(MATCH(B14,Config!$A$4:$A$7,0),99)*10+IF(ISNUMBER(F14),1,IF(F14="",2,IF(UPPER(F14)="DNF",3,IF(UPPER(F14)="DNS",4,8)))))</f>
        <v>21</v>
      </c>
    </row>
    <row r="15" spans="1:15" x14ac:dyDescent="0.25">
      <c r="A15">
        <v>54</v>
      </c>
      <c r="B15" t="str">
        <f>IF(A15="","",IFERROR(INDEX(tblReg[Field],MATCH(A15,tblReg[Bib],0)),""))</f>
        <v>Men 40+</v>
      </c>
      <c r="C15" t="str">
        <f>IF(A15="","",IFERROR(INDEX(tblReg[FirstName],MATCH(A15,tblReg[Bib],0)),""))</f>
        <v>Lena</v>
      </c>
      <c r="D15" t="str">
        <f>IF(A15="","",IFERROR(INDEX(tblReg[LastName],MATCH(A15,tblReg[Bib],0)),""))</f>
        <v>Anderson</v>
      </c>
      <c r="E15" t="str">
        <f>IF(A15="","",IFERROR(INDEX(tblReg[Team],MATCH(A15,tblReg[Bib],0)),""))</f>
        <v>Nomad CC</v>
      </c>
      <c r="F15" s="4">
        <v>6.8321759259259263E-2</v>
      </c>
      <c r="G15">
        <f t="shared" si="0"/>
        <v>5903</v>
      </c>
      <c r="H15">
        <f t="shared" si="1"/>
        <v>3</v>
      </c>
      <c r="I15">
        <f>IF(H15="",0,IFERROR(INDEX(Config!$I$4:$I$6,MATCH(H15,Config!$H$4:$H$6,0)),0))</f>
        <v>4</v>
      </c>
      <c r="J15">
        <f t="shared" si="2"/>
        <v>5899</v>
      </c>
      <c r="K15" s="5">
        <f t="shared" si="3"/>
        <v>6.8275462962962968E-2</v>
      </c>
      <c r="L15">
        <f>IF(A15="",999,IFERROR(MATCH(B15,Config!$A$4:$A$7,0),99)*10+IF(ISNUMBER(F15),1,IF(F15="",2,IF(UPPER(F15)="DNF",3,IF(UPPER(F15)="DNS",4,8)))))</f>
        <v>21</v>
      </c>
    </row>
    <row r="16" spans="1:15" x14ac:dyDescent="0.25">
      <c r="A16">
        <v>55</v>
      </c>
      <c r="B16" t="str">
        <f>IF(A16="","",IFERROR(INDEX(tblReg[Field],MATCH(A16,tblReg[Bib],0)),""))</f>
        <v>Men 40+</v>
      </c>
      <c r="C16" t="str">
        <f>IF(A16="","",IFERROR(INDEX(tblReg[FirstName],MATCH(A16,tblReg[Bib],0)),""))</f>
        <v>Noah</v>
      </c>
      <c r="D16" t="str">
        <f>IF(A16="","",IFERROR(INDEX(tblReg[LastName],MATCH(A16,tblReg[Bib],0)),""))</f>
        <v>Martinez</v>
      </c>
      <c r="E16" t="str">
        <f>IF(A16="","",IFERROR(INDEX(tblReg[Team],MATCH(A16,tblReg[Bib],0)),""))</f>
        <v>City Sprint</v>
      </c>
      <c r="F16" s="4">
        <v>7.6180555555555557E-2</v>
      </c>
      <c r="G16">
        <f t="shared" si="0"/>
        <v>6582</v>
      </c>
      <c r="H16">
        <f t="shared" si="1"/>
        <v>8</v>
      </c>
      <c r="I16">
        <f>IF(H16="",0,IFERROR(INDEX(Config!$I$4:$I$6,MATCH(H16,Config!$H$4:$H$6,0)),0))</f>
        <v>0</v>
      </c>
      <c r="J16">
        <f t="shared" si="2"/>
        <v>6582</v>
      </c>
      <c r="K16" s="5">
        <f t="shared" si="3"/>
        <v>7.6180555555555557E-2</v>
      </c>
      <c r="L16">
        <f>IF(A16="",999,IFERROR(MATCH(B16,Config!$A$4:$A$7,0),99)*10+IF(ISNUMBER(F16),1,IF(F16="",2,IF(UPPER(F16)="DNF",3,IF(UPPER(F16)="DNS",4,8)))))</f>
        <v>21</v>
      </c>
    </row>
    <row r="17" spans="1:12" x14ac:dyDescent="0.25">
      <c r="A17">
        <v>56</v>
      </c>
      <c r="B17" t="str">
        <f>IF(A17="","",IFERROR(INDEX(tblReg[Field],MATCH(A17,tblReg[Bib],0)),""))</f>
        <v>Men 40+</v>
      </c>
      <c r="C17" t="str">
        <f>IF(A17="","",IFERROR(INDEX(tblReg[FirstName],MATCH(A17,tblReg[Bib],0)),""))</f>
        <v>Noah</v>
      </c>
      <c r="D17" t="str">
        <f>IF(A17="","",IFERROR(INDEX(tblReg[LastName],MATCH(A17,tblReg[Bib],0)),""))</f>
        <v>Thomas</v>
      </c>
      <c r="E17" t="str">
        <f>IF(A17="","",IFERROR(INDEX(tblReg[Team],MATCH(A17,tblReg[Bib],0)),""))</f>
        <v>Apex Cycling</v>
      </c>
      <c r="F17" s="4">
        <v>6.7581018518518512E-2</v>
      </c>
      <c r="G17">
        <f t="shared" si="0"/>
        <v>5839</v>
      </c>
      <c r="H17">
        <f t="shared" si="1"/>
        <v>2</v>
      </c>
      <c r="I17">
        <f>IF(H17="",0,IFERROR(INDEX(Config!$I$4:$I$6,MATCH(H17,Config!$H$4:$H$6,0)),0))</f>
        <v>6</v>
      </c>
      <c r="J17">
        <f t="shared" si="2"/>
        <v>5833</v>
      </c>
      <c r="K17" s="5">
        <f t="shared" si="3"/>
        <v>6.7511574074074071E-2</v>
      </c>
      <c r="L17">
        <f>IF(A17="",999,IFERROR(MATCH(B17,Config!$A$4:$A$7,0),99)*10+IF(ISNUMBER(F17),1,IF(F17="",2,IF(UPPER(F17)="DNF",3,IF(UPPER(F17)="DNS",4,8)))))</f>
        <v>21</v>
      </c>
    </row>
    <row r="18" spans="1:12" x14ac:dyDescent="0.25">
      <c r="A18">
        <v>57</v>
      </c>
      <c r="B18" t="str">
        <f>IF(A18="","",IFERROR(INDEX(tblReg[Field],MATCH(A18,tblReg[Bib],0)),""))</f>
        <v>Men 40+</v>
      </c>
      <c r="C18" t="str">
        <f>IF(A18="","",IFERROR(INDEX(tblReg[FirstName],MATCH(A18,tblReg[Bib],0)),""))</f>
        <v>Liam</v>
      </c>
      <c r="D18" t="str">
        <f>IF(A18="","",IFERROR(INDEX(tblReg[LastName],MATCH(A18,tblReg[Bib],0)),""))</f>
        <v>Moore</v>
      </c>
      <c r="E18" t="str">
        <f>IF(A18="","",IFERROR(INDEX(tblReg[Team],MATCH(A18,tblReg[Bib],0)),""))</f>
        <v>Nomad CC</v>
      </c>
      <c r="F18" s="4">
        <v>7.4143518518518525E-2</v>
      </c>
      <c r="G18">
        <f t="shared" si="0"/>
        <v>6406</v>
      </c>
      <c r="H18">
        <f t="shared" si="1"/>
        <v>7</v>
      </c>
      <c r="I18">
        <f>IF(H18="",0,IFERROR(INDEX(Config!$I$4:$I$6,MATCH(H18,Config!$H$4:$H$6,0)),0))</f>
        <v>0</v>
      </c>
      <c r="J18">
        <f t="shared" si="2"/>
        <v>6406</v>
      </c>
      <c r="K18" s="5">
        <f t="shared" si="3"/>
        <v>7.4143518518518525E-2</v>
      </c>
      <c r="L18">
        <f>IF(A18="",999,IFERROR(MATCH(B18,Config!$A$4:$A$7,0),99)*10+IF(ISNUMBER(F18),1,IF(F18="",2,IF(UPPER(F18)="DNF",3,IF(UPPER(F18)="DNS",4,8)))))</f>
        <v>21</v>
      </c>
    </row>
    <row r="19" spans="1:12" x14ac:dyDescent="0.25">
      <c r="A19">
        <v>58</v>
      </c>
      <c r="B19" t="str">
        <f>IF(A19="","",IFERROR(INDEX(tblReg[Field],MATCH(A19,tblReg[Bib],0)),""))</f>
        <v>Men 40+</v>
      </c>
      <c r="C19" t="str">
        <f>IF(A19="","",IFERROR(INDEX(tblReg[FirstName],MATCH(A19,tblReg[Bib],0)),""))</f>
        <v>Ava</v>
      </c>
      <c r="D19" t="str">
        <f>IF(A19="","",IFERROR(INDEX(tblReg[LastName],MATCH(A19,tblReg[Bib],0)),""))</f>
        <v>Kim</v>
      </c>
      <c r="E19" t="str">
        <f>IF(A19="","",IFERROR(INDEX(tblReg[Team],MATCH(A19,tblReg[Bib],0)),""))</f>
        <v>Northwind Velo</v>
      </c>
      <c r="F19" s="4">
        <v>6.8437499999999998E-2</v>
      </c>
      <c r="G19">
        <f t="shared" si="0"/>
        <v>5913</v>
      </c>
      <c r="H19">
        <f t="shared" si="1"/>
        <v>4</v>
      </c>
      <c r="I19">
        <f>IF(H19="",0,IFERROR(INDEX(Config!$I$4:$I$6,MATCH(H19,Config!$H$4:$H$6,0)),0))</f>
        <v>0</v>
      </c>
      <c r="J19">
        <f t="shared" si="2"/>
        <v>5913</v>
      </c>
      <c r="K19" s="5">
        <f t="shared" si="3"/>
        <v>6.8437499999999998E-2</v>
      </c>
      <c r="L19">
        <f>IF(A19="",999,IFERROR(MATCH(B19,Config!$A$4:$A$7,0),99)*10+IF(ISNUMBER(F19),1,IF(F19="",2,IF(UPPER(F19)="DNF",3,IF(UPPER(F19)="DNS",4,8)))))</f>
        <v>21</v>
      </c>
    </row>
    <row r="20" spans="1:12" x14ac:dyDescent="0.25">
      <c r="A20">
        <v>59</v>
      </c>
      <c r="B20" t="str">
        <f>IF(A20="","",IFERROR(INDEX(tblReg[Field],MATCH(A20,tblReg[Bib],0)),""))</f>
        <v>Men 40+</v>
      </c>
      <c r="C20" t="str">
        <f>IF(A20="","",IFERROR(INDEX(tblReg[FirstName],MATCH(A20,tblReg[Bib],0)),""))</f>
        <v>Leo</v>
      </c>
      <c r="D20" t="str">
        <f>IF(A20="","",IFERROR(INDEX(tblReg[LastName],MATCH(A20,tblReg[Bib],0)),""))</f>
        <v>Kim</v>
      </c>
      <c r="E20" t="str">
        <f>IF(A20="","",IFERROR(INDEX(tblReg[Team],MATCH(A20,tblReg[Bib],0)),""))</f>
        <v>Summit Wheels</v>
      </c>
      <c r="F20" s="4" t="s">
        <v>115</v>
      </c>
      <c r="G20" t="str">
        <f t="shared" si="0"/>
        <v/>
      </c>
      <c r="H20" t="str">
        <f t="shared" si="1"/>
        <v/>
      </c>
      <c r="I20">
        <f>IF(H20="",0,IFERROR(INDEX(Config!$I$4:$I$6,MATCH(H20,Config!$H$4:$H$6,0)),0))</f>
        <v>0</v>
      </c>
      <c r="J20" t="str">
        <f t="shared" si="2"/>
        <v/>
      </c>
      <c r="K20" s="5" t="str">
        <f t="shared" si="3"/>
        <v/>
      </c>
      <c r="L20">
        <f>IF(A20="",999,IFERROR(MATCH(B20,Config!$A$4:$A$7,0),99)*10+IF(ISNUMBER(F20),1,IF(F20="",2,IF(UPPER(F20)="DNF",3,IF(UPPER(F20)="DNS",4,8)))))</f>
        <v>24</v>
      </c>
    </row>
    <row r="21" spans="1:12" x14ac:dyDescent="0.25">
      <c r="A21">
        <v>60</v>
      </c>
      <c r="B21" t="str">
        <f>IF(A21="","",IFERROR(INDEX(tblReg[Field],MATCH(A21,tblReg[Bib],0)),""))</f>
        <v>Men 40+</v>
      </c>
      <c r="C21" t="str">
        <f>IF(A21="","",IFERROR(INDEX(tblReg[FirstName],MATCH(A21,tblReg[Bib],0)),""))</f>
        <v>Ruby</v>
      </c>
      <c r="D21" t="str">
        <f>IF(A21="","",IFERROR(INDEX(tblReg[LastName],MATCH(A21,tblReg[Bib],0)),""))</f>
        <v>Miller</v>
      </c>
      <c r="E21" t="str">
        <f>IF(A21="","",IFERROR(INDEX(tblReg[Team],MATCH(A21,tblReg[Bib],0)),""))</f>
        <v>Northwind Velo</v>
      </c>
      <c r="F21" s="4">
        <v>7.0162037037037037E-2</v>
      </c>
      <c r="G21">
        <f t="shared" si="0"/>
        <v>6062</v>
      </c>
      <c r="H21">
        <f t="shared" si="1"/>
        <v>5</v>
      </c>
      <c r="I21">
        <f>IF(H21="",0,IFERROR(INDEX(Config!$I$4:$I$6,MATCH(H21,Config!$H$4:$H$6,0)),0))</f>
        <v>0</v>
      </c>
      <c r="J21">
        <f t="shared" si="2"/>
        <v>6062</v>
      </c>
      <c r="K21" s="5">
        <f t="shared" si="3"/>
        <v>7.0162037037037037E-2</v>
      </c>
      <c r="L21">
        <f>IF(A21="",999,IFERROR(MATCH(B21,Config!$A$4:$A$7,0),99)*10+IF(ISNUMBER(F21),1,IF(F21="",2,IF(UPPER(F21)="DNF",3,IF(UPPER(F21)="DNS",4,8)))))</f>
        <v>21</v>
      </c>
    </row>
    <row r="22" spans="1:12" x14ac:dyDescent="0.25">
      <c r="A22">
        <v>101</v>
      </c>
      <c r="B22" t="str">
        <f>IF(A22="","",IFERROR(INDEX(tblReg[Field],MATCH(A22,tblReg[Bib],0)),""))</f>
        <v>Men 50+</v>
      </c>
      <c r="C22" t="str">
        <f>IF(A22="","",IFERROR(INDEX(tblReg[FirstName],MATCH(A22,tblReg[Bib],0)),""))</f>
        <v>Alex</v>
      </c>
      <c r="D22" t="str">
        <f>IF(A22="","",IFERROR(INDEX(tblReg[LastName],MATCH(A22,tblReg[Bib],0)),""))</f>
        <v>Taylor</v>
      </c>
      <c r="E22" t="str">
        <f>IF(A22="","",IFERROR(INDEX(tblReg[Team],MATCH(A22,tblReg[Bib],0)),""))</f>
        <v>Northwind Velo</v>
      </c>
      <c r="F22" s="4">
        <v>7.2766203703703708E-2</v>
      </c>
      <c r="G22">
        <f t="shared" si="0"/>
        <v>6287</v>
      </c>
      <c r="H22">
        <f t="shared" si="1"/>
        <v>3</v>
      </c>
      <c r="I22">
        <f>IF(H22="",0,IFERROR(INDEX(Config!$I$4:$I$6,MATCH(H22,Config!$H$4:$H$6,0)),0))</f>
        <v>4</v>
      </c>
      <c r="J22">
        <f t="shared" si="2"/>
        <v>6283</v>
      </c>
      <c r="K22" s="5">
        <f t="shared" si="3"/>
        <v>7.2719907407407414E-2</v>
      </c>
      <c r="L22">
        <f>IF(A22="",999,IFERROR(MATCH(B22,Config!$A$4:$A$7,0),99)*10+IF(ISNUMBER(F22),1,IF(F22="",2,IF(UPPER(F22)="DNF",3,IF(UPPER(F22)="DNS",4,8)))))</f>
        <v>31</v>
      </c>
    </row>
    <row r="23" spans="1:12" x14ac:dyDescent="0.25">
      <c r="A23">
        <v>102</v>
      </c>
      <c r="B23" t="str">
        <f>IF(A23="","",IFERROR(INDEX(tblReg[Field],MATCH(A23,tblReg[Bib],0)),""))</f>
        <v>Men 50+</v>
      </c>
      <c r="C23" t="str">
        <f>IF(A23="","",IFERROR(INDEX(tblReg[FirstName],MATCH(A23,tblReg[Bib],0)),""))</f>
        <v>Ivy</v>
      </c>
      <c r="D23" t="str">
        <f>IF(A23="","",IFERROR(INDEX(tblReg[LastName],MATCH(A23,tblReg[Bib],0)),""))</f>
        <v>Johnson</v>
      </c>
      <c r="E23" t="str">
        <f>IF(A23="","",IFERROR(INDEX(tblReg[Team],MATCH(A23,tblReg[Bib],0)),""))</f>
        <v>City Sprint</v>
      </c>
      <c r="F23" s="4">
        <v>7.6481481481481484E-2</v>
      </c>
      <c r="G23">
        <f t="shared" si="0"/>
        <v>6608</v>
      </c>
      <c r="H23">
        <f t="shared" si="1"/>
        <v>10</v>
      </c>
      <c r="I23">
        <f>IF(H23="",0,IFERROR(INDEX(Config!$I$4:$I$6,MATCH(H23,Config!$H$4:$H$6,0)),0))</f>
        <v>0</v>
      </c>
      <c r="J23">
        <f t="shared" si="2"/>
        <v>6608</v>
      </c>
      <c r="K23" s="5">
        <f t="shared" si="3"/>
        <v>7.6481481481481484E-2</v>
      </c>
      <c r="L23">
        <f>IF(A23="",999,IFERROR(MATCH(B23,Config!$A$4:$A$7,0),99)*10+IF(ISNUMBER(F23),1,IF(F23="",2,IF(UPPER(F23)="DNF",3,IF(UPPER(F23)="DNS",4,8)))))</f>
        <v>31</v>
      </c>
    </row>
    <row r="24" spans="1:12" x14ac:dyDescent="0.25">
      <c r="A24">
        <v>103</v>
      </c>
      <c r="B24" t="str">
        <f>IF(A24="","",IFERROR(INDEX(tblReg[Field],MATCH(A24,tblReg[Bib],0)),""))</f>
        <v>Men 50+</v>
      </c>
      <c r="C24" t="str">
        <f>IF(A24="","",IFERROR(INDEX(tblReg[FirstName],MATCH(A24,tblReg[Bib],0)),""))</f>
        <v>Ethan</v>
      </c>
      <c r="D24" t="str">
        <f>IF(A24="","",IFERROR(INDEX(tblReg[LastName],MATCH(A24,tblReg[Bib],0)),""))</f>
        <v>Lewis</v>
      </c>
      <c r="E24" t="str">
        <f>IF(A24="","",IFERROR(INDEX(tblReg[Team],MATCH(A24,tblReg[Bib],0)),""))</f>
        <v>Apex Cycling</v>
      </c>
      <c r="F24" s="4">
        <v>7.3287037037037039E-2</v>
      </c>
      <c r="G24">
        <f t="shared" si="0"/>
        <v>6332</v>
      </c>
      <c r="H24">
        <f t="shared" si="1"/>
        <v>4</v>
      </c>
      <c r="I24">
        <f>IF(H24="",0,IFERROR(INDEX(Config!$I$4:$I$6,MATCH(H24,Config!$H$4:$H$6,0)),0))</f>
        <v>0</v>
      </c>
      <c r="J24">
        <f t="shared" si="2"/>
        <v>6332</v>
      </c>
      <c r="K24" s="5">
        <f t="shared" si="3"/>
        <v>7.3287037037037039E-2</v>
      </c>
      <c r="L24">
        <f>IF(A24="",999,IFERROR(MATCH(B24,Config!$A$4:$A$7,0),99)*10+IF(ISNUMBER(F24),1,IF(F24="",2,IF(UPPER(F24)="DNF",3,IF(UPPER(F24)="DNS",4,8)))))</f>
        <v>31</v>
      </c>
    </row>
    <row r="25" spans="1:12" x14ac:dyDescent="0.25">
      <c r="A25">
        <v>104</v>
      </c>
      <c r="B25" t="str">
        <f>IF(A25="","",IFERROR(INDEX(tblReg[Field],MATCH(A25,tblReg[Bib],0)),""))</f>
        <v>Men 50+</v>
      </c>
      <c r="C25" t="str">
        <f>IF(A25="","",IFERROR(INDEX(tblReg[FirstName],MATCH(A25,tblReg[Bib],0)),""))</f>
        <v>Noah</v>
      </c>
      <c r="D25" t="str">
        <f>IF(A25="","",IFERROR(INDEX(tblReg[LastName],MATCH(A25,tblReg[Bib],0)),""))</f>
        <v>Smith</v>
      </c>
      <c r="E25" t="str">
        <f>IF(A25="","",IFERROR(INDEX(tblReg[Team],MATCH(A25,tblReg[Bib],0)),""))</f>
        <v>Northwind Velo</v>
      </c>
      <c r="F25" s="4">
        <v>7.5324074074074071E-2</v>
      </c>
      <c r="G25">
        <f t="shared" si="0"/>
        <v>6508</v>
      </c>
      <c r="H25">
        <f t="shared" si="1"/>
        <v>8</v>
      </c>
      <c r="I25">
        <f>IF(H25="",0,IFERROR(INDEX(Config!$I$4:$I$6,MATCH(H25,Config!$H$4:$H$6,0)),0))</f>
        <v>0</v>
      </c>
      <c r="J25">
        <f t="shared" si="2"/>
        <v>6508</v>
      </c>
      <c r="K25" s="5">
        <f t="shared" si="3"/>
        <v>7.5324074074074071E-2</v>
      </c>
      <c r="L25">
        <f>IF(A25="",999,IFERROR(MATCH(B25,Config!$A$4:$A$7,0),99)*10+IF(ISNUMBER(F25),1,IF(F25="",2,IF(UPPER(F25)="DNF",3,IF(UPPER(F25)="DNS",4,8)))))</f>
        <v>31</v>
      </c>
    </row>
    <row r="26" spans="1:12" x14ac:dyDescent="0.25">
      <c r="A26">
        <v>105</v>
      </c>
      <c r="B26" t="str">
        <f>IF(A26="","",IFERROR(INDEX(tblReg[Field],MATCH(A26,tblReg[Bib],0)),""))</f>
        <v>Men 50+</v>
      </c>
      <c r="C26" t="str">
        <f>IF(A26="","",IFERROR(INDEX(tblReg[FirstName],MATCH(A26,tblReg[Bib],0)),""))</f>
        <v>Ruby</v>
      </c>
      <c r="D26" t="str">
        <f>IF(A26="","",IFERROR(INDEX(tblReg[LastName],MATCH(A26,tblReg[Bib],0)),""))</f>
        <v>Moore</v>
      </c>
      <c r="E26" t="str">
        <f>IF(A26="","",IFERROR(INDEX(tblReg[Team],MATCH(A26,tblReg[Bib],0)),""))</f>
        <v>Northwind Velo</v>
      </c>
      <c r="F26" s="4">
        <v>7.2187500000000002E-2</v>
      </c>
      <c r="G26">
        <f t="shared" si="0"/>
        <v>6237</v>
      </c>
      <c r="H26">
        <f t="shared" si="1"/>
        <v>2</v>
      </c>
      <c r="I26">
        <f>IF(H26="",0,IFERROR(INDEX(Config!$I$4:$I$6,MATCH(H26,Config!$H$4:$H$6,0)),0))</f>
        <v>6</v>
      </c>
      <c r="J26">
        <f t="shared" si="2"/>
        <v>6231</v>
      </c>
      <c r="K26" s="5">
        <f t="shared" si="3"/>
        <v>7.211805555555556E-2</v>
      </c>
      <c r="L26">
        <f>IF(A26="",999,IFERROR(MATCH(B26,Config!$A$4:$A$7,0),99)*10+IF(ISNUMBER(F26),1,IF(F26="",2,IF(UPPER(F26)="DNF",3,IF(UPPER(F26)="DNS",4,8)))))</f>
        <v>31</v>
      </c>
    </row>
    <row r="27" spans="1:12" x14ac:dyDescent="0.25">
      <c r="A27">
        <v>106</v>
      </c>
      <c r="B27" t="str">
        <f>IF(A27="","",IFERROR(INDEX(tblReg[Field],MATCH(A27,tblReg[Bib],0)),""))</f>
        <v>Men 50+</v>
      </c>
      <c r="C27" t="str">
        <f>IF(A27="","",IFERROR(INDEX(tblReg[FirstName],MATCH(A27,tblReg[Bib],0)),""))</f>
        <v>Owen</v>
      </c>
      <c r="D27" t="str">
        <f>IF(A27="","",IFERROR(INDEX(tblReg[LastName],MATCH(A27,tblReg[Bib],0)),""))</f>
        <v>Martinez</v>
      </c>
      <c r="E27" t="str">
        <f>IF(A27="","",IFERROR(INDEX(tblReg[Team],MATCH(A27,tblReg[Bib],0)),""))</f>
        <v>Rapid Chain</v>
      </c>
      <c r="F27" s="4">
        <v>7.5393518518518512E-2</v>
      </c>
      <c r="G27">
        <f t="shared" si="0"/>
        <v>6514</v>
      </c>
      <c r="H27">
        <f t="shared" si="1"/>
        <v>9</v>
      </c>
      <c r="I27">
        <f>IF(H27="",0,IFERROR(INDEX(Config!$I$4:$I$6,MATCH(H27,Config!$H$4:$H$6,0)),0))</f>
        <v>0</v>
      </c>
      <c r="J27">
        <f t="shared" si="2"/>
        <v>6514</v>
      </c>
      <c r="K27" s="5">
        <f t="shared" si="3"/>
        <v>7.5393518518518512E-2</v>
      </c>
      <c r="L27">
        <f>IF(A27="",999,IFERROR(MATCH(B27,Config!$A$4:$A$7,0),99)*10+IF(ISNUMBER(F27),1,IF(F27="",2,IF(UPPER(F27)="DNF",3,IF(UPPER(F27)="DNS",4,8)))))</f>
        <v>31</v>
      </c>
    </row>
    <row r="28" spans="1:12" x14ac:dyDescent="0.25">
      <c r="A28">
        <v>107</v>
      </c>
      <c r="B28" t="str">
        <f>IF(A28="","",IFERROR(INDEX(tblReg[Field],MATCH(A28,tblReg[Bib],0)),""))</f>
        <v>Men 50+</v>
      </c>
      <c r="C28" t="str">
        <f>IF(A28="","",IFERROR(INDEX(tblReg[FirstName],MATCH(A28,tblReg[Bib],0)),""))</f>
        <v>Jude</v>
      </c>
      <c r="D28" t="str">
        <f>IF(A28="","",IFERROR(INDEX(tblReg[LastName],MATCH(A28,tblReg[Bib],0)),""))</f>
        <v>Clark</v>
      </c>
      <c r="E28" t="str">
        <f>IF(A28="","",IFERROR(INDEX(tblReg[Team],MATCH(A28,tblReg[Bib],0)),""))</f>
        <v>Northwind Velo</v>
      </c>
      <c r="F28" s="4">
        <v>7.3761574074074077E-2</v>
      </c>
      <c r="G28">
        <f t="shared" si="0"/>
        <v>6373</v>
      </c>
      <c r="H28">
        <f t="shared" si="1"/>
        <v>7</v>
      </c>
      <c r="I28">
        <f>IF(H28="",0,IFERROR(INDEX(Config!$I$4:$I$6,MATCH(H28,Config!$H$4:$H$6,0)),0))</f>
        <v>0</v>
      </c>
      <c r="J28">
        <f t="shared" si="2"/>
        <v>6373</v>
      </c>
      <c r="K28" s="5">
        <f t="shared" si="3"/>
        <v>7.3761574074074077E-2</v>
      </c>
      <c r="L28">
        <f>IF(A28="",999,IFERROR(MATCH(B28,Config!$A$4:$A$7,0),99)*10+IF(ISNUMBER(F28),1,IF(F28="",2,IF(UPPER(F28)="DNF",3,IF(UPPER(F28)="DNS",4,8)))))</f>
        <v>31</v>
      </c>
    </row>
    <row r="29" spans="1:12" x14ac:dyDescent="0.25">
      <c r="A29">
        <v>108</v>
      </c>
      <c r="B29" t="str">
        <f>IF(A29="","",IFERROR(INDEX(tblReg[Field],MATCH(A29,tblReg[Bib],0)),""))</f>
        <v>Men 50+</v>
      </c>
      <c r="C29" t="str">
        <f>IF(A29="","",IFERROR(INDEX(tblReg[FirstName],MATCH(A29,tblReg[Bib],0)),""))</f>
        <v>Ruby</v>
      </c>
      <c r="D29" t="str">
        <f>IF(A29="","",IFERROR(INDEX(tblReg[LastName],MATCH(A29,tblReg[Bib],0)),""))</f>
        <v>Anderson</v>
      </c>
      <c r="E29" t="str">
        <f>IF(A29="","",IFERROR(INDEX(tblReg[Team],MATCH(A29,tblReg[Bib],0)),""))</f>
        <v>Rapid Chain</v>
      </c>
      <c r="F29" s="4">
        <v>7.3310185185185187E-2</v>
      </c>
      <c r="G29">
        <f t="shared" si="0"/>
        <v>6334</v>
      </c>
      <c r="H29">
        <f t="shared" si="1"/>
        <v>5</v>
      </c>
      <c r="I29">
        <f>IF(H29="",0,IFERROR(INDEX(Config!$I$4:$I$6,MATCH(H29,Config!$H$4:$H$6,0)),0))</f>
        <v>0</v>
      </c>
      <c r="J29">
        <f t="shared" si="2"/>
        <v>6334</v>
      </c>
      <c r="K29" s="5">
        <f t="shared" si="3"/>
        <v>7.3310185185185187E-2</v>
      </c>
      <c r="L29">
        <f>IF(A29="",999,IFERROR(MATCH(B29,Config!$A$4:$A$7,0),99)*10+IF(ISNUMBER(F29),1,IF(F29="",2,IF(UPPER(F29)="DNF",3,IF(UPPER(F29)="DNS",4,8)))))</f>
        <v>31</v>
      </c>
    </row>
    <row r="30" spans="1:12" x14ac:dyDescent="0.25">
      <c r="A30">
        <v>109</v>
      </c>
      <c r="B30" t="str">
        <f>IF(A30="","",IFERROR(INDEX(tblReg[Field],MATCH(A30,tblReg[Bib],0)),""))</f>
        <v>Men 50+</v>
      </c>
      <c r="C30" t="str">
        <f>IF(A30="","",IFERROR(INDEX(tblReg[FirstName],MATCH(A30,tblReg[Bib],0)),""))</f>
        <v>Sofia</v>
      </c>
      <c r="D30" t="str">
        <f>IF(A30="","",IFERROR(INDEX(tblReg[LastName],MATCH(A30,tblReg[Bib],0)),""))</f>
        <v>Brown</v>
      </c>
      <c r="E30" t="str">
        <f>IF(A30="","",IFERROR(INDEX(tblReg[Team],MATCH(A30,tblReg[Bib],0)),""))</f>
        <v>Apex Cycling</v>
      </c>
      <c r="F30" s="4">
        <v>7.3506944444444444E-2</v>
      </c>
      <c r="G30">
        <f t="shared" si="0"/>
        <v>6351</v>
      </c>
      <c r="H30">
        <f t="shared" si="1"/>
        <v>6</v>
      </c>
      <c r="I30">
        <f>IF(H30="",0,IFERROR(INDEX(Config!$I$4:$I$6,MATCH(H30,Config!$H$4:$H$6,0)),0))</f>
        <v>0</v>
      </c>
      <c r="J30">
        <f t="shared" si="2"/>
        <v>6351</v>
      </c>
      <c r="K30" s="5">
        <f t="shared" si="3"/>
        <v>7.3506944444444444E-2</v>
      </c>
      <c r="L30">
        <f>IF(A30="",999,IFERROR(MATCH(B30,Config!$A$4:$A$7,0),99)*10+IF(ISNUMBER(F30),1,IF(F30="",2,IF(UPPER(F30)="DNF",3,IF(UPPER(F30)="DNS",4,8)))))</f>
        <v>31</v>
      </c>
    </row>
    <row r="31" spans="1:12" x14ac:dyDescent="0.25">
      <c r="A31">
        <v>110</v>
      </c>
      <c r="B31" t="str">
        <f>IF(A31="","",IFERROR(INDEX(tblReg[Field],MATCH(A31,tblReg[Bib],0)),""))</f>
        <v>Men 50+</v>
      </c>
      <c r="C31" t="str">
        <f>IF(A31="","",IFERROR(INDEX(tblReg[FirstName],MATCH(A31,tblReg[Bib],0)),""))</f>
        <v>Emma</v>
      </c>
      <c r="D31" t="str">
        <f>IF(A31="","",IFERROR(INDEX(tblReg[LastName],MATCH(A31,tblReg[Bib],0)),""))</f>
        <v>Moore</v>
      </c>
      <c r="E31" t="str">
        <f>IF(A31="","",IFERROR(INDEX(tblReg[Team],MATCH(A31,tblReg[Bib],0)),""))</f>
        <v>Summit Wheels</v>
      </c>
      <c r="F31" s="4">
        <v>6.8865740740740741E-2</v>
      </c>
      <c r="G31">
        <f t="shared" si="0"/>
        <v>5950</v>
      </c>
      <c r="H31">
        <f t="shared" si="1"/>
        <v>1</v>
      </c>
      <c r="I31">
        <f>IF(H31="",0,IFERROR(INDEX(Config!$I$4:$I$6,MATCH(H31,Config!$H$4:$H$6,0)),0))</f>
        <v>10</v>
      </c>
      <c r="J31">
        <f t="shared" si="2"/>
        <v>5940</v>
      </c>
      <c r="K31" s="5">
        <f t="shared" si="3"/>
        <v>6.8750000000000006E-2</v>
      </c>
      <c r="L31">
        <f>IF(A31="",999,IFERROR(MATCH(B31,Config!$A$4:$A$7,0),99)*10+IF(ISNUMBER(F31),1,IF(F31="",2,IF(UPPER(F31)="DNF",3,IF(UPPER(F31)="DNS",4,8)))))</f>
        <v>31</v>
      </c>
    </row>
    <row r="32" spans="1:12" x14ac:dyDescent="0.25">
      <c r="A32">
        <v>151</v>
      </c>
      <c r="B32" t="str">
        <f>IF(A32="","",IFERROR(INDEX(tblReg[Field],MATCH(A32,tblReg[Bib],0)),""))</f>
        <v>Women</v>
      </c>
      <c r="C32" t="str">
        <f>IF(A32="","",IFERROR(INDEX(tblReg[FirstName],MATCH(A32,tblReg[Bib],0)),""))</f>
        <v>Ruby</v>
      </c>
      <c r="D32" t="str">
        <f>IF(A32="","",IFERROR(INDEX(tblReg[LastName],MATCH(A32,tblReg[Bib],0)),""))</f>
        <v>Nguyen</v>
      </c>
      <c r="E32" t="str">
        <f>IF(A32="","",IFERROR(INDEX(tblReg[Team],MATCH(A32,tblReg[Bib],0)),""))</f>
        <v>City Sprint</v>
      </c>
      <c r="F32" s="4">
        <v>7.362268518518518E-2</v>
      </c>
      <c r="G32">
        <f t="shared" si="0"/>
        <v>6361</v>
      </c>
      <c r="H32">
        <f t="shared" si="1"/>
        <v>6</v>
      </c>
      <c r="I32">
        <f>IF(H32="",0,IFERROR(INDEX(Config!$I$4:$I$6,MATCH(H32,Config!$H$4:$H$6,0)),0))</f>
        <v>0</v>
      </c>
      <c r="J32">
        <f t="shared" si="2"/>
        <v>6361</v>
      </c>
      <c r="K32" s="5">
        <f t="shared" si="3"/>
        <v>7.362268518518518E-2</v>
      </c>
      <c r="L32">
        <f>IF(A32="",999,IFERROR(MATCH(B32,Config!$A$4:$A$7,0),99)*10+IF(ISNUMBER(F32),1,IF(F32="",2,IF(UPPER(F32)="DNF",3,IF(UPPER(F32)="DNS",4,8)))))</f>
        <v>41</v>
      </c>
    </row>
    <row r="33" spans="1:12" x14ac:dyDescent="0.25">
      <c r="A33">
        <v>152</v>
      </c>
      <c r="B33" t="str">
        <f>IF(A33="","",IFERROR(INDEX(tblReg[Field],MATCH(A33,tblReg[Bib],0)),""))</f>
        <v>Women</v>
      </c>
      <c r="C33" t="str">
        <f>IF(A33="","",IFERROR(INDEX(tblReg[FirstName],MATCH(A33,tblReg[Bib],0)),""))</f>
        <v>Ivy</v>
      </c>
      <c r="D33" t="str">
        <f>IF(A33="","",IFERROR(INDEX(tblReg[LastName],MATCH(A33,tblReg[Bib],0)),""))</f>
        <v>Lewis</v>
      </c>
      <c r="E33" t="str">
        <f>IF(A33="","",IFERROR(INDEX(tblReg[Team],MATCH(A33,tblReg[Bib],0)),""))</f>
        <v>Summit Wheels</v>
      </c>
      <c r="F33" s="4">
        <v>6.9537037037037036E-2</v>
      </c>
      <c r="G33">
        <f t="shared" si="0"/>
        <v>6008</v>
      </c>
      <c r="H33">
        <f t="shared" si="1"/>
        <v>2</v>
      </c>
      <c r="I33">
        <f>IF(H33="",0,IFERROR(INDEX(Config!$I$4:$I$6,MATCH(H33,Config!$H$4:$H$6,0)),0))</f>
        <v>6</v>
      </c>
      <c r="J33">
        <f t="shared" si="2"/>
        <v>6002</v>
      </c>
      <c r="K33" s="5">
        <f t="shared" si="3"/>
        <v>6.9467592592592595E-2</v>
      </c>
      <c r="L33">
        <f>IF(A33="",999,IFERROR(MATCH(B33,Config!$A$4:$A$7,0),99)*10+IF(ISNUMBER(F33),1,IF(F33="",2,IF(UPPER(F33)="DNF",3,IF(UPPER(F33)="DNS",4,8)))))</f>
        <v>41</v>
      </c>
    </row>
    <row r="34" spans="1:12" x14ac:dyDescent="0.25">
      <c r="A34">
        <v>153</v>
      </c>
      <c r="B34" t="str">
        <f>IF(A34="","",IFERROR(INDEX(tblReg[Field],MATCH(A34,tblReg[Bib],0)),""))</f>
        <v>Women</v>
      </c>
      <c r="C34" t="str">
        <f>IF(A34="","",IFERROR(INDEX(tblReg[FirstName],MATCH(A34,tblReg[Bib],0)),""))</f>
        <v>Kai</v>
      </c>
      <c r="D34" t="str">
        <f>IF(A34="","",IFERROR(INDEX(tblReg[LastName],MATCH(A34,tblReg[Bib],0)),""))</f>
        <v>Taylor</v>
      </c>
      <c r="E34" t="str">
        <f>IF(A34="","",IFERROR(INDEX(tblReg[Team],MATCH(A34,tblReg[Bib],0)),""))</f>
        <v>Northwind Velo</v>
      </c>
      <c r="F34" s="4" t="s">
        <v>115</v>
      </c>
      <c r="G34" t="str">
        <f t="shared" si="0"/>
        <v/>
      </c>
      <c r="H34" t="str">
        <f t="shared" si="1"/>
        <v/>
      </c>
      <c r="I34">
        <f>IF(H34="",0,IFERROR(INDEX(Config!$I$4:$I$6,MATCH(H34,Config!$H$4:$H$6,0)),0))</f>
        <v>0</v>
      </c>
      <c r="J34" t="str">
        <f t="shared" si="2"/>
        <v/>
      </c>
      <c r="K34" s="5" t="str">
        <f t="shared" si="3"/>
        <v/>
      </c>
      <c r="L34">
        <f>IF(A34="",999,IFERROR(MATCH(B34,Config!$A$4:$A$7,0),99)*10+IF(ISNUMBER(F34),1,IF(F34="",2,IF(UPPER(F34)="DNF",3,IF(UPPER(F34)="DNS",4,8)))))</f>
        <v>44</v>
      </c>
    </row>
    <row r="35" spans="1:12" x14ac:dyDescent="0.25">
      <c r="A35">
        <v>154</v>
      </c>
      <c r="B35" t="str">
        <f>IF(A35="","",IFERROR(INDEX(tblReg[Field],MATCH(A35,tblReg[Bib],0)),""))</f>
        <v>Women</v>
      </c>
      <c r="C35" t="str">
        <f>IF(A35="","",IFERROR(INDEX(tblReg[FirstName],MATCH(A35,tblReg[Bib],0)),""))</f>
        <v>Aria</v>
      </c>
      <c r="D35" t="str">
        <f>IF(A35="","",IFERROR(INDEX(tblReg[LastName],MATCH(A35,tblReg[Bib],0)),""))</f>
        <v>Lopez</v>
      </c>
      <c r="E35" t="str">
        <f>IF(A35="","",IFERROR(INDEX(tblReg[Team],MATCH(A35,tblReg[Bib],0)),""))</f>
        <v>Rapid Chain</v>
      </c>
      <c r="F35" s="4">
        <v>6.7256944444444439E-2</v>
      </c>
      <c r="G35">
        <f t="shared" si="0"/>
        <v>5811</v>
      </c>
      <c r="H35">
        <f t="shared" si="1"/>
        <v>1</v>
      </c>
      <c r="I35">
        <f>IF(H35="",0,IFERROR(INDEX(Config!$I$4:$I$6,MATCH(H35,Config!$H$4:$H$6,0)),0))</f>
        <v>10</v>
      </c>
      <c r="J35">
        <f t="shared" si="2"/>
        <v>5801</v>
      </c>
      <c r="K35" s="5">
        <f t="shared" si="3"/>
        <v>6.7141203703703703E-2</v>
      </c>
      <c r="L35">
        <f>IF(A35="",999,IFERROR(MATCH(B35,Config!$A$4:$A$7,0),99)*10+IF(ISNUMBER(F35),1,IF(F35="",2,IF(UPPER(F35)="DNF",3,IF(UPPER(F35)="DNS",4,8)))))</f>
        <v>41</v>
      </c>
    </row>
    <row r="36" spans="1:12" x14ac:dyDescent="0.25">
      <c r="A36">
        <v>155</v>
      </c>
      <c r="B36" t="str">
        <f>IF(A36="","",IFERROR(INDEX(tblReg[Field],MATCH(A36,tblReg[Bib],0)),""))</f>
        <v>Women</v>
      </c>
      <c r="C36" t="str">
        <f>IF(A36="","",IFERROR(INDEX(tblReg[FirstName],MATCH(A36,tblReg[Bib],0)),""))</f>
        <v>Jude</v>
      </c>
      <c r="D36" t="str">
        <f>IF(A36="","",IFERROR(INDEX(tblReg[LastName],MATCH(A36,tblReg[Bib],0)),""))</f>
        <v>Martinez</v>
      </c>
      <c r="E36" t="str">
        <f>IF(A36="","",IFERROR(INDEX(tblReg[Team],MATCH(A36,tblReg[Bib],0)),""))</f>
        <v>Rapid Chain</v>
      </c>
      <c r="F36" s="4">
        <v>7.2013888888888891E-2</v>
      </c>
      <c r="G36">
        <f t="shared" si="0"/>
        <v>6222</v>
      </c>
      <c r="H36">
        <f t="shared" si="1"/>
        <v>4</v>
      </c>
      <c r="I36">
        <f>IF(H36="",0,IFERROR(INDEX(Config!$I$4:$I$6,MATCH(H36,Config!$H$4:$H$6,0)),0))</f>
        <v>0</v>
      </c>
      <c r="J36">
        <f t="shared" si="2"/>
        <v>6222</v>
      </c>
      <c r="K36" s="5">
        <f t="shared" si="3"/>
        <v>7.2013888888888891E-2</v>
      </c>
      <c r="L36">
        <f>IF(A36="",999,IFERROR(MATCH(B36,Config!$A$4:$A$7,0),99)*10+IF(ISNUMBER(F36),1,IF(F36="",2,IF(UPPER(F36)="DNF",3,IF(UPPER(F36)="DNS",4,8)))))</f>
        <v>41</v>
      </c>
    </row>
    <row r="37" spans="1:12" x14ac:dyDescent="0.25">
      <c r="A37">
        <v>156</v>
      </c>
      <c r="B37" t="str">
        <f>IF(A37="","",IFERROR(INDEX(tblReg[Field],MATCH(A37,tblReg[Bib],0)),""))</f>
        <v>Women</v>
      </c>
      <c r="C37" t="str">
        <f>IF(A37="","",IFERROR(INDEX(tblReg[FirstName],MATCH(A37,tblReg[Bib],0)),""))</f>
        <v>Ruby</v>
      </c>
      <c r="D37" t="str">
        <f>IF(A37="","",IFERROR(INDEX(tblReg[LastName],MATCH(A37,tblReg[Bib],0)),""))</f>
        <v>Brown</v>
      </c>
      <c r="E37" t="str">
        <f>IF(A37="","",IFERROR(INDEX(tblReg[Team],MATCH(A37,tblReg[Bib],0)),""))</f>
        <v>Rapid Chain</v>
      </c>
      <c r="F37" s="4">
        <v>7.6238425925925932E-2</v>
      </c>
      <c r="G37">
        <f t="shared" si="0"/>
        <v>6587</v>
      </c>
      <c r="H37">
        <f t="shared" si="1"/>
        <v>9</v>
      </c>
      <c r="I37">
        <f>IF(H37="",0,IFERROR(INDEX(Config!$I$4:$I$6,MATCH(H37,Config!$H$4:$H$6,0)),0))</f>
        <v>0</v>
      </c>
      <c r="J37">
        <f t="shared" si="2"/>
        <v>6587</v>
      </c>
      <c r="K37" s="5">
        <f t="shared" si="3"/>
        <v>7.6238425925925932E-2</v>
      </c>
      <c r="L37">
        <f>IF(A37="",999,IFERROR(MATCH(B37,Config!$A$4:$A$7,0),99)*10+IF(ISNUMBER(F37),1,IF(F37="",2,IF(UPPER(F37)="DNF",3,IF(UPPER(F37)="DNS",4,8)))))</f>
        <v>41</v>
      </c>
    </row>
    <row r="38" spans="1:12" x14ac:dyDescent="0.25">
      <c r="A38">
        <v>157</v>
      </c>
      <c r="B38" t="str">
        <f>IF(A38="","",IFERROR(INDEX(tblReg[Field],MATCH(A38,tblReg[Bib],0)),""))</f>
        <v>Women</v>
      </c>
      <c r="C38" t="str">
        <f>IF(A38="","",IFERROR(INDEX(tblReg[FirstName],MATCH(A38,tblReg[Bib],0)),""))</f>
        <v>Ethan</v>
      </c>
      <c r="D38" t="str">
        <f>IF(A38="","",IFERROR(INDEX(tblReg[LastName],MATCH(A38,tblReg[Bib],0)),""))</f>
        <v>Park</v>
      </c>
      <c r="E38" t="str">
        <f>IF(A38="","",IFERROR(INDEX(tblReg[Team],MATCH(A38,tblReg[Bib],0)),""))</f>
        <v>City Sprint</v>
      </c>
      <c r="F38" s="4">
        <v>7.5659722222222225E-2</v>
      </c>
      <c r="G38">
        <f t="shared" si="0"/>
        <v>6537</v>
      </c>
      <c r="H38">
        <f t="shared" si="1"/>
        <v>7</v>
      </c>
      <c r="I38">
        <f>IF(H38="",0,IFERROR(INDEX(Config!$I$4:$I$6,MATCH(H38,Config!$H$4:$H$6,0)),0))</f>
        <v>0</v>
      </c>
      <c r="J38">
        <f t="shared" si="2"/>
        <v>6537</v>
      </c>
      <c r="K38" s="5">
        <f t="shared" si="3"/>
        <v>7.5659722222222225E-2</v>
      </c>
      <c r="L38">
        <f>IF(A38="",999,IFERROR(MATCH(B38,Config!$A$4:$A$7,0),99)*10+IF(ISNUMBER(F38),1,IF(F38="",2,IF(UPPER(F38)="DNF",3,IF(UPPER(F38)="DNS",4,8)))))</f>
        <v>41</v>
      </c>
    </row>
    <row r="39" spans="1:12" x14ac:dyDescent="0.25">
      <c r="A39">
        <v>158</v>
      </c>
      <c r="B39" t="str">
        <f>IF(A39="","",IFERROR(INDEX(tblReg[Field],MATCH(A39,tblReg[Bib],0)),""))</f>
        <v>Women</v>
      </c>
      <c r="C39" t="str">
        <f>IF(A39="","",IFERROR(INDEX(tblReg[FirstName],MATCH(A39,tblReg[Bib],0)),""))</f>
        <v>Mila</v>
      </c>
      <c r="D39" t="str">
        <f>IF(A39="","",IFERROR(INDEX(tblReg[LastName],MATCH(A39,tblReg[Bib],0)),""))</f>
        <v>Kim</v>
      </c>
      <c r="E39" t="str">
        <f>IF(A39="","",IFERROR(INDEX(tblReg[Team],MATCH(A39,tblReg[Bib],0)),""))</f>
        <v>City Sprint</v>
      </c>
      <c r="F39" s="4">
        <v>7.1539351851851854E-2</v>
      </c>
      <c r="G39">
        <f t="shared" si="0"/>
        <v>6181</v>
      </c>
      <c r="H39">
        <f t="shared" si="1"/>
        <v>3</v>
      </c>
      <c r="I39">
        <f>IF(H39="",0,IFERROR(INDEX(Config!$I$4:$I$6,MATCH(H39,Config!$H$4:$H$6,0)),0))</f>
        <v>4</v>
      </c>
      <c r="J39">
        <f t="shared" si="2"/>
        <v>6177</v>
      </c>
      <c r="K39" s="5">
        <f t="shared" si="3"/>
        <v>7.149305555555556E-2</v>
      </c>
      <c r="L39">
        <f>IF(A39="",999,IFERROR(MATCH(B39,Config!$A$4:$A$7,0),99)*10+IF(ISNUMBER(F39),1,IF(F39="",2,IF(UPPER(F39)="DNF",3,IF(UPPER(F39)="DNS",4,8)))))</f>
        <v>41</v>
      </c>
    </row>
    <row r="40" spans="1:12" x14ac:dyDescent="0.25">
      <c r="A40">
        <v>159</v>
      </c>
      <c r="B40" t="str">
        <f>IF(A40="","",IFERROR(INDEX(tblReg[Field],MATCH(A40,tblReg[Bib],0)),""))</f>
        <v>Women</v>
      </c>
      <c r="C40" t="str">
        <f>IF(A40="","",IFERROR(INDEX(tblReg[FirstName],MATCH(A40,tblReg[Bib],0)),""))</f>
        <v>Emma</v>
      </c>
      <c r="D40" t="str">
        <f>IF(A40="","",IFERROR(INDEX(tblReg[LastName],MATCH(A40,tblReg[Bib],0)),""))</f>
        <v>Brown</v>
      </c>
      <c r="E40" t="str">
        <f>IF(A40="","",IFERROR(INDEX(tblReg[Team],MATCH(A40,tblReg[Bib],0)),""))</f>
        <v>Rapid Chain</v>
      </c>
      <c r="F40" s="4">
        <v>7.5902777777777777E-2</v>
      </c>
      <c r="G40">
        <f t="shared" si="0"/>
        <v>6558</v>
      </c>
      <c r="H40">
        <f t="shared" si="1"/>
        <v>8</v>
      </c>
      <c r="I40">
        <f>IF(H40="",0,IFERROR(INDEX(Config!$I$4:$I$6,MATCH(H40,Config!$H$4:$H$6,0)),0))</f>
        <v>0</v>
      </c>
      <c r="J40">
        <f t="shared" si="2"/>
        <v>6558</v>
      </c>
      <c r="K40" s="5">
        <f t="shared" si="3"/>
        <v>7.5902777777777777E-2</v>
      </c>
      <c r="L40">
        <f>IF(A40="",999,IFERROR(MATCH(B40,Config!$A$4:$A$7,0),99)*10+IF(ISNUMBER(F40),1,IF(F40="",2,IF(UPPER(F40)="DNF",3,IF(UPPER(F40)="DNS",4,8)))))</f>
        <v>41</v>
      </c>
    </row>
    <row r="41" spans="1:12" x14ac:dyDescent="0.25">
      <c r="A41">
        <v>160</v>
      </c>
      <c r="B41" t="str">
        <f>IF(A41="","",IFERROR(INDEX(tblReg[Field],MATCH(A41,tblReg[Bib],0)),""))</f>
        <v>Women</v>
      </c>
      <c r="C41" t="str">
        <f>IF(A41="","",IFERROR(INDEX(tblReg[FirstName],MATCH(A41,tblReg[Bib],0)),""))</f>
        <v>Noah</v>
      </c>
      <c r="D41" t="str">
        <f>IF(A41="","",IFERROR(INDEX(tblReg[LastName],MATCH(A41,tblReg[Bib],0)),""))</f>
        <v>Davis</v>
      </c>
      <c r="E41" t="str">
        <f>IF(A41="","",IFERROR(INDEX(tblReg[Team],MATCH(A41,tblReg[Bib],0)),""))</f>
        <v>Rapid Chain</v>
      </c>
      <c r="F41" s="4">
        <v>7.239583333333334E-2</v>
      </c>
      <c r="G41">
        <f t="shared" si="0"/>
        <v>6255</v>
      </c>
      <c r="H41">
        <f t="shared" si="1"/>
        <v>5</v>
      </c>
      <c r="I41">
        <f>IF(H41="",0,IFERROR(INDEX(Config!$I$4:$I$6,MATCH(H41,Config!$H$4:$H$6,0)),0))</f>
        <v>0</v>
      </c>
      <c r="J41">
        <f t="shared" si="2"/>
        <v>6255</v>
      </c>
      <c r="K41" s="5">
        <f t="shared" si="3"/>
        <v>7.239583333333334E-2</v>
      </c>
      <c r="L41">
        <f>IF(A41="",999,IFERROR(MATCH(B41,Config!$A$4:$A$7,0),99)*10+IF(ISNUMBER(F41),1,IF(F41="",2,IF(UPPER(F41)="DNF",3,IF(UPPER(F41)="DNS",4,8)))))</f>
        <v>41</v>
      </c>
    </row>
    <row r="42" spans="1:12" x14ac:dyDescent="0.25">
      <c r="B42" t="str">
        <f>IF(A42="","",IFERROR(INDEX(tblReg[Field],MATCH(A42,tblReg[Bib],0)),""))</f>
        <v/>
      </c>
      <c r="C42" t="str">
        <f>IF(A42="","",IFERROR(INDEX(tblReg[FirstName],MATCH(A42,tblReg[Bib],0)),""))</f>
        <v/>
      </c>
      <c r="D42" t="str">
        <f>IF(A42="","",IFERROR(INDEX(tblReg[LastName],MATCH(A42,tblReg[Bib],0)),""))</f>
        <v/>
      </c>
      <c r="E42" t="str">
        <f>IF(A42="","",IFERROR(INDEX(tblReg[Team],MATCH(A42,tblReg[Bib],0)),""))</f>
        <v/>
      </c>
      <c r="F42" s="4" t="s">
        <v>103</v>
      </c>
      <c r="G42" t="str">
        <f t="shared" si="0"/>
        <v/>
      </c>
      <c r="H42" t="str">
        <f t="shared" si="1"/>
        <v/>
      </c>
      <c r="I42">
        <f>IF(H42="",0,IFERROR(INDEX(Config!$I$4:$I$6,MATCH(H42,Config!$H$4:$H$6,0)),0))</f>
        <v>0</v>
      </c>
      <c r="J42" t="str">
        <f t="shared" si="2"/>
        <v/>
      </c>
      <c r="K42" s="5" t="str">
        <f t="shared" si="3"/>
        <v/>
      </c>
      <c r="L42">
        <f>IF(A42="",999,IFERROR(MATCH(B42,Config!$A$4:$A$7,0),99)*10+IF(ISNUMBER(F42),1,IF(F42="",2,IF(UPPER(F42)="DNF",3,IF(UPPER(F42)="DNS",4,8)))))</f>
        <v>999</v>
      </c>
    </row>
    <row r="43" spans="1:12" x14ac:dyDescent="0.25">
      <c r="B43" t="str">
        <f>IF(A43="","",IFERROR(INDEX(tblReg[Field],MATCH(A43,tblReg[Bib],0)),""))</f>
        <v/>
      </c>
      <c r="C43" t="str">
        <f>IF(A43="","",IFERROR(INDEX(tblReg[FirstName],MATCH(A43,tblReg[Bib],0)),""))</f>
        <v/>
      </c>
      <c r="D43" t="str">
        <f>IF(A43="","",IFERROR(INDEX(tblReg[LastName],MATCH(A43,tblReg[Bib],0)),""))</f>
        <v/>
      </c>
      <c r="E43" t="str">
        <f>IF(A43="","",IFERROR(INDEX(tblReg[Team],MATCH(A43,tblReg[Bib],0)),""))</f>
        <v/>
      </c>
      <c r="F43" s="4" t="s">
        <v>103</v>
      </c>
      <c r="G43" t="str">
        <f t="shared" si="0"/>
        <v/>
      </c>
      <c r="H43" t="str">
        <f t="shared" si="1"/>
        <v/>
      </c>
      <c r="I43">
        <f>IF(H43="",0,IFERROR(INDEX(Config!$I$4:$I$6,MATCH(H43,Config!$H$4:$H$6,0)),0))</f>
        <v>0</v>
      </c>
      <c r="J43" t="str">
        <f t="shared" si="2"/>
        <v/>
      </c>
      <c r="K43" s="5" t="str">
        <f t="shared" si="3"/>
        <v/>
      </c>
      <c r="L43">
        <f>IF(A43="",999,IFERROR(MATCH(B43,Config!$A$4:$A$7,0),99)*10+IF(ISNUMBER(F43),1,IF(F43="",2,IF(UPPER(F43)="DNF",3,IF(UPPER(F43)="DNS",4,8)))))</f>
        <v>999</v>
      </c>
    </row>
    <row r="44" spans="1:12" x14ac:dyDescent="0.25">
      <c r="B44" t="str">
        <f>IF(A44="","",IFERROR(INDEX(tblReg[Field],MATCH(A44,tblReg[Bib],0)),""))</f>
        <v/>
      </c>
      <c r="C44" t="str">
        <f>IF(A44="","",IFERROR(INDEX(tblReg[FirstName],MATCH(A44,tblReg[Bib],0)),""))</f>
        <v/>
      </c>
      <c r="D44" t="str">
        <f>IF(A44="","",IFERROR(INDEX(tblReg[LastName],MATCH(A44,tblReg[Bib],0)),""))</f>
        <v/>
      </c>
      <c r="E44" t="str">
        <f>IF(A44="","",IFERROR(INDEX(tblReg[Team],MATCH(A44,tblReg[Bib],0)),""))</f>
        <v/>
      </c>
      <c r="F44" s="4" t="s">
        <v>103</v>
      </c>
      <c r="G44" t="str">
        <f t="shared" si="0"/>
        <v/>
      </c>
      <c r="H44" t="str">
        <f t="shared" si="1"/>
        <v/>
      </c>
      <c r="I44">
        <f>IF(H44="",0,IFERROR(INDEX(Config!$I$4:$I$6,MATCH(H44,Config!$H$4:$H$6,0)),0))</f>
        <v>0</v>
      </c>
      <c r="J44" t="str">
        <f t="shared" si="2"/>
        <v/>
      </c>
      <c r="K44" s="5" t="str">
        <f t="shared" si="3"/>
        <v/>
      </c>
      <c r="L44">
        <f>IF(A44="",999,IFERROR(MATCH(B44,Config!$A$4:$A$7,0),99)*10+IF(ISNUMBER(F44),1,IF(F44="",2,IF(UPPER(F44)="DNF",3,IF(UPPER(F44)="DNS",4,8)))))</f>
        <v>999</v>
      </c>
    </row>
    <row r="45" spans="1:12" x14ac:dyDescent="0.25">
      <c r="B45" t="str">
        <f>IF(A45="","",IFERROR(INDEX(tblReg[Field],MATCH(A45,tblReg[Bib],0)),""))</f>
        <v/>
      </c>
      <c r="C45" t="str">
        <f>IF(A45="","",IFERROR(INDEX(tblReg[FirstName],MATCH(A45,tblReg[Bib],0)),""))</f>
        <v/>
      </c>
      <c r="D45" t="str">
        <f>IF(A45="","",IFERROR(INDEX(tblReg[LastName],MATCH(A45,tblReg[Bib],0)),""))</f>
        <v/>
      </c>
      <c r="E45" t="str">
        <f>IF(A45="","",IFERROR(INDEX(tblReg[Team],MATCH(A45,tblReg[Bib],0)),""))</f>
        <v/>
      </c>
      <c r="F45" s="4" t="s">
        <v>103</v>
      </c>
      <c r="G45" t="str">
        <f t="shared" si="0"/>
        <v/>
      </c>
      <c r="H45" t="str">
        <f t="shared" si="1"/>
        <v/>
      </c>
      <c r="I45">
        <f>IF(H45="",0,IFERROR(INDEX(Config!$I$4:$I$6,MATCH(H45,Config!$H$4:$H$6,0)),0))</f>
        <v>0</v>
      </c>
      <c r="J45" t="str">
        <f t="shared" si="2"/>
        <v/>
      </c>
      <c r="K45" s="5" t="str">
        <f t="shared" si="3"/>
        <v/>
      </c>
      <c r="L45">
        <f>IF(A45="",999,IFERROR(MATCH(B45,Config!$A$4:$A$7,0),99)*10+IF(ISNUMBER(F45),1,IF(F45="",2,IF(UPPER(F45)="DNF",3,IF(UPPER(F45)="DNS",4,8)))))</f>
        <v>999</v>
      </c>
    </row>
    <row r="46" spans="1:12" x14ac:dyDescent="0.25">
      <c r="B46" t="str">
        <f>IF(A46="","",IFERROR(INDEX(tblReg[Field],MATCH(A46,tblReg[Bib],0)),""))</f>
        <v/>
      </c>
      <c r="C46" t="str">
        <f>IF(A46="","",IFERROR(INDEX(tblReg[FirstName],MATCH(A46,tblReg[Bib],0)),""))</f>
        <v/>
      </c>
      <c r="D46" t="str">
        <f>IF(A46="","",IFERROR(INDEX(tblReg[LastName],MATCH(A46,tblReg[Bib],0)),""))</f>
        <v/>
      </c>
      <c r="E46" t="str">
        <f>IF(A46="","",IFERROR(INDEX(tblReg[Team],MATCH(A46,tblReg[Bib],0)),""))</f>
        <v/>
      </c>
      <c r="F46" s="4" t="s">
        <v>103</v>
      </c>
      <c r="G46" t="str">
        <f t="shared" si="0"/>
        <v/>
      </c>
      <c r="H46" t="str">
        <f t="shared" si="1"/>
        <v/>
      </c>
      <c r="I46">
        <f>IF(H46="",0,IFERROR(INDEX(Config!$I$4:$I$6,MATCH(H46,Config!$H$4:$H$6,0)),0))</f>
        <v>0</v>
      </c>
      <c r="J46" t="str">
        <f t="shared" si="2"/>
        <v/>
      </c>
      <c r="K46" s="5" t="str">
        <f t="shared" si="3"/>
        <v/>
      </c>
      <c r="L46">
        <f>IF(A46="",999,IFERROR(MATCH(B46,Config!$A$4:$A$7,0),99)*10+IF(ISNUMBER(F46),1,IF(F46="",2,IF(UPPER(F46)="DNF",3,IF(UPPER(F46)="DNS",4,8)))))</f>
        <v>999</v>
      </c>
    </row>
    <row r="47" spans="1:12" x14ac:dyDescent="0.25">
      <c r="B47" t="str">
        <f>IF(A47="","",IFERROR(INDEX(tblReg[Field],MATCH(A47,tblReg[Bib],0)),""))</f>
        <v/>
      </c>
      <c r="C47" t="str">
        <f>IF(A47="","",IFERROR(INDEX(tblReg[FirstName],MATCH(A47,tblReg[Bib],0)),""))</f>
        <v/>
      </c>
      <c r="D47" t="str">
        <f>IF(A47="","",IFERROR(INDEX(tblReg[LastName],MATCH(A47,tblReg[Bib],0)),""))</f>
        <v/>
      </c>
      <c r="E47" t="str">
        <f>IF(A47="","",IFERROR(INDEX(tblReg[Team],MATCH(A47,tblReg[Bib],0)),""))</f>
        <v/>
      </c>
      <c r="F47" s="4" t="s">
        <v>103</v>
      </c>
      <c r="G47" t="str">
        <f t="shared" si="0"/>
        <v/>
      </c>
      <c r="H47" t="str">
        <f t="shared" si="1"/>
        <v/>
      </c>
      <c r="I47">
        <f>IF(H47="",0,IFERROR(INDEX(Config!$I$4:$I$6,MATCH(H47,Config!$H$4:$H$6,0)),0))</f>
        <v>0</v>
      </c>
      <c r="J47" t="str">
        <f t="shared" si="2"/>
        <v/>
      </c>
      <c r="K47" s="5" t="str">
        <f t="shared" si="3"/>
        <v/>
      </c>
      <c r="L47">
        <f>IF(A47="",999,IFERROR(MATCH(B47,Config!$A$4:$A$7,0),99)*10+IF(ISNUMBER(F47),1,IF(F47="",2,IF(UPPER(F47)="DNF",3,IF(UPPER(F47)="DNS",4,8)))))</f>
        <v>999</v>
      </c>
    </row>
    <row r="48" spans="1:12" x14ac:dyDescent="0.25">
      <c r="B48" t="str">
        <f>IF(A48="","",IFERROR(INDEX(tblReg[Field],MATCH(A48,tblReg[Bib],0)),""))</f>
        <v/>
      </c>
      <c r="C48" t="str">
        <f>IF(A48="","",IFERROR(INDEX(tblReg[FirstName],MATCH(A48,tblReg[Bib],0)),""))</f>
        <v/>
      </c>
      <c r="D48" t="str">
        <f>IF(A48="","",IFERROR(INDEX(tblReg[LastName],MATCH(A48,tblReg[Bib],0)),""))</f>
        <v/>
      </c>
      <c r="E48" t="str">
        <f>IF(A48="","",IFERROR(INDEX(tblReg[Team],MATCH(A48,tblReg[Bib],0)),""))</f>
        <v/>
      </c>
      <c r="F48" s="4" t="s">
        <v>103</v>
      </c>
      <c r="G48" t="str">
        <f t="shared" si="0"/>
        <v/>
      </c>
      <c r="H48" t="str">
        <f t="shared" si="1"/>
        <v/>
      </c>
      <c r="I48">
        <f>IF(H48="",0,IFERROR(INDEX(Config!$I$4:$I$6,MATCH(H48,Config!$H$4:$H$6,0)),0))</f>
        <v>0</v>
      </c>
      <c r="J48" t="str">
        <f t="shared" si="2"/>
        <v/>
      </c>
      <c r="K48" s="5" t="str">
        <f t="shared" si="3"/>
        <v/>
      </c>
      <c r="L48">
        <f>IF(A48="",999,IFERROR(MATCH(B48,Config!$A$4:$A$7,0),99)*10+IF(ISNUMBER(F48),1,IF(F48="",2,IF(UPPER(F48)="DNF",3,IF(UPPER(F48)="DNS",4,8)))))</f>
        <v>999</v>
      </c>
    </row>
    <row r="49" spans="2:12" x14ac:dyDescent="0.25">
      <c r="B49" t="str">
        <f>IF(A49="","",IFERROR(INDEX(tblReg[Field],MATCH(A49,tblReg[Bib],0)),""))</f>
        <v/>
      </c>
      <c r="C49" t="str">
        <f>IF(A49="","",IFERROR(INDEX(tblReg[FirstName],MATCH(A49,tblReg[Bib],0)),""))</f>
        <v/>
      </c>
      <c r="D49" t="str">
        <f>IF(A49="","",IFERROR(INDEX(tblReg[LastName],MATCH(A49,tblReg[Bib],0)),""))</f>
        <v/>
      </c>
      <c r="E49" t="str">
        <f>IF(A49="","",IFERROR(INDEX(tblReg[Team],MATCH(A49,tblReg[Bib],0)),""))</f>
        <v/>
      </c>
      <c r="F49" s="4" t="s">
        <v>103</v>
      </c>
      <c r="G49" t="str">
        <f t="shared" si="0"/>
        <v/>
      </c>
      <c r="H49" t="str">
        <f t="shared" si="1"/>
        <v/>
      </c>
      <c r="I49">
        <f>IF(H49="",0,IFERROR(INDEX(Config!$I$4:$I$6,MATCH(H49,Config!$H$4:$H$6,0)),0))</f>
        <v>0</v>
      </c>
      <c r="J49" t="str">
        <f t="shared" si="2"/>
        <v/>
      </c>
      <c r="K49" s="5" t="str">
        <f t="shared" si="3"/>
        <v/>
      </c>
      <c r="L49">
        <f>IF(A49="",999,IFERROR(MATCH(B49,Config!$A$4:$A$7,0),99)*10+IF(ISNUMBER(F49),1,IF(F49="",2,IF(UPPER(F49)="DNF",3,IF(UPPER(F49)="DNS",4,8)))))</f>
        <v>999</v>
      </c>
    </row>
    <row r="50" spans="2:12" x14ac:dyDescent="0.25">
      <c r="B50" t="str">
        <f>IF(A50="","",IFERROR(INDEX(tblReg[Field],MATCH(A50,tblReg[Bib],0)),""))</f>
        <v/>
      </c>
      <c r="C50" t="str">
        <f>IF(A50="","",IFERROR(INDEX(tblReg[FirstName],MATCH(A50,tblReg[Bib],0)),""))</f>
        <v/>
      </c>
      <c r="D50" t="str">
        <f>IF(A50="","",IFERROR(INDEX(tblReg[LastName],MATCH(A50,tblReg[Bib],0)),""))</f>
        <v/>
      </c>
      <c r="E50" t="str">
        <f>IF(A50="","",IFERROR(INDEX(tblReg[Team],MATCH(A50,tblReg[Bib],0)),""))</f>
        <v/>
      </c>
      <c r="F50" s="4" t="s">
        <v>103</v>
      </c>
      <c r="G50" t="str">
        <f t="shared" si="0"/>
        <v/>
      </c>
      <c r="H50" t="str">
        <f t="shared" si="1"/>
        <v/>
      </c>
      <c r="I50">
        <f>IF(H50="",0,IFERROR(INDEX(Config!$I$4:$I$6,MATCH(H50,Config!$H$4:$H$6,0)),0))</f>
        <v>0</v>
      </c>
      <c r="J50" t="str">
        <f t="shared" si="2"/>
        <v/>
      </c>
      <c r="K50" s="5" t="str">
        <f t="shared" si="3"/>
        <v/>
      </c>
      <c r="L50">
        <f>IF(A50="",999,IFERROR(MATCH(B50,Config!$A$4:$A$7,0),99)*10+IF(ISNUMBER(F50),1,IF(F50="",2,IF(UPPER(F50)="DNF",3,IF(UPPER(F50)="DNS",4,8)))))</f>
        <v>999</v>
      </c>
    </row>
    <row r="51" spans="2:12" x14ac:dyDescent="0.25">
      <c r="B51" t="str">
        <f>IF(A51="","",IFERROR(INDEX(tblReg[Field],MATCH(A51,tblReg[Bib],0)),""))</f>
        <v/>
      </c>
      <c r="C51" t="str">
        <f>IF(A51="","",IFERROR(INDEX(tblReg[FirstName],MATCH(A51,tblReg[Bib],0)),""))</f>
        <v/>
      </c>
      <c r="D51" t="str">
        <f>IF(A51="","",IFERROR(INDEX(tblReg[LastName],MATCH(A51,tblReg[Bib],0)),""))</f>
        <v/>
      </c>
      <c r="E51" t="str">
        <f>IF(A51="","",IFERROR(INDEX(tblReg[Team],MATCH(A51,tblReg[Bib],0)),""))</f>
        <v/>
      </c>
      <c r="F51" s="4" t="s">
        <v>103</v>
      </c>
      <c r="G51" t="str">
        <f t="shared" si="0"/>
        <v/>
      </c>
      <c r="H51" t="str">
        <f t="shared" si="1"/>
        <v/>
      </c>
      <c r="I51">
        <f>IF(H51="",0,IFERROR(INDEX(Config!$I$4:$I$6,MATCH(H51,Config!$H$4:$H$6,0)),0))</f>
        <v>0</v>
      </c>
      <c r="J51" t="str">
        <f t="shared" si="2"/>
        <v/>
      </c>
      <c r="K51" s="5" t="str">
        <f t="shared" si="3"/>
        <v/>
      </c>
      <c r="L51">
        <f>IF(A51="",999,IFERROR(MATCH(B51,Config!$A$4:$A$7,0),99)*10+IF(ISNUMBER(F51),1,IF(F51="",2,IF(UPPER(F51)="DNF",3,IF(UPPER(F51)="DNS",4,8)))))</f>
        <v>999</v>
      </c>
    </row>
    <row r="52" spans="2:12" x14ac:dyDescent="0.25">
      <c r="B52" t="str">
        <f>IF(A52="","",IFERROR(INDEX(tblReg[Field],MATCH(A52,tblReg[Bib],0)),""))</f>
        <v/>
      </c>
      <c r="C52" t="str">
        <f>IF(A52="","",IFERROR(INDEX(tblReg[FirstName],MATCH(A52,tblReg[Bib],0)),""))</f>
        <v/>
      </c>
      <c r="D52" t="str">
        <f>IF(A52="","",IFERROR(INDEX(tblReg[LastName],MATCH(A52,tblReg[Bib],0)),""))</f>
        <v/>
      </c>
      <c r="E52" t="str">
        <f>IF(A52="","",IFERROR(INDEX(tblReg[Team],MATCH(A52,tblReg[Bib],0)),""))</f>
        <v/>
      </c>
      <c r="F52" s="4" t="s">
        <v>103</v>
      </c>
      <c r="G52" t="str">
        <f t="shared" si="0"/>
        <v/>
      </c>
      <c r="H52" t="str">
        <f t="shared" si="1"/>
        <v/>
      </c>
      <c r="I52">
        <f>IF(H52="",0,IFERROR(INDEX(Config!$I$4:$I$6,MATCH(H52,Config!$H$4:$H$6,0)),0))</f>
        <v>0</v>
      </c>
      <c r="J52" t="str">
        <f t="shared" si="2"/>
        <v/>
      </c>
      <c r="K52" s="5" t="str">
        <f t="shared" si="3"/>
        <v/>
      </c>
      <c r="L52">
        <f>IF(A52="",999,IFERROR(MATCH(B52,Config!$A$4:$A$7,0),99)*10+IF(ISNUMBER(F52),1,IF(F52="",2,IF(UPPER(F52)="DNF",3,IF(UPPER(F52)="DNS",4,8)))))</f>
        <v>999</v>
      </c>
    </row>
    <row r="53" spans="2:12" x14ac:dyDescent="0.25">
      <c r="B53" t="str">
        <f>IF(A53="","",IFERROR(INDEX(tblReg[Field],MATCH(A53,tblReg[Bib],0)),""))</f>
        <v/>
      </c>
      <c r="C53" t="str">
        <f>IF(A53="","",IFERROR(INDEX(tblReg[FirstName],MATCH(A53,tblReg[Bib],0)),""))</f>
        <v/>
      </c>
      <c r="D53" t="str">
        <f>IF(A53="","",IFERROR(INDEX(tblReg[LastName],MATCH(A53,tblReg[Bib],0)),""))</f>
        <v/>
      </c>
      <c r="E53" t="str">
        <f>IF(A53="","",IFERROR(INDEX(tblReg[Team],MATCH(A53,tblReg[Bib],0)),""))</f>
        <v/>
      </c>
      <c r="F53" s="4" t="s">
        <v>103</v>
      </c>
      <c r="G53" t="str">
        <f t="shared" si="0"/>
        <v/>
      </c>
      <c r="H53" t="str">
        <f t="shared" si="1"/>
        <v/>
      </c>
      <c r="I53">
        <f>IF(H53="",0,IFERROR(INDEX(Config!$I$4:$I$6,MATCH(H53,Config!$H$4:$H$6,0)),0))</f>
        <v>0</v>
      </c>
      <c r="J53" t="str">
        <f t="shared" si="2"/>
        <v/>
      </c>
      <c r="K53" s="5" t="str">
        <f t="shared" si="3"/>
        <v/>
      </c>
      <c r="L53">
        <f>IF(A53="",999,IFERROR(MATCH(B53,Config!$A$4:$A$7,0),99)*10+IF(ISNUMBER(F53),1,IF(F53="",2,IF(UPPER(F53)="DNF",3,IF(UPPER(F53)="DNS",4,8)))))</f>
        <v>999</v>
      </c>
    </row>
    <row r="54" spans="2:12" x14ac:dyDescent="0.25">
      <c r="B54" t="str">
        <f>IF(A54="","",IFERROR(INDEX(tblReg[Field],MATCH(A54,tblReg[Bib],0)),""))</f>
        <v/>
      </c>
      <c r="C54" t="str">
        <f>IF(A54="","",IFERROR(INDEX(tblReg[FirstName],MATCH(A54,tblReg[Bib],0)),""))</f>
        <v/>
      </c>
      <c r="D54" t="str">
        <f>IF(A54="","",IFERROR(INDEX(tblReg[LastName],MATCH(A54,tblReg[Bib],0)),""))</f>
        <v/>
      </c>
      <c r="E54" t="str">
        <f>IF(A54="","",IFERROR(INDEX(tblReg[Team],MATCH(A54,tblReg[Bib],0)),""))</f>
        <v/>
      </c>
      <c r="F54" s="4" t="s">
        <v>103</v>
      </c>
      <c r="G54" t="str">
        <f t="shared" si="0"/>
        <v/>
      </c>
      <c r="H54" t="str">
        <f t="shared" si="1"/>
        <v/>
      </c>
      <c r="I54">
        <f>IF(H54="",0,IFERROR(INDEX(Config!$I$4:$I$6,MATCH(H54,Config!$H$4:$H$6,0)),0))</f>
        <v>0</v>
      </c>
      <c r="J54" t="str">
        <f t="shared" si="2"/>
        <v/>
      </c>
      <c r="K54" s="5" t="str">
        <f t="shared" si="3"/>
        <v/>
      </c>
      <c r="L54">
        <f>IF(A54="",999,IFERROR(MATCH(B54,Config!$A$4:$A$7,0),99)*10+IF(ISNUMBER(F54),1,IF(F54="",2,IF(UPPER(F54)="DNF",3,IF(UPPER(F54)="DNS",4,8)))))</f>
        <v>999</v>
      </c>
    </row>
    <row r="55" spans="2:12" x14ac:dyDescent="0.25">
      <c r="B55" t="str">
        <f>IF(A55="","",IFERROR(INDEX(tblReg[Field],MATCH(A55,tblReg[Bib],0)),""))</f>
        <v/>
      </c>
      <c r="C55" t="str">
        <f>IF(A55="","",IFERROR(INDEX(tblReg[FirstName],MATCH(A55,tblReg[Bib],0)),""))</f>
        <v/>
      </c>
      <c r="D55" t="str">
        <f>IF(A55="","",IFERROR(INDEX(tblReg[LastName],MATCH(A55,tblReg[Bib],0)),""))</f>
        <v/>
      </c>
      <c r="E55" t="str">
        <f>IF(A55="","",IFERROR(INDEX(tblReg[Team],MATCH(A55,tblReg[Bib],0)),""))</f>
        <v/>
      </c>
      <c r="F55" s="4" t="s">
        <v>103</v>
      </c>
      <c r="G55" t="str">
        <f t="shared" si="0"/>
        <v/>
      </c>
      <c r="H55" t="str">
        <f t="shared" si="1"/>
        <v/>
      </c>
      <c r="I55">
        <f>IF(H55="",0,IFERROR(INDEX(Config!$I$4:$I$6,MATCH(H55,Config!$H$4:$H$6,0)),0))</f>
        <v>0</v>
      </c>
      <c r="J55" t="str">
        <f t="shared" si="2"/>
        <v/>
      </c>
      <c r="K55" s="5" t="str">
        <f t="shared" si="3"/>
        <v/>
      </c>
      <c r="L55">
        <f>IF(A55="",999,IFERROR(MATCH(B55,Config!$A$4:$A$7,0),99)*10+IF(ISNUMBER(F55),1,IF(F55="",2,IF(UPPER(F55)="DNF",3,IF(UPPER(F55)="DNS",4,8)))))</f>
        <v>999</v>
      </c>
    </row>
    <row r="56" spans="2:12" x14ac:dyDescent="0.25">
      <c r="B56" t="str">
        <f>IF(A56="","",IFERROR(INDEX(tblReg[Field],MATCH(A56,tblReg[Bib],0)),""))</f>
        <v/>
      </c>
      <c r="C56" t="str">
        <f>IF(A56="","",IFERROR(INDEX(tblReg[FirstName],MATCH(A56,tblReg[Bib],0)),""))</f>
        <v/>
      </c>
      <c r="D56" t="str">
        <f>IF(A56="","",IFERROR(INDEX(tblReg[LastName],MATCH(A56,tblReg[Bib],0)),""))</f>
        <v/>
      </c>
      <c r="E56" t="str">
        <f>IF(A56="","",IFERROR(INDEX(tblReg[Team],MATCH(A56,tblReg[Bib],0)),""))</f>
        <v/>
      </c>
      <c r="F56" s="4" t="s">
        <v>103</v>
      </c>
      <c r="G56" t="str">
        <f t="shared" si="0"/>
        <v/>
      </c>
      <c r="H56" t="str">
        <f t="shared" si="1"/>
        <v/>
      </c>
      <c r="I56">
        <f>IF(H56="",0,IFERROR(INDEX(Config!$I$4:$I$6,MATCH(H56,Config!$H$4:$H$6,0)),0))</f>
        <v>0</v>
      </c>
      <c r="J56" t="str">
        <f t="shared" si="2"/>
        <v/>
      </c>
      <c r="K56" s="5" t="str">
        <f t="shared" si="3"/>
        <v/>
      </c>
      <c r="L56">
        <f>IF(A56="",999,IFERROR(MATCH(B56,Config!$A$4:$A$7,0),99)*10+IF(ISNUMBER(F56),1,IF(F56="",2,IF(UPPER(F56)="DNF",3,IF(UPPER(F56)="DNS",4,8)))))</f>
        <v>999</v>
      </c>
    </row>
    <row r="57" spans="2:12" x14ac:dyDescent="0.25">
      <c r="B57" t="str">
        <f>IF(A57="","",IFERROR(INDEX(tblReg[Field],MATCH(A57,tblReg[Bib],0)),""))</f>
        <v/>
      </c>
      <c r="C57" t="str">
        <f>IF(A57="","",IFERROR(INDEX(tblReg[FirstName],MATCH(A57,tblReg[Bib],0)),""))</f>
        <v/>
      </c>
      <c r="D57" t="str">
        <f>IF(A57="","",IFERROR(INDEX(tblReg[LastName],MATCH(A57,tblReg[Bib],0)),""))</f>
        <v/>
      </c>
      <c r="E57" t="str">
        <f>IF(A57="","",IFERROR(INDEX(tblReg[Team],MATCH(A57,tblReg[Bib],0)),""))</f>
        <v/>
      </c>
      <c r="F57" s="4" t="s">
        <v>103</v>
      </c>
      <c r="G57" t="str">
        <f t="shared" si="0"/>
        <v/>
      </c>
      <c r="H57" t="str">
        <f t="shared" si="1"/>
        <v/>
      </c>
      <c r="I57">
        <f>IF(H57="",0,IFERROR(INDEX(Config!$I$4:$I$6,MATCH(H57,Config!$H$4:$H$6,0)),0))</f>
        <v>0</v>
      </c>
      <c r="J57" t="str">
        <f t="shared" si="2"/>
        <v/>
      </c>
      <c r="K57" s="5" t="str">
        <f t="shared" si="3"/>
        <v/>
      </c>
      <c r="L57">
        <f>IF(A57="",999,IFERROR(MATCH(B57,Config!$A$4:$A$7,0),99)*10+IF(ISNUMBER(F57),1,IF(F57="",2,IF(UPPER(F57)="DNF",3,IF(UPPER(F57)="DNS",4,8)))))</f>
        <v>999</v>
      </c>
    </row>
    <row r="58" spans="2:12" x14ac:dyDescent="0.25">
      <c r="B58" t="str">
        <f>IF(A58="","",IFERROR(INDEX(tblReg[Field],MATCH(A58,tblReg[Bib],0)),""))</f>
        <v/>
      </c>
      <c r="C58" t="str">
        <f>IF(A58="","",IFERROR(INDEX(tblReg[FirstName],MATCH(A58,tblReg[Bib],0)),""))</f>
        <v/>
      </c>
      <c r="D58" t="str">
        <f>IF(A58="","",IFERROR(INDEX(tblReg[LastName],MATCH(A58,tblReg[Bib],0)),""))</f>
        <v/>
      </c>
      <c r="E58" t="str">
        <f>IF(A58="","",IFERROR(INDEX(tblReg[Team],MATCH(A58,tblReg[Bib],0)),""))</f>
        <v/>
      </c>
      <c r="F58" s="4" t="s">
        <v>103</v>
      </c>
      <c r="G58" t="str">
        <f t="shared" si="0"/>
        <v/>
      </c>
      <c r="H58" t="str">
        <f t="shared" si="1"/>
        <v/>
      </c>
      <c r="I58">
        <f>IF(H58="",0,IFERROR(INDEX(Config!$I$4:$I$6,MATCH(H58,Config!$H$4:$H$6,0)),0))</f>
        <v>0</v>
      </c>
      <c r="J58" t="str">
        <f t="shared" si="2"/>
        <v/>
      </c>
      <c r="K58" s="5" t="str">
        <f t="shared" si="3"/>
        <v/>
      </c>
      <c r="L58">
        <f>IF(A58="",999,IFERROR(MATCH(B58,Config!$A$4:$A$7,0),99)*10+IF(ISNUMBER(F58),1,IF(F58="",2,IF(UPPER(F58)="DNF",3,IF(UPPER(F58)="DNS",4,8)))))</f>
        <v>999</v>
      </c>
    </row>
    <row r="59" spans="2:12" x14ac:dyDescent="0.25">
      <c r="B59" t="str">
        <f>IF(A59="","",IFERROR(INDEX(tblReg[Field],MATCH(A59,tblReg[Bib],0)),""))</f>
        <v/>
      </c>
      <c r="C59" t="str">
        <f>IF(A59="","",IFERROR(INDEX(tblReg[FirstName],MATCH(A59,tblReg[Bib],0)),""))</f>
        <v/>
      </c>
      <c r="D59" t="str">
        <f>IF(A59="","",IFERROR(INDEX(tblReg[LastName],MATCH(A59,tblReg[Bib],0)),""))</f>
        <v/>
      </c>
      <c r="E59" t="str">
        <f>IF(A59="","",IFERROR(INDEX(tblReg[Team],MATCH(A59,tblReg[Bib],0)),""))</f>
        <v/>
      </c>
      <c r="F59" s="4" t="s">
        <v>103</v>
      </c>
      <c r="G59" t="str">
        <f t="shared" si="0"/>
        <v/>
      </c>
      <c r="H59" t="str">
        <f t="shared" si="1"/>
        <v/>
      </c>
      <c r="I59">
        <f>IF(H59="",0,IFERROR(INDEX(Config!$I$4:$I$6,MATCH(H59,Config!$H$4:$H$6,0)),0))</f>
        <v>0</v>
      </c>
      <c r="J59" t="str">
        <f t="shared" si="2"/>
        <v/>
      </c>
      <c r="K59" s="5" t="str">
        <f t="shared" si="3"/>
        <v/>
      </c>
      <c r="L59">
        <f>IF(A59="",999,IFERROR(MATCH(B59,Config!$A$4:$A$7,0),99)*10+IF(ISNUMBER(F59),1,IF(F59="",2,IF(UPPER(F59)="DNF",3,IF(UPPER(F59)="DNS",4,8)))))</f>
        <v>999</v>
      </c>
    </row>
    <row r="60" spans="2:12" x14ac:dyDescent="0.25">
      <c r="B60" t="str">
        <f>IF(A60="","",IFERROR(INDEX(tblReg[Field],MATCH(A60,tblReg[Bib],0)),""))</f>
        <v/>
      </c>
      <c r="C60" t="str">
        <f>IF(A60="","",IFERROR(INDEX(tblReg[FirstName],MATCH(A60,tblReg[Bib],0)),""))</f>
        <v/>
      </c>
      <c r="D60" t="str">
        <f>IF(A60="","",IFERROR(INDEX(tblReg[LastName],MATCH(A60,tblReg[Bib],0)),""))</f>
        <v/>
      </c>
      <c r="E60" t="str">
        <f>IF(A60="","",IFERROR(INDEX(tblReg[Team],MATCH(A60,tblReg[Bib],0)),""))</f>
        <v/>
      </c>
      <c r="F60" s="4" t="s">
        <v>103</v>
      </c>
      <c r="G60" t="str">
        <f t="shared" si="0"/>
        <v/>
      </c>
      <c r="H60" t="str">
        <f t="shared" si="1"/>
        <v/>
      </c>
      <c r="I60">
        <f>IF(H60="",0,IFERROR(INDEX(Config!$I$4:$I$6,MATCH(H60,Config!$H$4:$H$6,0)),0))</f>
        <v>0</v>
      </c>
      <c r="J60" t="str">
        <f t="shared" si="2"/>
        <v/>
      </c>
      <c r="K60" s="5" t="str">
        <f t="shared" si="3"/>
        <v/>
      </c>
      <c r="L60">
        <f>IF(A60="",999,IFERROR(MATCH(B60,Config!$A$4:$A$7,0),99)*10+IF(ISNUMBER(F60),1,IF(F60="",2,IF(UPPER(F60)="DNF",3,IF(UPPER(F60)="DNS",4,8)))))</f>
        <v>999</v>
      </c>
    </row>
    <row r="61" spans="2:12" x14ac:dyDescent="0.25">
      <c r="B61" t="str">
        <f>IF(A61="","",IFERROR(INDEX(tblReg[Field],MATCH(A61,tblReg[Bib],0)),""))</f>
        <v/>
      </c>
      <c r="C61" t="str">
        <f>IF(A61="","",IFERROR(INDEX(tblReg[FirstName],MATCH(A61,tblReg[Bib],0)),""))</f>
        <v/>
      </c>
      <c r="D61" t="str">
        <f>IF(A61="","",IFERROR(INDEX(tblReg[LastName],MATCH(A61,tblReg[Bib],0)),""))</f>
        <v/>
      </c>
      <c r="E61" t="str">
        <f>IF(A61="","",IFERROR(INDEX(tblReg[Team],MATCH(A61,tblReg[Bib],0)),""))</f>
        <v/>
      </c>
      <c r="F61" s="4" t="s">
        <v>103</v>
      </c>
      <c r="G61" t="str">
        <f t="shared" si="0"/>
        <v/>
      </c>
      <c r="H61" t="str">
        <f t="shared" si="1"/>
        <v/>
      </c>
      <c r="I61">
        <f>IF(H61="",0,IFERROR(INDEX(Config!$I$4:$I$6,MATCH(H61,Config!$H$4:$H$6,0)),0))</f>
        <v>0</v>
      </c>
      <c r="J61" t="str">
        <f t="shared" si="2"/>
        <v/>
      </c>
      <c r="K61" s="5" t="str">
        <f t="shared" si="3"/>
        <v/>
      </c>
      <c r="L61">
        <f>IF(A61="",999,IFERROR(MATCH(B61,Config!$A$4:$A$7,0),99)*10+IF(ISNUMBER(F61),1,IF(F61="",2,IF(UPPER(F61)="DNF",3,IF(UPPER(F61)="DNS",4,8)))))</f>
        <v>999</v>
      </c>
    </row>
    <row r="62" spans="2:12" x14ac:dyDescent="0.25">
      <c r="B62" t="str">
        <f>IF(A62="","",IFERROR(INDEX(tblReg[Field],MATCH(A62,tblReg[Bib],0)),""))</f>
        <v/>
      </c>
      <c r="C62" t="str">
        <f>IF(A62="","",IFERROR(INDEX(tblReg[FirstName],MATCH(A62,tblReg[Bib],0)),""))</f>
        <v/>
      </c>
      <c r="D62" t="str">
        <f>IF(A62="","",IFERROR(INDEX(tblReg[LastName],MATCH(A62,tblReg[Bib],0)),""))</f>
        <v/>
      </c>
      <c r="E62" t="str">
        <f>IF(A62="","",IFERROR(INDEX(tblReg[Team],MATCH(A62,tblReg[Bib],0)),""))</f>
        <v/>
      </c>
      <c r="F62" s="4" t="s">
        <v>103</v>
      </c>
      <c r="G62" t="str">
        <f t="shared" si="0"/>
        <v/>
      </c>
      <c r="H62" t="str">
        <f t="shared" si="1"/>
        <v/>
      </c>
      <c r="I62">
        <f>IF(H62="",0,IFERROR(INDEX(Config!$I$4:$I$6,MATCH(H62,Config!$H$4:$H$6,0)),0))</f>
        <v>0</v>
      </c>
      <c r="J62" t="str">
        <f t="shared" si="2"/>
        <v/>
      </c>
      <c r="K62" s="5" t="str">
        <f t="shared" si="3"/>
        <v/>
      </c>
      <c r="L62">
        <f>IF(A62="",999,IFERROR(MATCH(B62,Config!$A$4:$A$7,0),99)*10+IF(ISNUMBER(F62),1,IF(F62="",2,IF(UPPER(F62)="DNF",3,IF(UPPER(F62)="DNS",4,8)))))</f>
        <v>999</v>
      </c>
    </row>
    <row r="63" spans="2:12" x14ac:dyDescent="0.25">
      <c r="B63" t="str">
        <f>IF(A63="","",IFERROR(INDEX(tblReg[Field],MATCH(A63,tblReg[Bib],0)),""))</f>
        <v/>
      </c>
      <c r="C63" t="str">
        <f>IF(A63="","",IFERROR(INDEX(tblReg[FirstName],MATCH(A63,tblReg[Bib],0)),""))</f>
        <v/>
      </c>
      <c r="D63" t="str">
        <f>IF(A63="","",IFERROR(INDEX(tblReg[LastName],MATCH(A63,tblReg[Bib],0)),""))</f>
        <v/>
      </c>
      <c r="E63" t="str">
        <f>IF(A63="","",IFERROR(INDEX(tblReg[Team],MATCH(A63,tblReg[Bib],0)),""))</f>
        <v/>
      </c>
      <c r="F63" s="4" t="s">
        <v>103</v>
      </c>
      <c r="G63" t="str">
        <f t="shared" si="0"/>
        <v/>
      </c>
      <c r="H63" t="str">
        <f t="shared" si="1"/>
        <v/>
      </c>
      <c r="I63">
        <f>IF(H63="",0,IFERROR(INDEX(Config!$I$4:$I$6,MATCH(H63,Config!$H$4:$H$6,0)),0))</f>
        <v>0</v>
      </c>
      <c r="J63" t="str">
        <f t="shared" si="2"/>
        <v/>
      </c>
      <c r="K63" s="5" t="str">
        <f t="shared" si="3"/>
        <v/>
      </c>
      <c r="L63">
        <f>IF(A63="",999,IFERROR(MATCH(B63,Config!$A$4:$A$7,0),99)*10+IF(ISNUMBER(F63),1,IF(F63="",2,IF(UPPER(F63)="DNF",3,IF(UPPER(F63)="DNS",4,8)))))</f>
        <v>999</v>
      </c>
    </row>
    <row r="64" spans="2:12" x14ac:dyDescent="0.25">
      <c r="B64" t="str">
        <f>IF(A64="","",IFERROR(INDEX(tblReg[Field],MATCH(A64,tblReg[Bib],0)),""))</f>
        <v/>
      </c>
      <c r="C64" t="str">
        <f>IF(A64="","",IFERROR(INDEX(tblReg[FirstName],MATCH(A64,tblReg[Bib],0)),""))</f>
        <v/>
      </c>
      <c r="D64" t="str">
        <f>IF(A64="","",IFERROR(INDEX(tblReg[LastName],MATCH(A64,tblReg[Bib],0)),""))</f>
        <v/>
      </c>
      <c r="E64" t="str">
        <f>IF(A64="","",IFERROR(INDEX(tblReg[Team],MATCH(A64,tblReg[Bib],0)),""))</f>
        <v/>
      </c>
      <c r="F64" s="4" t="s">
        <v>103</v>
      </c>
      <c r="G64" t="str">
        <f t="shared" si="0"/>
        <v/>
      </c>
      <c r="H64" t="str">
        <f t="shared" si="1"/>
        <v/>
      </c>
      <c r="I64">
        <f>IF(H64="",0,IFERROR(INDEX(Config!$I$4:$I$6,MATCH(H64,Config!$H$4:$H$6,0)),0))</f>
        <v>0</v>
      </c>
      <c r="J64" t="str">
        <f t="shared" si="2"/>
        <v/>
      </c>
      <c r="K64" s="5" t="str">
        <f t="shared" si="3"/>
        <v/>
      </c>
      <c r="L64">
        <f>IF(A64="",999,IFERROR(MATCH(B64,Config!$A$4:$A$7,0),99)*10+IF(ISNUMBER(F64),1,IF(F64="",2,IF(UPPER(F64)="DNF",3,IF(UPPER(F64)="DNS",4,8)))))</f>
        <v>999</v>
      </c>
    </row>
    <row r="65" spans="2:12" x14ac:dyDescent="0.25">
      <c r="B65" t="str">
        <f>IF(A65="","",IFERROR(INDEX(tblReg[Field],MATCH(A65,tblReg[Bib],0)),""))</f>
        <v/>
      </c>
      <c r="C65" t="str">
        <f>IF(A65="","",IFERROR(INDEX(tblReg[FirstName],MATCH(A65,tblReg[Bib],0)),""))</f>
        <v/>
      </c>
      <c r="D65" t="str">
        <f>IF(A65="","",IFERROR(INDEX(tblReg[LastName],MATCH(A65,tblReg[Bib],0)),""))</f>
        <v/>
      </c>
      <c r="E65" t="str">
        <f>IF(A65="","",IFERROR(INDEX(tblReg[Team],MATCH(A65,tblReg[Bib],0)),""))</f>
        <v/>
      </c>
      <c r="F65" s="4" t="s">
        <v>103</v>
      </c>
      <c r="G65" t="str">
        <f t="shared" si="0"/>
        <v/>
      </c>
      <c r="H65" t="str">
        <f t="shared" si="1"/>
        <v/>
      </c>
      <c r="I65">
        <f>IF(H65="",0,IFERROR(INDEX(Config!$I$4:$I$6,MATCH(H65,Config!$H$4:$H$6,0)),0))</f>
        <v>0</v>
      </c>
      <c r="J65" t="str">
        <f t="shared" si="2"/>
        <v/>
      </c>
      <c r="K65" s="5" t="str">
        <f t="shared" si="3"/>
        <v/>
      </c>
      <c r="L65">
        <f>IF(A65="",999,IFERROR(MATCH(B65,Config!$A$4:$A$7,0),99)*10+IF(ISNUMBER(F65),1,IF(F65="",2,IF(UPPER(F65)="DNF",3,IF(UPPER(F65)="DNS",4,8)))))</f>
        <v>999</v>
      </c>
    </row>
    <row r="66" spans="2:12" x14ac:dyDescent="0.25">
      <c r="B66" t="str">
        <f>IF(A66="","",IFERROR(INDEX(tblReg[Field],MATCH(A66,tblReg[Bib],0)),""))</f>
        <v/>
      </c>
      <c r="C66" t="str">
        <f>IF(A66="","",IFERROR(INDEX(tblReg[FirstName],MATCH(A66,tblReg[Bib],0)),""))</f>
        <v/>
      </c>
      <c r="D66" t="str">
        <f>IF(A66="","",IFERROR(INDEX(tblReg[LastName],MATCH(A66,tblReg[Bib],0)),""))</f>
        <v/>
      </c>
      <c r="E66" t="str">
        <f>IF(A66="","",IFERROR(INDEX(tblReg[Team],MATCH(A66,tblReg[Bib],0)),""))</f>
        <v/>
      </c>
      <c r="F66" s="4" t="s">
        <v>103</v>
      </c>
      <c r="G66" t="str">
        <f t="shared" ref="G66:G129" si="4">IF(OR(F66="",UPPER(F66)="DNF",UPPER(F66)="DNS"),"",HOUR(F66)*3600 + MINUTE(F66)*60 + SECOND(F66))</f>
        <v/>
      </c>
      <c r="H66" t="str">
        <f t="shared" ref="H66:H129" si="5">IF(OR(A66="",B66=""),"",IF(ISNUMBER(G66),1+COUNTIFS($B$2:$B$251,B66,$G$2:$G$251,"&lt;"&amp;G66),IF(F66="",COUNTIFS($B$2:$B$251,B66,$G$2:$G$251,"&gt;=0")+COUNTIFS($B$2:$B$251,B66,$F$2:$F$251,"",$A$2:$A$251,"&lt;"&amp;A66)+1,"")))</f>
        <v/>
      </c>
      <c r="I66">
        <f>IF(H66="",0,IFERROR(INDEX(Config!$I$4:$I$6,MATCH(H66,Config!$H$4:$H$6,0)),0))</f>
        <v>0</v>
      </c>
      <c r="J66" t="str">
        <f t="shared" ref="J66:J129" si="6">IF(G66="","",G66-I66)</f>
        <v/>
      </c>
      <c r="K66" s="5" t="str">
        <f t="shared" ref="K66:K129" si="7">IF(J66="","",J66/86400)</f>
        <v/>
      </c>
      <c r="L66">
        <f>IF(A66="",999,IFERROR(MATCH(B66,Config!$A$4:$A$7,0),99)*10+IF(ISNUMBER(F66),1,IF(F66="",2,IF(UPPER(F66)="DNF",3,IF(UPPER(F66)="DNS",4,8)))))</f>
        <v>999</v>
      </c>
    </row>
    <row r="67" spans="2:12" x14ac:dyDescent="0.25">
      <c r="B67" t="str">
        <f>IF(A67="","",IFERROR(INDEX(tblReg[Field],MATCH(A67,tblReg[Bib],0)),""))</f>
        <v/>
      </c>
      <c r="C67" t="str">
        <f>IF(A67="","",IFERROR(INDEX(tblReg[FirstName],MATCH(A67,tblReg[Bib],0)),""))</f>
        <v/>
      </c>
      <c r="D67" t="str">
        <f>IF(A67="","",IFERROR(INDEX(tblReg[LastName],MATCH(A67,tblReg[Bib],0)),""))</f>
        <v/>
      </c>
      <c r="E67" t="str">
        <f>IF(A67="","",IFERROR(INDEX(tblReg[Team],MATCH(A67,tblReg[Bib],0)),""))</f>
        <v/>
      </c>
      <c r="F67" s="4" t="s">
        <v>103</v>
      </c>
      <c r="G67" t="str">
        <f t="shared" si="4"/>
        <v/>
      </c>
      <c r="H67" t="str">
        <f t="shared" si="5"/>
        <v/>
      </c>
      <c r="I67">
        <f>IF(H67="",0,IFERROR(INDEX(Config!$I$4:$I$6,MATCH(H67,Config!$H$4:$H$6,0)),0))</f>
        <v>0</v>
      </c>
      <c r="J67" t="str">
        <f t="shared" si="6"/>
        <v/>
      </c>
      <c r="K67" s="5" t="str">
        <f t="shared" si="7"/>
        <v/>
      </c>
      <c r="L67">
        <f>IF(A67="",999,IFERROR(MATCH(B67,Config!$A$4:$A$7,0),99)*10+IF(ISNUMBER(F67),1,IF(F67="",2,IF(UPPER(F67)="DNF",3,IF(UPPER(F67)="DNS",4,8)))))</f>
        <v>999</v>
      </c>
    </row>
    <row r="68" spans="2:12" x14ac:dyDescent="0.25">
      <c r="B68" t="str">
        <f>IF(A68="","",IFERROR(INDEX(tblReg[Field],MATCH(A68,tblReg[Bib],0)),""))</f>
        <v/>
      </c>
      <c r="C68" t="str">
        <f>IF(A68="","",IFERROR(INDEX(tblReg[FirstName],MATCH(A68,tblReg[Bib],0)),""))</f>
        <v/>
      </c>
      <c r="D68" t="str">
        <f>IF(A68="","",IFERROR(INDEX(tblReg[LastName],MATCH(A68,tblReg[Bib],0)),""))</f>
        <v/>
      </c>
      <c r="E68" t="str">
        <f>IF(A68="","",IFERROR(INDEX(tblReg[Team],MATCH(A68,tblReg[Bib],0)),""))</f>
        <v/>
      </c>
      <c r="F68" s="4" t="s">
        <v>103</v>
      </c>
      <c r="G68" t="str">
        <f t="shared" si="4"/>
        <v/>
      </c>
      <c r="H68" t="str">
        <f t="shared" si="5"/>
        <v/>
      </c>
      <c r="I68">
        <f>IF(H68="",0,IFERROR(INDEX(Config!$I$4:$I$6,MATCH(H68,Config!$H$4:$H$6,0)),0))</f>
        <v>0</v>
      </c>
      <c r="J68" t="str">
        <f t="shared" si="6"/>
        <v/>
      </c>
      <c r="K68" s="5" t="str">
        <f t="shared" si="7"/>
        <v/>
      </c>
      <c r="L68">
        <f>IF(A68="",999,IFERROR(MATCH(B68,Config!$A$4:$A$7,0),99)*10+IF(ISNUMBER(F68),1,IF(F68="",2,IF(UPPER(F68)="DNF",3,IF(UPPER(F68)="DNS",4,8)))))</f>
        <v>999</v>
      </c>
    </row>
    <row r="69" spans="2:12" x14ac:dyDescent="0.25">
      <c r="B69" t="str">
        <f>IF(A69="","",IFERROR(INDEX(tblReg[Field],MATCH(A69,tblReg[Bib],0)),""))</f>
        <v/>
      </c>
      <c r="C69" t="str">
        <f>IF(A69="","",IFERROR(INDEX(tblReg[FirstName],MATCH(A69,tblReg[Bib],0)),""))</f>
        <v/>
      </c>
      <c r="D69" t="str">
        <f>IF(A69="","",IFERROR(INDEX(tblReg[LastName],MATCH(A69,tblReg[Bib],0)),""))</f>
        <v/>
      </c>
      <c r="E69" t="str">
        <f>IF(A69="","",IFERROR(INDEX(tblReg[Team],MATCH(A69,tblReg[Bib],0)),""))</f>
        <v/>
      </c>
      <c r="F69" s="4" t="s">
        <v>103</v>
      </c>
      <c r="G69" t="str">
        <f t="shared" si="4"/>
        <v/>
      </c>
      <c r="H69" t="str">
        <f t="shared" si="5"/>
        <v/>
      </c>
      <c r="I69">
        <f>IF(H69="",0,IFERROR(INDEX(Config!$I$4:$I$6,MATCH(H69,Config!$H$4:$H$6,0)),0))</f>
        <v>0</v>
      </c>
      <c r="J69" t="str">
        <f t="shared" si="6"/>
        <v/>
      </c>
      <c r="K69" s="5" t="str">
        <f t="shared" si="7"/>
        <v/>
      </c>
      <c r="L69">
        <f>IF(A69="",999,IFERROR(MATCH(B69,Config!$A$4:$A$7,0),99)*10+IF(ISNUMBER(F69),1,IF(F69="",2,IF(UPPER(F69)="DNF",3,IF(UPPER(F69)="DNS",4,8)))))</f>
        <v>999</v>
      </c>
    </row>
    <row r="70" spans="2:12" x14ac:dyDescent="0.25">
      <c r="B70" t="str">
        <f>IF(A70="","",IFERROR(INDEX(tblReg[Field],MATCH(A70,tblReg[Bib],0)),""))</f>
        <v/>
      </c>
      <c r="C70" t="str">
        <f>IF(A70="","",IFERROR(INDEX(tblReg[FirstName],MATCH(A70,tblReg[Bib],0)),""))</f>
        <v/>
      </c>
      <c r="D70" t="str">
        <f>IF(A70="","",IFERROR(INDEX(tblReg[LastName],MATCH(A70,tblReg[Bib],0)),""))</f>
        <v/>
      </c>
      <c r="E70" t="str">
        <f>IF(A70="","",IFERROR(INDEX(tblReg[Team],MATCH(A70,tblReg[Bib],0)),""))</f>
        <v/>
      </c>
      <c r="F70" s="4" t="s">
        <v>103</v>
      </c>
      <c r="G70" t="str">
        <f t="shared" si="4"/>
        <v/>
      </c>
      <c r="H70" t="str">
        <f t="shared" si="5"/>
        <v/>
      </c>
      <c r="I70">
        <f>IF(H70="",0,IFERROR(INDEX(Config!$I$4:$I$6,MATCH(H70,Config!$H$4:$H$6,0)),0))</f>
        <v>0</v>
      </c>
      <c r="J70" t="str">
        <f t="shared" si="6"/>
        <v/>
      </c>
      <c r="K70" s="5" t="str">
        <f t="shared" si="7"/>
        <v/>
      </c>
      <c r="L70">
        <f>IF(A70="",999,IFERROR(MATCH(B70,Config!$A$4:$A$7,0),99)*10+IF(ISNUMBER(F70),1,IF(F70="",2,IF(UPPER(F70)="DNF",3,IF(UPPER(F70)="DNS",4,8)))))</f>
        <v>999</v>
      </c>
    </row>
    <row r="71" spans="2:12" x14ac:dyDescent="0.25">
      <c r="B71" t="str">
        <f>IF(A71="","",IFERROR(INDEX(tblReg[Field],MATCH(A71,tblReg[Bib],0)),""))</f>
        <v/>
      </c>
      <c r="C71" t="str">
        <f>IF(A71="","",IFERROR(INDEX(tblReg[FirstName],MATCH(A71,tblReg[Bib],0)),""))</f>
        <v/>
      </c>
      <c r="D71" t="str">
        <f>IF(A71="","",IFERROR(INDEX(tblReg[LastName],MATCH(A71,tblReg[Bib],0)),""))</f>
        <v/>
      </c>
      <c r="E71" t="str">
        <f>IF(A71="","",IFERROR(INDEX(tblReg[Team],MATCH(A71,tblReg[Bib],0)),""))</f>
        <v/>
      </c>
      <c r="F71" s="4" t="s">
        <v>103</v>
      </c>
      <c r="G71" t="str">
        <f t="shared" si="4"/>
        <v/>
      </c>
      <c r="H71" t="str">
        <f t="shared" si="5"/>
        <v/>
      </c>
      <c r="I71">
        <f>IF(H71="",0,IFERROR(INDEX(Config!$I$4:$I$6,MATCH(H71,Config!$H$4:$H$6,0)),0))</f>
        <v>0</v>
      </c>
      <c r="J71" t="str">
        <f t="shared" si="6"/>
        <v/>
      </c>
      <c r="K71" s="5" t="str">
        <f t="shared" si="7"/>
        <v/>
      </c>
      <c r="L71">
        <f>IF(A71="",999,IFERROR(MATCH(B71,Config!$A$4:$A$7,0),99)*10+IF(ISNUMBER(F71),1,IF(F71="",2,IF(UPPER(F71)="DNF",3,IF(UPPER(F71)="DNS",4,8)))))</f>
        <v>999</v>
      </c>
    </row>
    <row r="72" spans="2:12" x14ac:dyDescent="0.25">
      <c r="B72" t="str">
        <f>IF(A72="","",IFERROR(INDEX(tblReg[Field],MATCH(A72,tblReg[Bib],0)),""))</f>
        <v/>
      </c>
      <c r="C72" t="str">
        <f>IF(A72="","",IFERROR(INDEX(tblReg[FirstName],MATCH(A72,tblReg[Bib],0)),""))</f>
        <v/>
      </c>
      <c r="D72" t="str">
        <f>IF(A72="","",IFERROR(INDEX(tblReg[LastName],MATCH(A72,tblReg[Bib],0)),""))</f>
        <v/>
      </c>
      <c r="E72" t="str">
        <f>IF(A72="","",IFERROR(INDEX(tblReg[Team],MATCH(A72,tblReg[Bib],0)),""))</f>
        <v/>
      </c>
      <c r="F72" s="4" t="s">
        <v>103</v>
      </c>
      <c r="G72" t="str">
        <f t="shared" si="4"/>
        <v/>
      </c>
      <c r="H72" t="str">
        <f t="shared" si="5"/>
        <v/>
      </c>
      <c r="I72">
        <f>IF(H72="",0,IFERROR(INDEX(Config!$I$4:$I$6,MATCH(H72,Config!$H$4:$H$6,0)),0))</f>
        <v>0</v>
      </c>
      <c r="J72" t="str">
        <f t="shared" si="6"/>
        <v/>
      </c>
      <c r="K72" s="5" t="str">
        <f t="shared" si="7"/>
        <v/>
      </c>
      <c r="L72">
        <f>IF(A72="",999,IFERROR(MATCH(B72,Config!$A$4:$A$7,0),99)*10+IF(ISNUMBER(F72),1,IF(F72="",2,IF(UPPER(F72)="DNF",3,IF(UPPER(F72)="DNS",4,8)))))</f>
        <v>999</v>
      </c>
    </row>
    <row r="73" spans="2:12" x14ac:dyDescent="0.25">
      <c r="B73" t="str">
        <f>IF(A73="","",IFERROR(INDEX(tblReg[Field],MATCH(A73,tblReg[Bib],0)),""))</f>
        <v/>
      </c>
      <c r="C73" t="str">
        <f>IF(A73="","",IFERROR(INDEX(tblReg[FirstName],MATCH(A73,tblReg[Bib],0)),""))</f>
        <v/>
      </c>
      <c r="D73" t="str">
        <f>IF(A73="","",IFERROR(INDEX(tblReg[LastName],MATCH(A73,tblReg[Bib],0)),""))</f>
        <v/>
      </c>
      <c r="E73" t="str">
        <f>IF(A73="","",IFERROR(INDEX(tblReg[Team],MATCH(A73,tblReg[Bib],0)),""))</f>
        <v/>
      </c>
      <c r="F73" s="4" t="s">
        <v>103</v>
      </c>
      <c r="G73" t="str">
        <f t="shared" si="4"/>
        <v/>
      </c>
      <c r="H73" t="str">
        <f t="shared" si="5"/>
        <v/>
      </c>
      <c r="I73">
        <f>IF(H73="",0,IFERROR(INDEX(Config!$I$4:$I$6,MATCH(H73,Config!$H$4:$H$6,0)),0))</f>
        <v>0</v>
      </c>
      <c r="J73" t="str">
        <f t="shared" si="6"/>
        <v/>
      </c>
      <c r="K73" s="5" t="str">
        <f t="shared" si="7"/>
        <v/>
      </c>
      <c r="L73">
        <f>IF(A73="",999,IFERROR(MATCH(B73,Config!$A$4:$A$7,0),99)*10+IF(ISNUMBER(F73),1,IF(F73="",2,IF(UPPER(F73)="DNF",3,IF(UPPER(F73)="DNS",4,8)))))</f>
        <v>999</v>
      </c>
    </row>
    <row r="74" spans="2:12" x14ac:dyDescent="0.25">
      <c r="B74" t="str">
        <f>IF(A74="","",IFERROR(INDEX(tblReg[Field],MATCH(A74,tblReg[Bib],0)),""))</f>
        <v/>
      </c>
      <c r="C74" t="str">
        <f>IF(A74="","",IFERROR(INDEX(tblReg[FirstName],MATCH(A74,tblReg[Bib],0)),""))</f>
        <v/>
      </c>
      <c r="D74" t="str">
        <f>IF(A74="","",IFERROR(INDEX(tblReg[LastName],MATCH(A74,tblReg[Bib],0)),""))</f>
        <v/>
      </c>
      <c r="E74" t="str">
        <f>IF(A74="","",IFERROR(INDEX(tblReg[Team],MATCH(A74,tblReg[Bib],0)),""))</f>
        <v/>
      </c>
      <c r="F74" s="4" t="s">
        <v>103</v>
      </c>
      <c r="G74" t="str">
        <f t="shared" si="4"/>
        <v/>
      </c>
      <c r="H74" t="str">
        <f t="shared" si="5"/>
        <v/>
      </c>
      <c r="I74">
        <f>IF(H74="",0,IFERROR(INDEX(Config!$I$4:$I$6,MATCH(H74,Config!$H$4:$H$6,0)),0))</f>
        <v>0</v>
      </c>
      <c r="J74" t="str">
        <f t="shared" si="6"/>
        <v/>
      </c>
      <c r="K74" s="5" t="str">
        <f t="shared" si="7"/>
        <v/>
      </c>
      <c r="L74">
        <f>IF(A74="",999,IFERROR(MATCH(B74,Config!$A$4:$A$7,0),99)*10+IF(ISNUMBER(F74),1,IF(F74="",2,IF(UPPER(F74)="DNF",3,IF(UPPER(F74)="DNS",4,8)))))</f>
        <v>999</v>
      </c>
    </row>
    <row r="75" spans="2:12" x14ac:dyDescent="0.25">
      <c r="B75" t="str">
        <f>IF(A75="","",IFERROR(INDEX(tblReg[Field],MATCH(A75,tblReg[Bib],0)),""))</f>
        <v/>
      </c>
      <c r="C75" t="str">
        <f>IF(A75="","",IFERROR(INDEX(tblReg[FirstName],MATCH(A75,tblReg[Bib],0)),""))</f>
        <v/>
      </c>
      <c r="D75" t="str">
        <f>IF(A75="","",IFERROR(INDEX(tblReg[LastName],MATCH(A75,tblReg[Bib],0)),""))</f>
        <v/>
      </c>
      <c r="E75" t="str">
        <f>IF(A75="","",IFERROR(INDEX(tblReg[Team],MATCH(A75,tblReg[Bib],0)),""))</f>
        <v/>
      </c>
      <c r="F75" s="4" t="s">
        <v>103</v>
      </c>
      <c r="G75" t="str">
        <f t="shared" si="4"/>
        <v/>
      </c>
      <c r="H75" t="str">
        <f t="shared" si="5"/>
        <v/>
      </c>
      <c r="I75">
        <f>IF(H75="",0,IFERROR(INDEX(Config!$I$4:$I$6,MATCH(H75,Config!$H$4:$H$6,0)),0))</f>
        <v>0</v>
      </c>
      <c r="J75" t="str">
        <f t="shared" si="6"/>
        <v/>
      </c>
      <c r="K75" s="5" t="str">
        <f t="shared" si="7"/>
        <v/>
      </c>
      <c r="L75">
        <f>IF(A75="",999,IFERROR(MATCH(B75,Config!$A$4:$A$7,0),99)*10+IF(ISNUMBER(F75),1,IF(F75="",2,IF(UPPER(F75)="DNF",3,IF(UPPER(F75)="DNS",4,8)))))</f>
        <v>999</v>
      </c>
    </row>
    <row r="76" spans="2:12" x14ac:dyDescent="0.25">
      <c r="B76" t="str">
        <f>IF(A76="","",IFERROR(INDEX(tblReg[Field],MATCH(A76,tblReg[Bib],0)),""))</f>
        <v/>
      </c>
      <c r="C76" t="str">
        <f>IF(A76="","",IFERROR(INDEX(tblReg[FirstName],MATCH(A76,tblReg[Bib],0)),""))</f>
        <v/>
      </c>
      <c r="D76" t="str">
        <f>IF(A76="","",IFERROR(INDEX(tblReg[LastName],MATCH(A76,tblReg[Bib],0)),""))</f>
        <v/>
      </c>
      <c r="E76" t="str">
        <f>IF(A76="","",IFERROR(INDEX(tblReg[Team],MATCH(A76,tblReg[Bib],0)),""))</f>
        <v/>
      </c>
      <c r="F76" s="4" t="s">
        <v>103</v>
      </c>
      <c r="G76" t="str">
        <f t="shared" si="4"/>
        <v/>
      </c>
      <c r="H76" t="str">
        <f t="shared" si="5"/>
        <v/>
      </c>
      <c r="I76">
        <f>IF(H76="",0,IFERROR(INDEX(Config!$I$4:$I$6,MATCH(H76,Config!$H$4:$H$6,0)),0))</f>
        <v>0</v>
      </c>
      <c r="J76" t="str">
        <f t="shared" si="6"/>
        <v/>
      </c>
      <c r="K76" s="5" t="str">
        <f t="shared" si="7"/>
        <v/>
      </c>
      <c r="L76">
        <f>IF(A76="",999,IFERROR(MATCH(B76,Config!$A$4:$A$7,0),99)*10+IF(ISNUMBER(F76),1,IF(F76="",2,IF(UPPER(F76)="DNF",3,IF(UPPER(F76)="DNS",4,8)))))</f>
        <v>999</v>
      </c>
    </row>
    <row r="77" spans="2:12" x14ac:dyDescent="0.25">
      <c r="B77" t="str">
        <f>IF(A77="","",IFERROR(INDEX(tblReg[Field],MATCH(A77,tblReg[Bib],0)),""))</f>
        <v/>
      </c>
      <c r="C77" t="str">
        <f>IF(A77="","",IFERROR(INDEX(tblReg[FirstName],MATCH(A77,tblReg[Bib],0)),""))</f>
        <v/>
      </c>
      <c r="D77" t="str">
        <f>IF(A77="","",IFERROR(INDEX(tblReg[LastName],MATCH(A77,tblReg[Bib],0)),""))</f>
        <v/>
      </c>
      <c r="E77" t="str">
        <f>IF(A77="","",IFERROR(INDEX(tblReg[Team],MATCH(A77,tblReg[Bib],0)),""))</f>
        <v/>
      </c>
      <c r="F77" s="4" t="s">
        <v>103</v>
      </c>
      <c r="G77" t="str">
        <f t="shared" si="4"/>
        <v/>
      </c>
      <c r="H77" t="str">
        <f t="shared" si="5"/>
        <v/>
      </c>
      <c r="I77">
        <f>IF(H77="",0,IFERROR(INDEX(Config!$I$4:$I$6,MATCH(H77,Config!$H$4:$H$6,0)),0))</f>
        <v>0</v>
      </c>
      <c r="J77" t="str">
        <f t="shared" si="6"/>
        <v/>
      </c>
      <c r="K77" s="5" t="str">
        <f t="shared" si="7"/>
        <v/>
      </c>
      <c r="L77">
        <f>IF(A77="",999,IFERROR(MATCH(B77,Config!$A$4:$A$7,0),99)*10+IF(ISNUMBER(F77),1,IF(F77="",2,IF(UPPER(F77)="DNF",3,IF(UPPER(F77)="DNS",4,8)))))</f>
        <v>999</v>
      </c>
    </row>
    <row r="78" spans="2:12" x14ac:dyDescent="0.25">
      <c r="B78" t="str">
        <f>IF(A78="","",IFERROR(INDEX(tblReg[Field],MATCH(A78,tblReg[Bib],0)),""))</f>
        <v/>
      </c>
      <c r="C78" t="str">
        <f>IF(A78="","",IFERROR(INDEX(tblReg[FirstName],MATCH(A78,tblReg[Bib],0)),""))</f>
        <v/>
      </c>
      <c r="D78" t="str">
        <f>IF(A78="","",IFERROR(INDEX(tblReg[LastName],MATCH(A78,tblReg[Bib],0)),""))</f>
        <v/>
      </c>
      <c r="E78" t="str">
        <f>IF(A78="","",IFERROR(INDEX(tblReg[Team],MATCH(A78,tblReg[Bib],0)),""))</f>
        <v/>
      </c>
      <c r="F78" s="4" t="s">
        <v>103</v>
      </c>
      <c r="G78" t="str">
        <f t="shared" si="4"/>
        <v/>
      </c>
      <c r="H78" t="str">
        <f t="shared" si="5"/>
        <v/>
      </c>
      <c r="I78">
        <f>IF(H78="",0,IFERROR(INDEX(Config!$I$4:$I$6,MATCH(H78,Config!$H$4:$H$6,0)),0))</f>
        <v>0</v>
      </c>
      <c r="J78" t="str">
        <f t="shared" si="6"/>
        <v/>
      </c>
      <c r="K78" s="5" t="str">
        <f t="shared" si="7"/>
        <v/>
      </c>
      <c r="L78">
        <f>IF(A78="",999,IFERROR(MATCH(B78,Config!$A$4:$A$7,0),99)*10+IF(ISNUMBER(F78),1,IF(F78="",2,IF(UPPER(F78)="DNF",3,IF(UPPER(F78)="DNS",4,8)))))</f>
        <v>999</v>
      </c>
    </row>
    <row r="79" spans="2:12" x14ac:dyDescent="0.25">
      <c r="B79" t="str">
        <f>IF(A79="","",IFERROR(INDEX(tblReg[Field],MATCH(A79,tblReg[Bib],0)),""))</f>
        <v/>
      </c>
      <c r="C79" t="str">
        <f>IF(A79="","",IFERROR(INDEX(tblReg[FirstName],MATCH(A79,tblReg[Bib],0)),""))</f>
        <v/>
      </c>
      <c r="D79" t="str">
        <f>IF(A79="","",IFERROR(INDEX(tblReg[LastName],MATCH(A79,tblReg[Bib],0)),""))</f>
        <v/>
      </c>
      <c r="E79" t="str">
        <f>IF(A79="","",IFERROR(INDEX(tblReg[Team],MATCH(A79,tblReg[Bib],0)),""))</f>
        <v/>
      </c>
      <c r="F79" s="4" t="s">
        <v>103</v>
      </c>
      <c r="G79" t="str">
        <f t="shared" si="4"/>
        <v/>
      </c>
      <c r="H79" t="str">
        <f t="shared" si="5"/>
        <v/>
      </c>
      <c r="I79">
        <f>IF(H79="",0,IFERROR(INDEX(Config!$I$4:$I$6,MATCH(H79,Config!$H$4:$H$6,0)),0))</f>
        <v>0</v>
      </c>
      <c r="J79" t="str">
        <f t="shared" si="6"/>
        <v/>
      </c>
      <c r="K79" s="5" t="str">
        <f t="shared" si="7"/>
        <v/>
      </c>
      <c r="L79">
        <f>IF(A79="",999,IFERROR(MATCH(B79,Config!$A$4:$A$7,0),99)*10+IF(ISNUMBER(F79),1,IF(F79="",2,IF(UPPER(F79)="DNF",3,IF(UPPER(F79)="DNS",4,8)))))</f>
        <v>999</v>
      </c>
    </row>
    <row r="80" spans="2:12" x14ac:dyDescent="0.25">
      <c r="B80" t="str">
        <f>IF(A80="","",IFERROR(INDEX(tblReg[Field],MATCH(A80,tblReg[Bib],0)),""))</f>
        <v/>
      </c>
      <c r="C80" t="str">
        <f>IF(A80="","",IFERROR(INDEX(tblReg[FirstName],MATCH(A80,tblReg[Bib],0)),""))</f>
        <v/>
      </c>
      <c r="D80" t="str">
        <f>IF(A80="","",IFERROR(INDEX(tblReg[LastName],MATCH(A80,tblReg[Bib],0)),""))</f>
        <v/>
      </c>
      <c r="E80" t="str">
        <f>IF(A80="","",IFERROR(INDEX(tblReg[Team],MATCH(A80,tblReg[Bib],0)),""))</f>
        <v/>
      </c>
      <c r="F80" s="4" t="s">
        <v>103</v>
      </c>
      <c r="G80" t="str">
        <f t="shared" si="4"/>
        <v/>
      </c>
      <c r="H80" t="str">
        <f t="shared" si="5"/>
        <v/>
      </c>
      <c r="I80">
        <f>IF(H80="",0,IFERROR(INDEX(Config!$I$4:$I$6,MATCH(H80,Config!$H$4:$H$6,0)),0))</f>
        <v>0</v>
      </c>
      <c r="J80" t="str">
        <f t="shared" si="6"/>
        <v/>
      </c>
      <c r="K80" s="5" t="str">
        <f t="shared" si="7"/>
        <v/>
      </c>
      <c r="L80">
        <f>IF(A80="",999,IFERROR(MATCH(B80,Config!$A$4:$A$7,0),99)*10+IF(ISNUMBER(F80),1,IF(F80="",2,IF(UPPER(F80)="DNF",3,IF(UPPER(F80)="DNS",4,8)))))</f>
        <v>999</v>
      </c>
    </row>
    <row r="81" spans="2:12" x14ac:dyDescent="0.25">
      <c r="B81" t="str">
        <f>IF(A81="","",IFERROR(INDEX(tblReg[Field],MATCH(A81,tblReg[Bib],0)),""))</f>
        <v/>
      </c>
      <c r="C81" t="str">
        <f>IF(A81="","",IFERROR(INDEX(tblReg[FirstName],MATCH(A81,tblReg[Bib],0)),""))</f>
        <v/>
      </c>
      <c r="D81" t="str">
        <f>IF(A81="","",IFERROR(INDEX(tblReg[LastName],MATCH(A81,tblReg[Bib],0)),""))</f>
        <v/>
      </c>
      <c r="E81" t="str">
        <f>IF(A81="","",IFERROR(INDEX(tblReg[Team],MATCH(A81,tblReg[Bib],0)),""))</f>
        <v/>
      </c>
      <c r="F81" s="4" t="s">
        <v>103</v>
      </c>
      <c r="G81" t="str">
        <f t="shared" si="4"/>
        <v/>
      </c>
      <c r="H81" t="str">
        <f t="shared" si="5"/>
        <v/>
      </c>
      <c r="I81">
        <f>IF(H81="",0,IFERROR(INDEX(Config!$I$4:$I$6,MATCH(H81,Config!$H$4:$H$6,0)),0))</f>
        <v>0</v>
      </c>
      <c r="J81" t="str">
        <f t="shared" si="6"/>
        <v/>
      </c>
      <c r="K81" s="5" t="str">
        <f t="shared" si="7"/>
        <v/>
      </c>
      <c r="L81">
        <f>IF(A81="",999,IFERROR(MATCH(B81,Config!$A$4:$A$7,0),99)*10+IF(ISNUMBER(F81),1,IF(F81="",2,IF(UPPER(F81)="DNF",3,IF(UPPER(F81)="DNS",4,8)))))</f>
        <v>999</v>
      </c>
    </row>
    <row r="82" spans="2:12" x14ac:dyDescent="0.25">
      <c r="B82" t="str">
        <f>IF(A82="","",IFERROR(INDEX(tblReg[Field],MATCH(A82,tblReg[Bib],0)),""))</f>
        <v/>
      </c>
      <c r="C82" t="str">
        <f>IF(A82="","",IFERROR(INDEX(tblReg[FirstName],MATCH(A82,tblReg[Bib],0)),""))</f>
        <v/>
      </c>
      <c r="D82" t="str">
        <f>IF(A82="","",IFERROR(INDEX(tblReg[LastName],MATCH(A82,tblReg[Bib],0)),""))</f>
        <v/>
      </c>
      <c r="E82" t="str">
        <f>IF(A82="","",IFERROR(INDEX(tblReg[Team],MATCH(A82,tblReg[Bib],0)),""))</f>
        <v/>
      </c>
      <c r="F82" s="4" t="s">
        <v>103</v>
      </c>
      <c r="G82" t="str">
        <f t="shared" si="4"/>
        <v/>
      </c>
      <c r="H82" t="str">
        <f t="shared" si="5"/>
        <v/>
      </c>
      <c r="I82">
        <f>IF(H82="",0,IFERROR(INDEX(Config!$I$4:$I$6,MATCH(H82,Config!$H$4:$H$6,0)),0))</f>
        <v>0</v>
      </c>
      <c r="J82" t="str">
        <f t="shared" si="6"/>
        <v/>
      </c>
      <c r="K82" s="5" t="str">
        <f t="shared" si="7"/>
        <v/>
      </c>
      <c r="L82">
        <f>IF(A82="",999,IFERROR(MATCH(B82,Config!$A$4:$A$7,0),99)*10+IF(ISNUMBER(F82),1,IF(F82="",2,IF(UPPER(F82)="DNF",3,IF(UPPER(F82)="DNS",4,8)))))</f>
        <v>999</v>
      </c>
    </row>
    <row r="83" spans="2:12" x14ac:dyDescent="0.25">
      <c r="B83" t="str">
        <f>IF(A83="","",IFERROR(INDEX(tblReg[Field],MATCH(A83,tblReg[Bib],0)),""))</f>
        <v/>
      </c>
      <c r="C83" t="str">
        <f>IF(A83="","",IFERROR(INDEX(tblReg[FirstName],MATCH(A83,tblReg[Bib],0)),""))</f>
        <v/>
      </c>
      <c r="D83" t="str">
        <f>IF(A83="","",IFERROR(INDEX(tblReg[LastName],MATCH(A83,tblReg[Bib],0)),""))</f>
        <v/>
      </c>
      <c r="E83" t="str">
        <f>IF(A83="","",IFERROR(INDEX(tblReg[Team],MATCH(A83,tblReg[Bib],0)),""))</f>
        <v/>
      </c>
      <c r="F83" s="4" t="s">
        <v>103</v>
      </c>
      <c r="G83" t="str">
        <f t="shared" si="4"/>
        <v/>
      </c>
      <c r="H83" t="str">
        <f t="shared" si="5"/>
        <v/>
      </c>
      <c r="I83">
        <f>IF(H83="",0,IFERROR(INDEX(Config!$I$4:$I$6,MATCH(H83,Config!$H$4:$H$6,0)),0))</f>
        <v>0</v>
      </c>
      <c r="J83" t="str">
        <f t="shared" si="6"/>
        <v/>
      </c>
      <c r="K83" s="5" t="str">
        <f t="shared" si="7"/>
        <v/>
      </c>
      <c r="L83">
        <f>IF(A83="",999,IFERROR(MATCH(B83,Config!$A$4:$A$7,0),99)*10+IF(ISNUMBER(F83),1,IF(F83="",2,IF(UPPER(F83)="DNF",3,IF(UPPER(F83)="DNS",4,8)))))</f>
        <v>999</v>
      </c>
    </row>
    <row r="84" spans="2:12" x14ac:dyDescent="0.25">
      <c r="B84" t="str">
        <f>IF(A84="","",IFERROR(INDEX(tblReg[Field],MATCH(A84,tblReg[Bib],0)),""))</f>
        <v/>
      </c>
      <c r="C84" t="str">
        <f>IF(A84="","",IFERROR(INDEX(tblReg[FirstName],MATCH(A84,tblReg[Bib],0)),""))</f>
        <v/>
      </c>
      <c r="D84" t="str">
        <f>IF(A84="","",IFERROR(INDEX(tblReg[LastName],MATCH(A84,tblReg[Bib],0)),""))</f>
        <v/>
      </c>
      <c r="E84" t="str">
        <f>IF(A84="","",IFERROR(INDEX(tblReg[Team],MATCH(A84,tblReg[Bib],0)),""))</f>
        <v/>
      </c>
      <c r="F84" s="4" t="s">
        <v>103</v>
      </c>
      <c r="G84" t="str">
        <f t="shared" si="4"/>
        <v/>
      </c>
      <c r="H84" t="str">
        <f t="shared" si="5"/>
        <v/>
      </c>
      <c r="I84">
        <f>IF(H84="",0,IFERROR(INDEX(Config!$I$4:$I$6,MATCH(H84,Config!$H$4:$H$6,0)),0))</f>
        <v>0</v>
      </c>
      <c r="J84" t="str">
        <f t="shared" si="6"/>
        <v/>
      </c>
      <c r="K84" s="5" t="str">
        <f t="shared" si="7"/>
        <v/>
      </c>
      <c r="L84">
        <f>IF(A84="",999,IFERROR(MATCH(B84,Config!$A$4:$A$7,0),99)*10+IF(ISNUMBER(F84),1,IF(F84="",2,IF(UPPER(F84)="DNF",3,IF(UPPER(F84)="DNS",4,8)))))</f>
        <v>999</v>
      </c>
    </row>
    <row r="85" spans="2:12" x14ac:dyDescent="0.25">
      <c r="B85" t="str">
        <f>IF(A85="","",IFERROR(INDEX(tblReg[Field],MATCH(A85,tblReg[Bib],0)),""))</f>
        <v/>
      </c>
      <c r="C85" t="str">
        <f>IF(A85="","",IFERROR(INDEX(tblReg[FirstName],MATCH(A85,tblReg[Bib],0)),""))</f>
        <v/>
      </c>
      <c r="D85" t="str">
        <f>IF(A85="","",IFERROR(INDEX(tblReg[LastName],MATCH(A85,tblReg[Bib],0)),""))</f>
        <v/>
      </c>
      <c r="E85" t="str">
        <f>IF(A85="","",IFERROR(INDEX(tblReg[Team],MATCH(A85,tblReg[Bib],0)),""))</f>
        <v/>
      </c>
      <c r="F85" s="4" t="s">
        <v>103</v>
      </c>
      <c r="G85" t="str">
        <f t="shared" si="4"/>
        <v/>
      </c>
      <c r="H85" t="str">
        <f t="shared" si="5"/>
        <v/>
      </c>
      <c r="I85">
        <f>IF(H85="",0,IFERROR(INDEX(Config!$I$4:$I$6,MATCH(H85,Config!$H$4:$H$6,0)),0))</f>
        <v>0</v>
      </c>
      <c r="J85" t="str">
        <f t="shared" si="6"/>
        <v/>
      </c>
      <c r="K85" s="5" t="str">
        <f t="shared" si="7"/>
        <v/>
      </c>
      <c r="L85">
        <f>IF(A85="",999,IFERROR(MATCH(B85,Config!$A$4:$A$7,0),99)*10+IF(ISNUMBER(F85),1,IF(F85="",2,IF(UPPER(F85)="DNF",3,IF(UPPER(F85)="DNS",4,8)))))</f>
        <v>999</v>
      </c>
    </row>
    <row r="86" spans="2:12" x14ac:dyDescent="0.25">
      <c r="B86" t="str">
        <f>IF(A86="","",IFERROR(INDEX(tblReg[Field],MATCH(A86,tblReg[Bib],0)),""))</f>
        <v/>
      </c>
      <c r="C86" t="str">
        <f>IF(A86="","",IFERROR(INDEX(tblReg[FirstName],MATCH(A86,tblReg[Bib],0)),""))</f>
        <v/>
      </c>
      <c r="D86" t="str">
        <f>IF(A86="","",IFERROR(INDEX(tblReg[LastName],MATCH(A86,tblReg[Bib],0)),""))</f>
        <v/>
      </c>
      <c r="E86" t="str">
        <f>IF(A86="","",IFERROR(INDEX(tblReg[Team],MATCH(A86,tblReg[Bib],0)),""))</f>
        <v/>
      </c>
      <c r="F86" s="4" t="s">
        <v>103</v>
      </c>
      <c r="G86" t="str">
        <f t="shared" si="4"/>
        <v/>
      </c>
      <c r="H86" t="str">
        <f t="shared" si="5"/>
        <v/>
      </c>
      <c r="I86">
        <f>IF(H86="",0,IFERROR(INDEX(Config!$I$4:$I$6,MATCH(H86,Config!$H$4:$H$6,0)),0))</f>
        <v>0</v>
      </c>
      <c r="J86" t="str">
        <f t="shared" si="6"/>
        <v/>
      </c>
      <c r="K86" s="5" t="str">
        <f t="shared" si="7"/>
        <v/>
      </c>
      <c r="L86">
        <f>IF(A86="",999,IFERROR(MATCH(B86,Config!$A$4:$A$7,0),99)*10+IF(ISNUMBER(F86),1,IF(F86="",2,IF(UPPER(F86)="DNF",3,IF(UPPER(F86)="DNS",4,8)))))</f>
        <v>999</v>
      </c>
    </row>
    <row r="87" spans="2:12" x14ac:dyDescent="0.25">
      <c r="B87" t="str">
        <f>IF(A87="","",IFERROR(INDEX(tblReg[Field],MATCH(A87,tblReg[Bib],0)),""))</f>
        <v/>
      </c>
      <c r="C87" t="str">
        <f>IF(A87="","",IFERROR(INDEX(tblReg[FirstName],MATCH(A87,tblReg[Bib],0)),""))</f>
        <v/>
      </c>
      <c r="D87" t="str">
        <f>IF(A87="","",IFERROR(INDEX(tblReg[LastName],MATCH(A87,tblReg[Bib],0)),""))</f>
        <v/>
      </c>
      <c r="E87" t="str">
        <f>IF(A87="","",IFERROR(INDEX(tblReg[Team],MATCH(A87,tblReg[Bib],0)),""))</f>
        <v/>
      </c>
      <c r="F87" s="4" t="s">
        <v>103</v>
      </c>
      <c r="G87" t="str">
        <f t="shared" si="4"/>
        <v/>
      </c>
      <c r="H87" t="str">
        <f t="shared" si="5"/>
        <v/>
      </c>
      <c r="I87">
        <f>IF(H87="",0,IFERROR(INDEX(Config!$I$4:$I$6,MATCH(H87,Config!$H$4:$H$6,0)),0))</f>
        <v>0</v>
      </c>
      <c r="J87" t="str">
        <f t="shared" si="6"/>
        <v/>
      </c>
      <c r="K87" s="5" t="str">
        <f t="shared" si="7"/>
        <v/>
      </c>
      <c r="L87">
        <f>IF(A87="",999,IFERROR(MATCH(B87,Config!$A$4:$A$7,0),99)*10+IF(ISNUMBER(F87),1,IF(F87="",2,IF(UPPER(F87)="DNF",3,IF(UPPER(F87)="DNS",4,8)))))</f>
        <v>999</v>
      </c>
    </row>
    <row r="88" spans="2:12" x14ac:dyDescent="0.25">
      <c r="B88" t="str">
        <f>IF(A88="","",IFERROR(INDEX(tblReg[Field],MATCH(A88,tblReg[Bib],0)),""))</f>
        <v/>
      </c>
      <c r="C88" t="str">
        <f>IF(A88="","",IFERROR(INDEX(tblReg[FirstName],MATCH(A88,tblReg[Bib],0)),""))</f>
        <v/>
      </c>
      <c r="D88" t="str">
        <f>IF(A88="","",IFERROR(INDEX(tblReg[LastName],MATCH(A88,tblReg[Bib],0)),""))</f>
        <v/>
      </c>
      <c r="E88" t="str">
        <f>IF(A88="","",IFERROR(INDEX(tblReg[Team],MATCH(A88,tblReg[Bib],0)),""))</f>
        <v/>
      </c>
      <c r="F88" s="4" t="s">
        <v>103</v>
      </c>
      <c r="G88" t="str">
        <f t="shared" si="4"/>
        <v/>
      </c>
      <c r="H88" t="str">
        <f t="shared" si="5"/>
        <v/>
      </c>
      <c r="I88">
        <f>IF(H88="",0,IFERROR(INDEX(Config!$I$4:$I$6,MATCH(H88,Config!$H$4:$H$6,0)),0))</f>
        <v>0</v>
      </c>
      <c r="J88" t="str">
        <f t="shared" si="6"/>
        <v/>
      </c>
      <c r="K88" s="5" t="str">
        <f t="shared" si="7"/>
        <v/>
      </c>
      <c r="L88">
        <f>IF(A88="",999,IFERROR(MATCH(B88,Config!$A$4:$A$7,0),99)*10+IF(ISNUMBER(F88),1,IF(F88="",2,IF(UPPER(F88)="DNF",3,IF(UPPER(F88)="DNS",4,8)))))</f>
        <v>999</v>
      </c>
    </row>
    <row r="89" spans="2:12" x14ac:dyDescent="0.25">
      <c r="B89" t="str">
        <f>IF(A89="","",IFERROR(INDEX(tblReg[Field],MATCH(A89,tblReg[Bib],0)),""))</f>
        <v/>
      </c>
      <c r="C89" t="str">
        <f>IF(A89="","",IFERROR(INDEX(tblReg[FirstName],MATCH(A89,tblReg[Bib],0)),""))</f>
        <v/>
      </c>
      <c r="D89" t="str">
        <f>IF(A89="","",IFERROR(INDEX(tblReg[LastName],MATCH(A89,tblReg[Bib],0)),""))</f>
        <v/>
      </c>
      <c r="E89" t="str">
        <f>IF(A89="","",IFERROR(INDEX(tblReg[Team],MATCH(A89,tblReg[Bib],0)),""))</f>
        <v/>
      </c>
      <c r="F89" s="4" t="s">
        <v>103</v>
      </c>
      <c r="G89" t="str">
        <f t="shared" si="4"/>
        <v/>
      </c>
      <c r="H89" t="str">
        <f t="shared" si="5"/>
        <v/>
      </c>
      <c r="I89">
        <f>IF(H89="",0,IFERROR(INDEX(Config!$I$4:$I$6,MATCH(H89,Config!$H$4:$H$6,0)),0))</f>
        <v>0</v>
      </c>
      <c r="J89" t="str">
        <f t="shared" si="6"/>
        <v/>
      </c>
      <c r="K89" s="5" t="str">
        <f t="shared" si="7"/>
        <v/>
      </c>
      <c r="L89">
        <f>IF(A89="",999,IFERROR(MATCH(B89,Config!$A$4:$A$7,0),99)*10+IF(ISNUMBER(F89),1,IF(F89="",2,IF(UPPER(F89)="DNF",3,IF(UPPER(F89)="DNS",4,8)))))</f>
        <v>999</v>
      </c>
    </row>
    <row r="90" spans="2:12" x14ac:dyDescent="0.25">
      <c r="B90" t="str">
        <f>IF(A90="","",IFERROR(INDEX(tblReg[Field],MATCH(A90,tblReg[Bib],0)),""))</f>
        <v/>
      </c>
      <c r="C90" t="str">
        <f>IF(A90="","",IFERROR(INDEX(tblReg[FirstName],MATCH(A90,tblReg[Bib],0)),""))</f>
        <v/>
      </c>
      <c r="D90" t="str">
        <f>IF(A90="","",IFERROR(INDEX(tblReg[LastName],MATCH(A90,tblReg[Bib],0)),""))</f>
        <v/>
      </c>
      <c r="E90" t="str">
        <f>IF(A90="","",IFERROR(INDEX(tblReg[Team],MATCH(A90,tblReg[Bib],0)),""))</f>
        <v/>
      </c>
      <c r="F90" s="4" t="s">
        <v>103</v>
      </c>
      <c r="G90" t="str">
        <f t="shared" si="4"/>
        <v/>
      </c>
      <c r="H90" t="str">
        <f t="shared" si="5"/>
        <v/>
      </c>
      <c r="I90">
        <f>IF(H90="",0,IFERROR(INDEX(Config!$I$4:$I$6,MATCH(H90,Config!$H$4:$H$6,0)),0))</f>
        <v>0</v>
      </c>
      <c r="J90" t="str">
        <f t="shared" si="6"/>
        <v/>
      </c>
      <c r="K90" s="5" t="str">
        <f t="shared" si="7"/>
        <v/>
      </c>
      <c r="L90">
        <f>IF(A90="",999,IFERROR(MATCH(B90,Config!$A$4:$A$7,0),99)*10+IF(ISNUMBER(F90),1,IF(F90="",2,IF(UPPER(F90)="DNF",3,IF(UPPER(F90)="DNS",4,8)))))</f>
        <v>999</v>
      </c>
    </row>
    <row r="91" spans="2:12" x14ac:dyDescent="0.25">
      <c r="B91" t="str">
        <f>IF(A91="","",IFERROR(INDEX(tblReg[Field],MATCH(A91,tblReg[Bib],0)),""))</f>
        <v/>
      </c>
      <c r="C91" t="str">
        <f>IF(A91="","",IFERROR(INDEX(tblReg[FirstName],MATCH(A91,tblReg[Bib],0)),""))</f>
        <v/>
      </c>
      <c r="D91" t="str">
        <f>IF(A91="","",IFERROR(INDEX(tblReg[LastName],MATCH(A91,tblReg[Bib],0)),""))</f>
        <v/>
      </c>
      <c r="E91" t="str">
        <f>IF(A91="","",IFERROR(INDEX(tblReg[Team],MATCH(A91,tblReg[Bib],0)),""))</f>
        <v/>
      </c>
      <c r="F91" s="4" t="s">
        <v>103</v>
      </c>
      <c r="G91" t="str">
        <f t="shared" si="4"/>
        <v/>
      </c>
      <c r="H91" t="str">
        <f t="shared" si="5"/>
        <v/>
      </c>
      <c r="I91">
        <f>IF(H91="",0,IFERROR(INDEX(Config!$I$4:$I$6,MATCH(H91,Config!$H$4:$H$6,0)),0))</f>
        <v>0</v>
      </c>
      <c r="J91" t="str">
        <f t="shared" si="6"/>
        <v/>
      </c>
      <c r="K91" s="5" t="str">
        <f t="shared" si="7"/>
        <v/>
      </c>
      <c r="L91">
        <f>IF(A91="",999,IFERROR(MATCH(B91,Config!$A$4:$A$7,0),99)*10+IF(ISNUMBER(F91),1,IF(F91="",2,IF(UPPER(F91)="DNF",3,IF(UPPER(F91)="DNS",4,8)))))</f>
        <v>999</v>
      </c>
    </row>
    <row r="92" spans="2:12" x14ac:dyDescent="0.25">
      <c r="B92" t="str">
        <f>IF(A92="","",IFERROR(INDEX(tblReg[Field],MATCH(A92,tblReg[Bib],0)),""))</f>
        <v/>
      </c>
      <c r="C92" t="str">
        <f>IF(A92="","",IFERROR(INDEX(tblReg[FirstName],MATCH(A92,tblReg[Bib],0)),""))</f>
        <v/>
      </c>
      <c r="D92" t="str">
        <f>IF(A92="","",IFERROR(INDEX(tblReg[LastName],MATCH(A92,tblReg[Bib],0)),""))</f>
        <v/>
      </c>
      <c r="E92" t="str">
        <f>IF(A92="","",IFERROR(INDEX(tblReg[Team],MATCH(A92,tblReg[Bib],0)),""))</f>
        <v/>
      </c>
      <c r="F92" s="4" t="s">
        <v>103</v>
      </c>
      <c r="G92" t="str">
        <f t="shared" si="4"/>
        <v/>
      </c>
      <c r="H92" t="str">
        <f t="shared" si="5"/>
        <v/>
      </c>
      <c r="I92">
        <f>IF(H92="",0,IFERROR(INDEX(Config!$I$4:$I$6,MATCH(H92,Config!$H$4:$H$6,0)),0))</f>
        <v>0</v>
      </c>
      <c r="J92" t="str">
        <f t="shared" si="6"/>
        <v/>
      </c>
      <c r="K92" s="5" t="str">
        <f t="shared" si="7"/>
        <v/>
      </c>
      <c r="L92">
        <f>IF(A92="",999,IFERROR(MATCH(B92,Config!$A$4:$A$7,0),99)*10+IF(ISNUMBER(F92),1,IF(F92="",2,IF(UPPER(F92)="DNF",3,IF(UPPER(F92)="DNS",4,8)))))</f>
        <v>999</v>
      </c>
    </row>
    <row r="93" spans="2:12" x14ac:dyDescent="0.25">
      <c r="B93" t="str">
        <f>IF(A93="","",IFERROR(INDEX(tblReg[Field],MATCH(A93,tblReg[Bib],0)),""))</f>
        <v/>
      </c>
      <c r="C93" t="str">
        <f>IF(A93="","",IFERROR(INDEX(tblReg[FirstName],MATCH(A93,tblReg[Bib],0)),""))</f>
        <v/>
      </c>
      <c r="D93" t="str">
        <f>IF(A93="","",IFERROR(INDEX(tblReg[LastName],MATCH(A93,tblReg[Bib],0)),""))</f>
        <v/>
      </c>
      <c r="E93" t="str">
        <f>IF(A93="","",IFERROR(INDEX(tblReg[Team],MATCH(A93,tblReg[Bib],0)),""))</f>
        <v/>
      </c>
      <c r="F93" s="4" t="s">
        <v>103</v>
      </c>
      <c r="G93" t="str">
        <f t="shared" si="4"/>
        <v/>
      </c>
      <c r="H93" t="str">
        <f t="shared" si="5"/>
        <v/>
      </c>
      <c r="I93">
        <f>IF(H93="",0,IFERROR(INDEX(Config!$I$4:$I$6,MATCH(H93,Config!$H$4:$H$6,0)),0))</f>
        <v>0</v>
      </c>
      <c r="J93" t="str">
        <f t="shared" si="6"/>
        <v/>
      </c>
      <c r="K93" s="5" t="str">
        <f t="shared" si="7"/>
        <v/>
      </c>
      <c r="L93">
        <f>IF(A93="",999,IFERROR(MATCH(B93,Config!$A$4:$A$7,0),99)*10+IF(ISNUMBER(F93),1,IF(F93="",2,IF(UPPER(F93)="DNF",3,IF(UPPER(F93)="DNS",4,8)))))</f>
        <v>999</v>
      </c>
    </row>
    <row r="94" spans="2:12" x14ac:dyDescent="0.25">
      <c r="B94" t="str">
        <f>IF(A94="","",IFERROR(INDEX(tblReg[Field],MATCH(A94,tblReg[Bib],0)),""))</f>
        <v/>
      </c>
      <c r="C94" t="str">
        <f>IF(A94="","",IFERROR(INDEX(tblReg[FirstName],MATCH(A94,tblReg[Bib],0)),""))</f>
        <v/>
      </c>
      <c r="D94" t="str">
        <f>IF(A94="","",IFERROR(INDEX(tblReg[LastName],MATCH(A94,tblReg[Bib],0)),""))</f>
        <v/>
      </c>
      <c r="E94" t="str">
        <f>IF(A94="","",IFERROR(INDEX(tblReg[Team],MATCH(A94,tblReg[Bib],0)),""))</f>
        <v/>
      </c>
      <c r="F94" s="4" t="s">
        <v>103</v>
      </c>
      <c r="G94" t="str">
        <f t="shared" si="4"/>
        <v/>
      </c>
      <c r="H94" t="str">
        <f t="shared" si="5"/>
        <v/>
      </c>
      <c r="I94">
        <f>IF(H94="",0,IFERROR(INDEX(Config!$I$4:$I$6,MATCH(H94,Config!$H$4:$H$6,0)),0))</f>
        <v>0</v>
      </c>
      <c r="J94" t="str">
        <f t="shared" si="6"/>
        <v/>
      </c>
      <c r="K94" s="5" t="str">
        <f t="shared" si="7"/>
        <v/>
      </c>
      <c r="L94">
        <f>IF(A94="",999,IFERROR(MATCH(B94,Config!$A$4:$A$7,0),99)*10+IF(ISNUMBER(F94),1,IF(F94="",2,IF(UPPER(F94)="DNF",3,IF(UPPER(F94)="DNS",4,8)))))</f>
        <v>999</v>
      </c>
    </row>
    <row r="95" spans="2:12" x14ac:dyDescent="0.25">
      <c r="B95" t="str">
        <f>IF(A95="","",IFERROR(INDEX(tblReg[Field],MATCH(A95,tblReg[Bib],0)),""))</f>
        <v/>
      </c>
      <c r="C95" t="str">
        <f>IF(A95="","",IFERROR(INDEX(tblReg[FirstName],MATCH(A95,tblReg[Bib],0)),""))</f>
        <v/>
      </c>
      <c r="D95" t="str">
        <f>IF(A95="","",IFERROR(INDEX(tblReg[LastName],MATCH(A95,tblReg[Bib],0)),""))</f>
        <v/>
      </c>
      <c r="E95" t="str">
        <f>IF(A95="","",IFERROR(INDEX(tblReg[Team],MATCH(A95,tblReg[Bib],0)),""))</f>
        <v/>
      </c>
      <c r="F95" s="4" t="s">
        <v>103</v>
      </c>
      <c r="G95" t="str">
        <f t="shared" si="4"/>
        <v/>
      </c>
      <c r="H95" t="str">
        <f t="shared" si="5"/>
        <v/>
      </c>
      <c r="I95">
        <f>IF(H95="",0,IFERROR(INDEX(Config!$I$4:$I$6,MATCH(H95,Config!$H$4:$H$6,0)),0))</f>
        <v>0</v>
      </c>
      <c r="J95" t="str">
        <f t="shared" si="6"/>
        <v/>
      </c>
      <c r="K95" s="5" t="str">
        <f t="shared" si="7"/>
        <v/>
      </c>
      <c r="L95">
        <f>IF(A95="",999,IFERROR(MATCH(B95,Config!$A$4:$A$7,0),99)*10+IF(ISNUMBER(F95),1,IF(F95="",2,IF(UPPER(F95)="DNF",3,IF(UPPER(F95)="DNS",4,8)))))</f>
        <v>999</v>
      </c>
    </row>
    <row r="96" spans="2:12" x14ac:dyDescent="0.25">
      <c r="B96" t="str">
        <f>IF(A96="","",IFERROR(INDEX(tblReg[Field],MATCH(A96,tblReg[Bib],0)),""))</f>
        <v/>
      </c>
      <c r="C96" t="str">
        <f>IF(A96="","",IFERROR(INDEX(tblReg[FirstName],MATCH(A96,tblReg[Bib],0)),""))</f>
        <v/>
      </c>
      <c r="D96" t="str">
        <f>IF(A96="","",IFERROR(INDEX(tblReg[LastName],MATCH(A96,tblReg[Bib],0)),""))</f>
        <v/>
      </c>
      <c r="E96" t="str">
        <f>IF(A96="","",IFERROR(INDEX(tblReg[Team],MATCH(A96,tblReg[Bib],0)),""))</f>
        <v/>
      </c>
      <c r="F96" s="4" t="s">
        <v>103</v>
      </c>
      <c r="G96" t="str">
        <f t="shared" si="4"/>
        <v/>
      </c>
      <c r="H96" t="str">
        <f t="shared" si="5"/>
        <v/>
      </c>
      <c r="I96">
        <f>IF(H96="",0,IFERROR(INDEX(Config!$I$4:$I$6,MATCH(H96,Config!$H$4:$H$6,0)),0))</f>
        <v>0</v>
      </c>
      <c r="J96" t="str">
        <f t="shared" si="6"/>
        <v/>
      </c>
      <c r="K96" s="5" t="str">
        <f t="shared" si="7"/>
        <v/>
      </c>
      <c r="L96">
        <f>IF(A96="",999,IFERROR(MATCH(B96,Config!$A$4:$A$7,0),99)*10+IF(ISNUMBER(F96),1,IF(F96="",2,IF(UPPER(F96)="DNF",3,IF(UPPER(F96)="DNS",4,8)))))</f>
        <v>999</v>
      </c>
    </row>
    <row r="97" spans="2:12" x14ac:dyDescent="0.25">
      <c r="B97" t="str">
        <f>IF(A97="","",IFERROR(INDEX(tblReg[Field],MATCH(A97,tblReg[Bib],0)),""))</f>
        <v/>
      </c>
      <c r="C97" t="str">
        <f>IF(A97="","",IFERROR(INDEX(tblReg[FirstName],MATCH(A97,tblReg[Bib],0)),""))</f>
        <v/>
      </c>
      <c r="D97" t="str">
        <f>IF(A97="","",IFERROR(INDEX(tblReg[LastName],MATCH(A97,tblReg[Bib],0)),""))</f>
        <v/>
      </c>
      <c r="E97" t="str">
        <f>IF(A97="","",IFERROR(INDEX(tblReg[Team],MATCH(A97,tblReg[Bib],0)),""))</f>
        <v/>
      </c>
      <c r="F97" s="4" t="s">
        <v>103</v>
      </c>
      <c r="G97" t="str">
        <f t="shared" si="4"/>
        <v/>
      </c>
      <c r="H97" t="str">
        <f t="shared" si="5"/>
        <v/>
      </c>
      <c r="I97">
        <f>IF(H97="",0,IFERROR(INDEX(Config!$I$4:$I$6,MATCH(H97,Config!$H$4:$H$6,0)),0))</f>
        <v>0</v>
      </c>
      <c r="J97" t="str">
        <f t="shared" si="6"/>
        <v/>
      </c>
      <c r="K97" s="5" t="str">
        <f t="shared" si="7"/>
        <v/>
      </c>
      <c r="L97">
        <f>IF(A97="",999,IFERROR(MATCH(B97,Config!$A$4:$A$7,0),99)*10+IF(ISNUMBER(F97),1,IF(F97="",2,IF(UPPER(F97)="DNF",3,IF(UPPER(F97)="DNS",4,8)))))</f>
        <v>999</v>
      </c>
    </row>
    <row r="98" spans="2:12" x14ac:dyDescent="0.25">
      <c r="B98" t="str">
        <f>IF(A98="","",IFERROR(INDEX(tblReg[Field],MATCH(A98,tblReg[Bib],0)),""))</f>
        <v/>
      </c>
      <c r="C98" t="str">
        <f>IF(A98="","",IFERROR(INDEX(tblReg[FirstName],MATCH(A98,tblReg[Bib],0)),""))</f>
        <v/>
      </c>
      <c r="D98" t="str">
        <f>IF(A98="","",IFERROR(INDEX(tblReg[LastName],MATCH(A98,tblReg[Bib],0)),""))</f>
        <v/>
      </c>
      <c r="E98" t="str">
        <f>IF(A98="","",IFERROR(INDEX(tblReg[Team],MATCH(A98,tblReg[Bib],0)),""))</f>
        <v/>
      </c>
      <c r="F98" s="4" t="s">
        <v>103</v>
      </c>
      <c r="G98" t="str">
        <f t="shared" si="4"/>
        <v/>
      </c>
      <c r="H98" t="str">
        <f t="shared" si="5"/>
        <v/>
      </c>
      <c r="I98">
        <f>IF(H98="",0,IFERROR(INDEX(Config!$I$4:$I$6,MATCH(H98,Config!$H$4:$H$6,0)),0))</f>
        <v>0</v>
      </c>
      <c r="J98" t="str">
        <f t="shared" si="6"/>
        <v/>
      </c>
      <c r="K98" s="5" t="str">
        <f t="shared" si="7"/>
        <v/>
      </c>
      <c r="L98">
        <f>IF(A98="",999,IFERROR(MATCH(B98,Config!$A$4:$A$7,0),99)*10+IF(ISNUMBER(F98),1,IF(F98="",2,IF(UPPER(F98)="DNF",3,IF(UPPER(F98)="DNS",4,8)))))</f>
        <v>999</v>
      </c>
    </row>
    <row r="99" spans="2:12" x14ac:dyDescent="0.25">
      <c r="B99" t="str">
        <f>IF(A99="","",IFERROR(INDEX(tblReg[Field],MATCH(A99,tblReg[Bib],0)),""))</f>
        <v/>
      </c>
      <c r="C99" t="str">
        <f>IF(A99="","",IFERROR(INDEX(tblReg[FirstName],MATCH(A99,tblReg[Bib],0)),""))</f>
        <v/>
      </c>
      <c r="D99" t="str">
        <f>IF(A99="","",IFERROR(INDEX(tblReg[LastName],MATCH(A99,tblReg[Bib],0)),""))</f>
        <v/>
      </c>
      <c r="E99" t="str">
        <f>IF(A99="","",IFERROR(INDEX(tblReg[Team],MATCH(A99,tblReg[Bib],0)),""))</f>
        <v/>
      </c>
      <c r="F99" s="4" t="s">
        <v>103</v>
      </c>
      <c r="G99" t="str">
        <f t="shared" si="4"/>
        <v/>
      </c>
      <c r="H99" t="str">
        <f t="shared" si="5"/>
        <v/>
      </c>
      <c r="I99">
        <f>IF(H99="",0,IFERROR(INDEX(Config!$I$4:$I$6,MATCH(H99,Config!$H$4:$H$6,0)),0))</f>
        <v>0</v>
      </c>
      <c r="J99" t="str">
        <f t="shared" si="6"/>
        <v/>
      </c>
      <c r="K99" s="5" t="str">
        <f t="shared" si="7"/>
        <v/>
      </c>
      <c r="L99">
        <f>IF(A99="",999,IFERROR(MATCH(B99,Config!$A$4:$A$7,0),99)*10+IF(ISNUMBER(F99),1,IF(F99="",2,IF(UPPER(F99)="DNF",3,IF(UPPER(F99)="DNS",4,8)))))</f>
        <v>999</v>
      </c>
    </row>
    <row r="100" spans="2:12" x14ac:dyDescent="0.25">
      <c r="B100" t="str">
        <f>IF(A100="","",IFERROR(INDEX(tblReg[Field],MATCH(A100,tblReg[Bib],0)),""))</f>
        <v/>
      </c>
      <c r="C100" t="str">
        <f>IF(A100="","",IFERROR(INDEX(tblReg[FirstName],MATCH(A100,tblReg[Bib],0)),""))</f>
        <v/>
      </c>
      <c r="D100" t="str">
        <f>IF(A100="","",IFERROR(INDEX(tblReg[LastName],MATCH(A100,tblReg[Bib],0)),""))</f>
        <v/>
      </c>
      <c r="E100" t="str">
        <f>IF(A100="","",IFERROR(INDEX(tblReg[Team],MATCH(A100,tblReg[Bib],0)),""))</f>
        <v/>
      </c>
      <c r="F100" s="4" t="s">
        <v>103</v>
      </c>
      <c r="G100" t="str">
        <f t="shared" si="4"/>
        <v/>
      </c>
      <c r="H100" t="str">
        <f t="shared" si="5"/>
        <v/>
      </c>
      <c r="I100">
        <f>IF(H100="",0,IFERROR(INDEX(Config!$I$4:$I$6,MATCH(H100,Config!$H$4:$H$6,0)),0))</f>
        <v>0</v>
      </c>
      <c r="J100" t="str">
        <f t="shared" si="6"/>
        <v/>
      </c>
      <c r="K100" s="5" t="str">
        <f t="shared" si="7"/>
        <v/>
      </c>
      <c r="L100">
        <f>IF(A100="",999,IFERROR(MATCH(B100,Config!$A$4:$A$7,0),99)*10+IF(ISNUMBER(F100),1,IF(F100="",2,IF(UPPER(F100)="DNF",3,IF(UPPER(F100)="DNS",4,8)))))</f>
        <v>999</v>
      </c>
    </row>
    <row r="101" spans="2:12" x14ac:dyDescent="0.25">
      <c r="B101" t="str">
        <f>IF(A101="","",IFERROR(INDEX(tblReg[Field],MATCH(A101,tblReg[Bib],0)),""))</f>
        <v/>
      </c>
      <c r="C101" t="str">
        <f>IF(A101="","",IFERROR(INDEX(tblReg[FirstName],MATCH(A101,tblReg[Bib],0)),""))</f>
        <v/>
      </c>
      <c r="D101" t="str">
        <f>IF(A101="","",IFERROR(INDEX(tblReg[LastName],MATCH(A101,tblReg[Bib],0)),""))</f>
        <v/>
      </c>
      <c r="E101" t="str">
        <f>IF(A101="","",IFERROR(INDEX(tblReg[Team],MATCH(A101,tblReg[Bib],0)),""))</f>
        <v/>
      </c>
      <c r="F101" s="4" t="s">
        <v>103</v>
      </c>
      <c r="G101" t="str">
        <f t="shared" si="4"/>
        <v/>
      </c>
      <c r="H101" t="str">
        <f t="shared" si="5"/>
        <v/>
      </c>
      <c r="I101">
        <f>IF(H101="",0,IFERROR(INDEX(Config!$I$4:$I$6,MATCH(H101,Config!$H$4:$H$6,0)),0))</f>
        <v>0</v>
      </c>
      <c r="J101" t="str">
        <f t="shared" si="6"/>
        <v/>
      </c>
      <c r="K101" s="5" t="str">
        <f t="shared" si="7"/>
        <v/>
      </c>
      <c r="L101">
        <f>IF(A101="",999,IFERROR(MATCH(B101,Config!$A$4:$A$7,0),99)*10+IF(ISNUMBER(F101),1,IF(F101="",2,IF(UPPER(F101)="DNF",3,IF(UPPER(F101)="DNS",4,8)))))</f>
        <v>999</v>
      </c>
    </row>
    <row r="102" spans="2:12" x14ac:dyDescent="0.25">
      <c r="B102" t="str">
        <f>IF(A102="","",IFERROR(INDEX(tblReg[Field],MATCH(A102,tblReg[Bib],0)),""))</f>
        <v/>
      </c>
      <c r="C102" t="str">
        <f>IF(A102="","",IFERROR(INDEX(tblReg[FirstName],MATCH(A102,tblReg[Bib],0)),""))</f>
        <v/>
      </c>
      <c r="D102" t="str">
        <f>IF(A102="","",IFERROR(INDEX(tblReg[LastName],MATCH(A102,tblReg[Bib],0)),""))</f>
        <v/>
      </c>
      <c r="E102" t="str">
        <f>IF(A102="","",IFERROR(INDEX(tblReg[Team],MATCH(A102,tblReg[Bib],0)),""))</f>
        <v/>
      </c>
      <c r="F102" s="4" t="s">
        <v>103</v>
      </c>
      <c r="G102" t="str">
        <f t="shared" si="4"/>
        <v/>
      </c>
      <c r="H102" t="str">
        <f t="shared" si="5"/>
        <v/>
      </c>
      <c r="I102">
        <f>IF(H102="",0,IFERROR(INDEX(Config!$I$4:$I$6,MATCH(H102,Config!$H$4:$H$6,0)),0))</f>
        <v>0</v>
      </c>
      <c r="J102" t="str">
        <f t="shared" si="6"/>
        <v/>
      </c>
      <c r="K102" s="5" t="str">
        <f t="shared" si="7"/>
        <v/>
      </c>
      <c r="L102">
        <f>IF(A102="",999,IFERROR(MATCH(B102,Config!$A$4:$A$7,0),99)*10+IF(ISNUMBER(F102),1,IF(F102="",2,IF(UPPER(F102)="DNF",3,IF(UPPER(F102)="DNS",4,8)))))</f>
        <v>999</v>
      </c>
    </row>
    <row r="103" spans="2:12" x14ac:dyDescent="0.25">
      <c r="B103" t="str">
        <f>IF(A103="","",IFERROR(INDEX(tblReg[Field],MATCH(A103,tblReg[Bib],0)),""))</f>
        <v/>
      </c>
      <c r="C103" t="str">
        <f>IF(A103="","",IFERROR(INDEX(tblReg[FirstName],MATCH(A103,tblReg[Bib],0)),""))</f>
        <v/>
      </c>
      <c r="D103" t="str">
        <f>IF(A103="","",IFERROR(INDEX(tblReg[LastName],MATCH(A103,tblReg[Bib],0)),""))</f>
        <v/>
      </c>
      <c r="E103" t="str">
        <f>IF(A103="","",IFERROR(INDEX(tblReg[Team],MATCH(A103,tblReg[Bib],0)),""))</f>
        <v/>
      </c>
      <c r="F103" s="4" t="s">
        <v>103</v>
      </c>
      <c r="G103" t="str">
        <f t="shared" si="4"/>
        <v/>
      </c>
      <c r="H103" t="str">
        <f t="shared" si="5"/>
        <v/>
      </c>
      <c r="I103">
        <f>IF(H103="",0,IFERROR(INDEX(Config!$I$4:$I$6,MATCH(H103,Config!$H$4:$H$6,0)),0))</f>
        <v>0</v>
      </c>
      <c r="J103" t="str">
        <f t="shared" si="6"/>
        <v/>
      </c>
      <c r="K103" s="5" t="str">
        <f t="shared" si="7"/>
        <v/>
      </c>
      <c r="L103">
        <f>IF(A103="",999,IFERROR(MATCH(B103,Config!$A$4:$A$7,0),99)*10+IF(ISNUMBER(F103),1,IF(F103="",2,IF(UPPER(F103)="DNF",3,IF(UPPER(F103)="DNS",4,8)))))</f>
        <v>999</v>
      </c>
    </row>
    <row r="104" spans="2:12" x14ac:dyDescent="0.25">
      <c r="B104" t="str">
        <f>IF(A104="","",IFERROR(INDEX(tblReg[Field],MATCH(A104,tblReg[Bib],0)),""))</f>
        <v/>
      </c>
      <c r="C104" t="str">
        <f>IF(A104="","",IFERROR(INDEX(tblReg[FirstName],MATCH(A104,tblReg[Bib],0)),""))</f>
        <v/>
      </c>
      <c r="D104" t="str">
        <f>IF(A104="","",IFERROR(INDEX(tblReg[LastName],MATCH(A104,tblReg[Bib],0)),""))</f>
        <v/>
      </c>
      <c r="E104" t="str">
        <f>IF(A104="","",IFERROR(INDEX(tblReg[Team],MATCH(A104,tblReg[Bib],0)),""))</f>
        <v/>
      </c>
      <c r="F104" s="4" t="s">
        <v>103</v>
      </c>
      <c r="G104" t="str">
        <f t="shared" si="4"/>
        <v/>
      </c>
      <c r="H104" t="str">
        <f t="shared" si="5"/>
        <v/>
      </c>
      <c r="I104">
        <f>IF(H104="",0,IFERROR(INDEX(Config!$I$4:$I$6,MATCH(H104,Config!$H$4:$H$6,0)),0))</f>
        <v>0</v>
      </c>
      <c r="J104" t="str">
        <f t="shared" si="6"/>
        <v/>
      </c>
      <c r="K104" s="5" t="str">
        <f t="shared" si="7"/>
        <v/>
      </c>
      <c r="L104">
        <f>IF(A104="",999,IFERROR(MATCH(B104,Config!$A$4:$A$7,0),99)*10+IF(ISNUMBER(F104),1,IF(F104="",2,IF(UPPER(F104)="DNF",3,IF(UPPER(F104)="DNS",4,8)))))</f>
        <v>999</v>
      </c>
    </row>
    <row r="105" spans="2:12" x14ac:dyDescent="0.25">
      <c r="B105" t="str">
        <f>IF(A105="","",IFERROR(INDEX(tblReg[Field],MATCH(A105,tblReg[Bib],0)),""))</f>
        <v/>
      </c>
      <c r="C105" t="str">
        <f>IF(A105="","",IFERROR(INDEX(tblReg[FirstName],MATCH(A105,tblReg[Bib],0)),""))</f>
        <v/>
      </c>
      <c r="D105" t="str">
        <f>IF(A105="","",IFERROR(INDEX(tblReg[LastName],MATCH(A105,tblReg[Bib],0)),""))</f>
        <v/>
      </c>
      <c r="E105" t="str">
        <f>IF(A105="","",IFERROR(INDEX(tblReg[Team],MATCH(A105,tblReg[Bib],0)),""))</f>
        <v/>
      </c>
      <c r="F105" s="4" t="s">
        <v>103</v>
      </c>
      <c r="G105" t="str">
        <f t="shared" si="4"/>
        <v/>
      </c>
      <c r="H105" t="str">
        <f t="shared" si="5"/>
        <v/>
      </c>
      <c r="I105">
        <f>IF(H105="",0,IFERROR(INDEX(Config!$I$4:$I$6,MATCH(H105,Config!$H$4:$H$6,0)),0))</f>
        <v>0</v>
      </c>
      <c r="J105" t="str">
        <f t="shared" si="6"/>
        <v/>
      </c>
      <c r="K105" s="5" t="str">
        <f t="shared" si="7"/>
        <v/>
      </c>
      <c r="L105">
        <f>IF(A105="",999,IFERROR(MATCH(B105,Config!$A$4:$A$7,0),99)*10+IF(ISNUMBER(F105),1,IF(F105="",2,IF(UPPER(F105)="DNF",3,IF(UPPER(F105)="DNS",4,8)))))</f>
        <v>999</v>
      </c>
    </row>
    <row r="106" spans="2:12" x14ac:dyDescent="0.25">
      <c r="B106" t="str">
        <f>IF(A106="","",IFERROR(INDEX(tblReg[Field],MATCH(A106,tblReg[Bib],0)),""))</f>
        <v/>
      </c>
      <c r="C106" t="str">
        <f>IF(A106="","",IFERROR(INDEX(tblReg[FirstName],MATCH(A106,tblReg[Bib],0)),""))</f>
        <v/>
      </c>
      <c r="D106" t="str">
        <f>IF(A106="","",IFERROR(INDEX(tblReg[LastName],MATCH(A106,tblReg[Bib],0)),""))</f>
        <v/>
      </c>
      <c r="E106" t="str">
        <f>IF(A106="","",IFERROR(INDEX(tblReg[Team],MATCH(A106,tblReg[Bib],0)),""))</f>
        <v/>
      </c>
      <c r="F106" s="4" t="s">
        <v>103</v>
      </c>
      <c r="G106" t="str">
        <f t="shared" si="4"/>
        <v/>
      </c>
      <c r="H106" t="str">
        <f t="shared" si="5"/>
        <v/>
      </c>
      <c r="I106">
        <f>IF(H106="",0,IFERROR(INDEX(Config!$I$4:$I$6,MATCH(H106,Config!$H$4:$H$6,0)),0))</f>
        <v>0</v>
      </c>
      <c r="J106" t="str">
        <f t="shared" si="6"/>
        <v/>
      </c>
      <c r="K106" s="5" t="str">
        <f t="shared" si="7"/>
        <v/>
      </c>
      <c r="L106">
        <f>IF(A106="",999,IFERROR(MATCH(B106,Config!$A$4:$A$7,0),99)*10+IF(ISNUMBER(F106),1,IF(F106="",2,IF(UPPER(F106)="DNF",3,IF(UPPER(F106)="DNS",4,8)))))</f>
        <v>999</v>
      </c>
    </row>
    <row r="107" spans="2:12" x14ac:dyDescent="0.25">
      <c r="B107" t="str">
        <f>IF(A107="","",IFERROR(INDEX(tblReg[Field],MATCH(A107,tblReg[Bib],0)),""))</f>
        <v/>
      </c>
      <c r="C107" t="str">
        <f>IF(A107="","",IFERROR(INDEX(tblReg[FirstName],MATCH(A107,tblReg[Bib],0)),""))</f>
        <v/>
      </c>
      <c r="D107" t="str">
        <f>IF(A107="","",IFERROR(INDEX(tblReg[LastName],MATCH(A107,tblReg[Bib],0)),""))</f>
        <v/>
      </c>
      <c r="E107" t="str">
        <f>IF(A107="","",IFERROR(INDEX(tblReg[Team],MATCH(A107,tblReg[Bib],0)),""))</f>
        <v/>
      </c>
      <c r="F107" s="4" t="s">
        <v>103</v>
      </c>
      <c r="G107" t="str">
        <f t="shared" si="4"/>
        <v/>
      </c>
      <c r="H107" t="str">
        <f t="shared" si="5"/>
        <v/>
      </c>
      <c r="I107">
        <f>IF(H107="",0,IFERROR(INDEX(Config!$I$4:$I$6,MATCH(H107,Config!$H$4:$H$6,0)),0))</f>
        <v>0</v>
      </c>
      <c r="J107" t="str">
        <f t="shared" si="6"/>
        <v/>
      </c>
      <c r="K107" s="5" t="str">
        <f t="shared" si="7"/>
        <v/>
      </c>
      <c r="L107">
        <f>IF(A107="",999,IFERROR(MATCH(B107,Config!$A$4:$A$7,0),99)*10+IF(ISNUMBER(F107),1,IF(F107="",2,IF(UPPER(F107)="DNF",3,IF(UPPER(F107)="DNS",4,8)))))</f>
        <v>999</v>
      </c>
    </row>
    <row r="108" spans="2:12" x14ac:dyDescent="0.25">
      <c r="B108" t="str">
        <f>IF(A108="","",IFERROR(INDEX(tblReg[Field],MATCH(A108,tblReg[Bib],0)),""))</f>
        <v/>
      </c>
      <c r="C108" t="str">
        <f>IF(A108="","",IFERROR(INDEX(tblReg[FirstName],MATCH(A108,tblReg[Bib],0)),""))</f>
        <v/>
      </c>
      <c r="D108" t="str">
        <f>IF(A108="","",IFERROR(INDEX(tblReg[LastName],MATCH(A108,tblReg[Bib],0)),""))</f>
        <v/>
      </c>
      <c r="E108" t="str">
        <f>IF(A108="","",IFERROR(INDEX(tblReg[Team],MATCH(A108,tblReg[Bib],0)),""))</f>
        <v/>
      </c>
      <c r="F108" s="4" t="s">
        <v>103</v>
      </c>
      <c r="G108" t="str">
        <f t="shared" si="4"/>
        <v/>
      </c>
      <c r="H108" t="str">
        <f t="shared" si="5"/>
        <v/>
      </c>
      <c r="I108">
        <f>IF(H108="",0,IFERROR(INDEX(Config!$I$4:$I$6,MATCH(H108,Config!$H$4:$H$6,0)),0))</f>
        <v>0</v>
      </c>
      <c r="J108" t="str">
        <f t="shared" si="6"/>
        <v/>
      </c>
      <c r="K108" s="5" t="str">
        <f t="shared" si="7"/>
        <v/>
      </c>
      <c r="L108">
        <f>IF(A108="",999,IFERROR(MATCH(B108,Config!$A$4:$A$7,0),99)*10+IF(ISNUMBER(F108),1,IF(F108="",2,IF(UPPER(F108)="DNF",3,IF(UPPER(F108)="DNS",4,8)))))</f>
        <v>999</v>
      </c>
    </row>
    <row r="109" spans="2:12" x14ac:dyDescent="0.25">
      <c r="B109" t="str">
        <f>IF(A109="","",IFERROR(INDEX(tblReg[Field],MATCH(A109,tblReg[Bib],0)),""))</f>
        <v/>
      </c>
      <c r="C109" t="str">
        <f>IF(A109="","",IFERROR(INDEX(tblReg[FirstName],MATCH(A109,tblReg[Bib],0)),""))</f>
        <v/>
      </c>
      <c r="D109" t="str">
        <f>IF(A109="","",IFERROR(INDEX(tblReg[LastName],MATCH(A109,tblReg[Bib],0)),""))</f>
        <v/>
      </c>
      <c r="E109" t="str">
        <f>IF(A109="","",IFERROR(INDEX(tblReg[Team],MATCH(A109,tblReg[Bib],0)),""))</f>
        <v/>
      </c>
      <c r="F109" s="4" t="s">
        <v>103</v>
      </c>
      <c r="G109" t="str">
        <f t="shared" si="4"/>
        <v/>
      </c>
      <c r="H109" t="str">
        <f t="shared" si="5"/>
        <v/>
      </c>
      <c r="I109">
        <f>IF(H109="",0,IFERROR(INDEX(Config!$I$4:$I$6,MATCH(H109,Config!$H$4:$H$6,0)),0))</f>
        <v>0</v>
      </c>
      <c r="J109" t="str">
        <f t="shared" si="6"/>
        <v/>
      </c>
      <c r="K109" s="5" t="str">
        <f t="shared" si="7"/>
        <v/>
      </c>
      <c r="L109">
        <f>IF(A109="",999,IFERROR(MATCH(B109,Config!$A$4:$A$7,0),99)*10+IF(ISNUMBER(F109),1,IF(F109="",2,IF(UPPER(F109)="DNF",3,IF(UPPER(F109)="DNS",4,8)))))</f>
        <v>999</v>
      </c>
    </row>
    <row r="110" spans="2:12" x14ac:dyDescent="0.25">
      <c r="B110" t="str">
        <f>IF(A110="","",IFERROR(INDEX(tblReg[Field],MATCH(A110,tblReg[Bib],0)),""))</f>
        <v/>
      </c>
      <c r="C110" t="str">
        <f>IF(A110="","",IFERROR(INDEX(tblReg[FirstName],MATCH(A110,tblReg[Bib],0)),""))</f>
        <v/>
      </c>
      <c r="D110" t="str">
        <f>IF(A110="","",IFERROR(INDEX(tblReg[LastName],MATCH(A110,tblReg[Bib],0)),""))</f>
        <v/>
      </c>
      <c r="E110" t="str">
        <f>IF(A110="","",IFERROR(INDEX(tblReg[Team],MATCH(A110,tblReg[Bib],0)),""))</f>
        <v/>
      </c>
      <c r="F110" s="4" t="s">
        <v>103</v>
      </c>
      <c r="G110" t="str">
        <f t="shared" si="4"/>
        <v/>
      </c>
      <c r="H110" t="str">
        <f t="shared" si="5"/>
        <v/>
      </c>
      <c r="I110">
        <f>IF(H110="",0,IFERROR(INDEX(Config!$I$4:$I$6,MATCH(H110,Config!$H$4:$H$6,0)),0))</f>
        <v>0</v>
      </c>
      <c r="J110" t="str">
        <f t="shared" si="6"/>
        <v/>
      </c>
      <c r="K110" s="5" t="str">
        <f t="shared" si="7"/>
        <v/>
      </c>
      <c r="L110">
        <f>IF(A110="",999,IFERROR(MATCH(B110,Config!$A$4:$A$7,0),99)*10+IF(ISNUMBER(F110),1,IF(F110="",2,IF(UPPER(F110)="DNF",3,IF(UPPER(F110)="DNS",4,8)))))</f>
        <v>999</v>
      </c>
    </row>
    <row r="111" spans="2:12" x14ac:dyDescent="0.25">
      <c r="B111" t="str">
        <f>IF(A111="","",IFERROR(INDEX(tblReg[Field],MATCH(A111,tblReg[Bib],0)),""))</f>
        <v/>
      </c>
      <c r="C111" t="str">
        <f>IF(A111="","",IFERROR(INDEX(tblReg[FirstName],MATCH(A111,tblReg[Bib],0)),""))</f>
        <v/>
      </c>
      <c r="D111" t="str">
        <f>IF(A111="","",IFERROR(INDEX(tblReg[LastName],MATCH(A111,tblReg[Bib],0)),""))</f>
        <v/>
      </c>
      <c r="E111" t="str">
        <f>IF(A111="","",IFERROR(INDEX(tblReg[Team],MATCH(A111,tblReg[Bib],0)),""))</f>
        <v/>
      </c>
      <c r="F111" s="4" t="s">
        <v>103</v>
      </c>
      <c r="G111" t="str">
        <f t="shared" si="4"/>
        <v/>
      </c>
      <c r="H111" t="str">
        <f t="shared" si="5"/>
        <v/>
      </c>
      <c r="I111">
        <f>IF(H111="",0,IFERROR(INDEX(Config!$I$4:$I$6,MATCH(H111,Config!$H$4:$H$6,0)),0))</f>
        <v>0</v>
      </c>
      <c r="J111" t="str">
        <f t="shared" si="6"/>
        <v/>
      </c>
      <c r="K111" s="5" t="str">
        <f t="shared" si="7"/>
        <v/>
      </c>
      <c r="L111">
        <f>IF(A111="",999,IFERROR(MATCH(B111,Config!$A$4:$A$7,0),99)*10+IF(ISNUMBER(F111),1,IF(F111="",2,IF(UPPER(F111)="DNF",3,IF(UPPER(F111)="DNS",4,8)))))</f>
        <v>999</v>
      </c>
    </row>
    <row r="112" spans="2:12" x14ac:dyDescent="0.25">
      <c r="B112" t="str">
        <f>IF(A112="","",IFERROR(INDEX(tblReg[Field],MATCH(A112,tblReg[Bib],0)),""))</f>
        <v/>
      </c>
      <c r="C112" t="str">
        <f>IF(A112="","",IFERROR(INDEX(tblReg[FirstName],MATCH(A112,tblReg[Bib],0)),""))</f>
        <v/>
      </c>
      <c r="D112" t="str">
        <f>IF(A112="","",IFERROR(INDEX(tblReg[LastName],MATCH(A112,tblReg[Bib],0)),""))</f>
        <v/>
      </c>
      <c r="E112" t="str">
        <f>IF(A112="","",IFERROR(INDEX(tblReg[Team],MATCH(A112,tblReg[Bib],0)),""))</f>
        <v/>
      </c>
      <c r="F112" s="4" t="s">
        <v>103</v>
      </c>
      <c r="G112" t="str">
        <f t="shared" si="4"/>
        <v/>
      </c>
      <c r="H112" t="str">
        <f t="shared" si="5"/>
        <v/>
      </c>
      <c r="I112">
        <f>IF(H112="",0,IFERROR(INDEX(Config!$I$4:$I$6,MATCH(H112,Config!$H$4:$H$6,0)),0))</f>
        <v>0</v>
      </c>
      <c r="J112" t="str">
        <f t="shared" si="6"/>
        <v/>
      </c>
      <c r="K112" s="5" t="str">
        <f t="shared" si="7"/>
        <v/>
      </c>
      <c r="L112">
        <f>IF(A112="",999,IFERROR(MATCH(B112,Config!$A$4:$A$7,0),99)*10+IF(ISNUMBER(F112),1,IF(F112="",2,IF(UPPER(F112)="DNF",3,IF(UPPER(F112)="DNS",4,8)))))</f>
        <v>999</v>
      </c>
    </row>
    <row r="113" spans="2:12" x14ac:dyDescent="0.25">
      <c r="B113" t="str">
        <f>IF(A113="","",IFERROR(INDEX(tblReg[Field],MATCH(A113,tblReg[Bib],0)),""))</f>
        <v/>
      </c>
      <c r="C113" t="str">
        <f>IF(A113="","",IFERROR(INDEX(tblReg[FirstName],MATCH(A113,tblReg[Bib],0)),""))</f>
        <v/>
      </c>
      <c r="D113" t="str">
        <f>IF(A113="","",IFERROR(INDEX(tblReg[LastName],MATCH(A113,tblReg[Bib],0)),""))</f>
        <v/>
      </c>
      <c r="E113" t="str">
        <f>IF(A113="","",IFERROR(INDEX(tblReg[Team],MATCH(A113,tblReg[Bib],0)),""))</f>
        <v/>
      </c>
      <c r="F113" s="4" t="s">
        <v>103</v>
      </c>
      <c r="G113" t="str">
        <f t="shared" si="4"/>
        <v/>
      </c>
      <c r="H113" t="str">
        <f t="shared" si="5"/>
        <v/>
      </c>
      <c r="I113">
        <f>IF(H113="",0,IFERROR(INDEX(Config!$I$4:$I$6,MATCH(H113,Config!$H$4:$H$6,0)),0))</f>
        <v>0</v>
      </c>
      <c r="J113" t="str">
        <f t="shared" si="6"/>
        <v/>
      </c>
      <c r="K113" s="5" t="str">
        <f t="shared" si="7"/>
        <v/>
      </c>
      <c r="L113">
        <f>IF(A113="",999,IFERROR(MATCH(B113,Config!$A$4:$A$7,0),99)*10+IF(ISNUMBER(F113),1,IF(F113="",2,IF(UPPER(F113)="DNF",3,IF(UPPER(F113)="DNS",4,8)))))</f>
        <v>999</v>
      </c>
    </row>
    <row r="114" spans="2:12" x14ac:dyDescent="0.25">
      <c r="B114" t="str">
        <f>IF(A114="","",IFERROR(INDEX(tblReg[Field],MATCH(A114,tblReg[Bib],0)),""))</f>
        <v/>
      </c>
      <c r="C114" t="str">
        <f>IF(A114="","",IFERROR(INDEX(tblReg[FirstName],MATCH(A114,tblReg[Bib],0)),""))</f>
        <v/>
      </c>
      <c r="D114" t="str">
        <f>IF(A114="","",IFERROR(INDEX(tblReg[LastName],MATCH(A114,tblReg[Bib],0)),""))</f>
        <v/>
      </c>
      <c r="E114" t="str">
        <f>IF(A114="","",IFERROR(INDEX(tblReg[Team],MATCH(A114,tblReg[Bib],0)),""))</f>
        <v/>
      </c>
      <c r="F114" s="4" t="s">
        <v>103</v>
      </c>
      <c r="G114" t="str">
        <f t="shared" si="4"/>
        <v/>
      </c>
      <c r="H114" t="str">
        <f t="shared" si="5"/>
        <v/>
      </c>
      <c r="I114">
        <f>IF(H114="",0,IFERROR(INDEX(Config!$I$4:$I$6,MATCH(H114,Config!$H$4:$H$6,0)),0))</f>
        <v>0</v>
      </c>
      <c r="J114" t="str">
        <f t="shared" si="6"/>
        <v/>
      </c>
      <c r="K114" s="5" t="str">
        <f t="shared" si="7"/>
        <v/>
      </c>
      <c r="L114">
        <f>IF(A114="",999,IFERROR(MATCH(B114,Config!$A$4:$A$7,0),99)*10+IF(ISNUMBER(F114),1,IF(F114="",2,IF(UPPER(F114)="DNF",3,IF(UPPER(F114)="DNS",4,8)))))</f>
        <v>999</v>
      </c>
    </row>
    <row r="115" spans="2:12" x14ac:dyDescent="0.25">
      <c r="B115" t="str">
        <f>IF(A115="","",IFERROR(INDEX(tblReg[Field],MATCH(A115,tblReg[Bib],0)),""))</f>
        <v/>
      </c>
      <c r="C115" t="str">
        <f>IF(A115="","",IFERROR(INDEX(tblReg[FirstName],MATCH(A115,tblReg[Bib],0)),""))</f>
        <v/>
      </c>
      <c r="D115" t="str">
        <f>IF(A115="","",IFERROR(INDEX(tblReg[LastName],MATCH(A115,tblReg[Bib],0)),""))</f>
        <v/>
      </c>
      <c r="E115" t="str">
        <f>IF(A115="","",IFERROR(INDEX(tblReg[Team],MATCH(A115,tblReg[Bib],0)),""))</f>
        <v/>
      </c>
      <c r="F115" s="4" t="s">
        <v>103</v>
      </c>
      <c r="G115" t="str">
        <f t="shared" si="4"/>
        <v/>
      </c>
      <c r="H115" t="str">
        <f t="shared" si="5"/>
        <v/>
      </c>
      <c r="I115">
        <f>IF(H115="",0,IFERROR(INDEX(Config!$I$4:$I$6,MATCH(H115,Config!$H$4:$H$6,0)),0))</f>
        <v>0</v>
      </c>
      <c r="J115" t="str">
        <f t="shared" si="6"/>
        <v/>
      </c>
      <c r="K115" s="5" t="str">
        <f t="shared" si="7"/>
        <v/>
      </c>
      <c r="L115">
        <f>IF(A115="",999,IFERROR(MATCH(B115,Config!$A$4:$A$7,0),99)*10+IF(ISNUMBER(F115),1,IF(F115="",2,IF(UPPER(F115)="DNF",3,IF(UPPER(F115)="DNS",4,8)))))</f>
        <v>999</v>
      </c>
    </row>
    <row r="116" spans="2:12" x14ac:dyDescent="0.25">
      <c r="B116" t="str">
        <f>IF(A116="","",IFERROR(INDEX(tblReg[Field],MATCH(A116,tblReg[Bib],0)),""))</f>
        <v/>
      </c>
      <c r="C116" t="str">
        <f>IF(A116="","",IFERROR(INDEX(tblReg[FirstName],MATCH(A116,tblReg[Bib],0)),""))</f>
        <v/>
      </c>
      <c r="D116" t="str">
        <f>IF(A116="","",IFERROR(INDEX(tblReg[LastName],MATCH(A116,tblReg[Bib],0)),""))</f>
        <v/>
      </c>
      <c r="E116" t="str">
        <f>IF(A116="","",IFERROR(INDEX(tblReg[Team],MATCH(A116,tblReg[Bib],0)),""))</f>
        <v/>
      </c>
      <c r="F116" s="4" t="s">
        <v>103</v>
      </c>
      <c r="G116" t="str">
        <f t="shared" si="4"/>
        <v/>
      </c>
      <c r="H116" t="str">
        <f t="shared" si="5"/>
        <v/>
      </c>
      <c r="I116">
        <f>IF(H116="",0,IFERROR(INDEX(Config!$I$4:$I$6,MATCH(H116,Config!$H$4:$H$6,0)),0))</f>
        <v>0</v>
      </c>
      <c r="J116" t="str">
        <f t="shared" si="6"/>
        <v/>
      </c>
      <c r="K116" s="5" t="str">
        <f t="shared" si="7"/>
        <v/>
      </c>
      <c r="L116">
        <f>IF(A116="",999,IFERROR(MATCH(B116,Config!$A$4:$A$7,0),99)*10+IF(ISNUMBER(F116),1,IF(F116="",2,IF(UPPER(F116)="DNF",3,IF(UPPER(F116)="DNS",4,8)))))</f>
        <v>999</v>
      </c>
    </row>
    <row r="117" spans="2:12" x14ac:dyDescent="0.25">
      <c r="B117" t="str">
        <f>IF(A117="","",IFERROR(INDEX(tblReg[Field],MATCH(A117,tblReg[Bib],0)),""))</f>
        <v/>
      </c>
      <c r="C117" t="str">
        <f>IF(A117="","",IFERROR(INDEX(tblReg[FirstName],MATCH(A117,tblReg[Bib],0)),""))</f>
        <v/>
      </c>
      <c r="D117" t="str">
        <f>IF(A117="","",IFERROR(INDEX(tblReg[LastName],MATCH(A117,tblReg[Bib],0)),""))</f>
        <v/>
      </c>
      <c r="E117" t="str">
        <f>IF(A117="","",IFERROR(INDEX(tblReg[Team],MATCH(A117,tblReg[Bib],0)),""))</f>
        <v/>
      </c>
      <c r="F117" s="4" t="s">
        <v>103</v>
      </c>
      <c r="G117" t="str">
        <f t="shared" si="4"/>
        <v/>
      </c>
      <c r="H117" t="str">
        <f t="shared" si="5"/>
        <v/>
      </c>
      <c r="I117">
        <f>IF(H117="",0,IFERROR(INDEX(Config!$I$4:$I$6,MATCH(H117,Config!$H$4:$H$6,0)),0))</f>
        <v>0</v>
      </c>
      <c r="J117" t="str">
        <f t="shared" si="6"/>
        <v/>
      </c>
      <c r="K117" s="5" t="str">
        <f t="shared" si="7"/>
        <v/>
      </c>
      <c r="L117">
        <f>IF(A117="",999,IFERROR(MATCH(B117,Config!$A$4:$A$7,0),99)*10+IF(ISNUMBER(F117),1,IF(F117="",2,IF(UPPER(F117)="DNF",3,IF(UPPER(F117)="DNS",4,8)))))</f>
        <v>999</v>
      </c>
    </row>
    <row r="118" spans="2:12" x14ac:dyDescent="0.25">
      <c r="B118" t="str">
        <f>IF(A118="","",IFERROR(INDEX(tblReg[Field],MATCH(A118,tblReg[Bib],0)),""))</f>
        <v/>
      </c>
      <c r="C118" t="str">
        <f>IF(A118="","",IFERROR(INDEX(tblReg[FirstName],MATCH(A118,tblReg[Bib],0)),""))</f>
        <v/>
      </c>
      <c r="D118" t="str">
        <f>IF(A118="","",IFERROR(INDEX(tblReg[LastName],MATCH(A118,tblReg[Bib],0)),""))</f>
        <v/>
      </c>
      <c r="E118" t="str">
        <f>IF(A118="","",IFERROR(INDEX(tblReg[Team],MATCH(A118,tblReg[Bib],0)),""))</f>
        <v/>
      </c>
      <c r="F118" s="4" t="s">
        <v>103</v>
      </c>
      <c r="G118" t="str">
        <f t="shared" si="4"/>
        <v/>
      </c>
      <c r="H118" t="str">
        <f t="shared" si="5"/>
        <v/>
      </c>
      <c r="I118">
        <f>IF(H118="",0,IFERROR(INDEX(Config!$I$4:$I$6,MATCH(H118,Config!$H$4:$H$6,0)),0))</f>
        <v>0</v>
      </c>
      <c r="J118" t="str">
        <f t="shared" si="6"/>
        <v/>
      </c>
      <c r="K118" s="5" t="str">
        <f t="shared" si="7"/>
        <v/>
      </c>
      <c r="L118">
        <f>IF(A118="",999,IFERROR(MATCH(B118,Config!$A$4:$A$7,0),99)*10+IF(ISNUMBER(F118),1,IF(F118="",2,IF(UPPER(F118)="DNF",3,IF(UPPER(F118)="DNS",4,8)))))</f>
        <v>999</v>
      </c>
    </row>
    <row r="119" spans="2:12" x14ac:dyDescent="0.25">
      <c r="B119" t="str">
        <f>IF(A119="","",IFERROR(INDEX(tblReg[Field],MATCH(A119,tblReg[Bib],0)),""))</f>
        <v/>
      </c>
      <c r="C119" t="str">
        <f>IF(A119="","",IFERROR(INDEX(tblReg[FirstName],MATCH(A119,tblReg[Bib],0)),""))</f>
        <v/>
      </c>
      <c r="D119" t="str">
        <f>IF(A119="","",IFERROR(INDEX(tblReg[LastName],MATCH(A119,tblReg[Bib],0)),""))</f>
        <v/>
      </c>
      <c r="E119" t="str">
        <f>IF(A119="","",IFERROR(INDEX(tblReg[Team],MATCH(A119,tblReg[Bib],0)),""))</f>
        <v/>
      </c>
      <c r="F119" s="4" t="s">
        <v>103</v>
      </c>
      <c r="G119" t="str">
        <f t="shared" si="4"/>
        <v/>
      </c>
      <c r="H119" t="str">
        <f t="shared" si="5"/>
        <v/>
      </c>
      <c r="I119">
        <f>IF(H119="",0,IFERROR(INDEX(Config!$I$4:$I$6,MATCH(H119,Config!$H$4:$H$6,0)),0))</f>
        <v>0</v>
      </c>
      <c r="J119" t="str">
        <f t="shared" si="6"/>
        <v/>
      </c>
      <c r="K119" s="5" t="str">
        <f t="shared" si="7"/>
        <v/>
      </c>
      <c r="L119">
        <f>IF(A119="",999,IFERROR(MATCH(B119,Config!$A$4:$A$7,0),99)*10+IF(ISNUMBER(F119),1,IF(F119="",2,IF(UPPER(F119)="DNF",3,IF(UPPER(F119)="DNS",4,8)))))</f>
        <v>999</v>
      </c>
    </row>
    <row r="120" spans="2:12" x14ac:dyDescent="0.25">
      <c r="B120" t="str">
        <f>IF(A120="","",IFERROR(INDEX(tblReg[Field],MATCH(A120,tblReg[Bib],0)),""))</f>
        <v/>
      </c>
      <c r="C120" t="str">
        <f>IF(A120="","",IFERROR(INDEX(tblReg[FirstName],MATCH(A120,tblReg[Bib],0)),""))</f>
        <v/>
      </c>
      <c r="D120" t="str">
        <f>IF(A120="","",IFERROR(INDEX(tblReg[LastName],MATCH(A120,tblReg[Bib],0)),""))</f>
        <v/>
      </c>
      <c r="E120" t="str">
        <f>IF(A120="","",IFERROR(INDEX(tblReg[Team],MATCH(A120,tblReg[Bib],0)),""))</f>
        <v/>
      </c>
      <c r="F120" s="4" t="s">
        <v>103</v>
      </c>
      <c r="G120" t="str">
        <f t="shared" si="4"/>
        <v/>
      </c>
      <c r="H120" t="str">
        <f t="shared" si="5"/>
        <v/>
      </c>
      <c r="I120">
        <f>IF(H120="",0,IFERROR(INDEX(Config!$I$4:$I$6,MATCH(H120,Config!$H$4:$H$6,0)),0))</f>
        <v>0</v>
      </c>
      <c r="J120" t="str">
        <f t="shared" si="6"/>
        <v/>
      </c>
      <c r="K120" s="5" t="str">
        <f t="shared" si="7"/>
        <v/>
      </c>
      <c r="L120">
        <f>IF(A120="",999,IFERROR(MATCH(B120,Config!$A$4:$A$7,0),99)*10+IF(ISNUMBER(F120),1,IF(F120="",2,IF(UPPER(F120)="DNF",3,IF(UPPER(F120)="DNS",4,8)))))</f>
        <v>999</v>
      </c>
    </row>
    <row r="121" spans="2:12" x14ac:dyDescent="0.25">
      <c r="B121" t="str">
        <f>IF(A121="","",IFERROR(INDEX(tblReg[Field],MATCH(A121,tblReg[Bib],0)),""))</f>
        <v/>
      </c>
      <c r="C121" t="str">
        <f>IF(A121="","",IFERROR(INDEX(tblReg[FirstName],MATCH(A121,tblReg[Bib],0)),""))</f>
        <v/>
      </c>
      <c r="D121" t="str">
        <f>IF(A121="","",IFERROR(INDEX(tblReg[LastName],MATCH(A121,tblReg[Bib],0)),""))</f>
        <v/>
      </c>
      <c r="E121" t="str">
        <f>IF(A121="","",IFERROR(INDEX(tblReg[Team],MATCH(A121,tblReg[Bib],0)),""))</f>
        <v/>
      </c>
      <c r="F121" s="4" t="s">
        <v>103</v>
      </c>
      <c r="G121" t="str">
        <f t="shared" si="4"/>
        <v/>
      </c>
      <c r="H121" t="str">
        <f t="shared" si="5"/>
        <v/>
      </c>
      <c r="I121">
        <f>IF(H121="",0,IFERROR(INDEX(Config!$I$4:$I$6,MATCH(H121,Config!$H$4:$H$6,0)),0))</f>
        <v>0</v>
      </c>
      <c r="J121" t="str">
        <f t="shared" si="6"/>
        <v/>
      </c>
      <c r="K121" s="5" t="str">
        <f t="shared" si="7"/>
        <v/>
      </c>
      <c r="L121">
        <f>IF(A121="",999,IFERROR(MATCH(B121,Config!$A$4:$A$7,0),99)*10+IF(ISNUMBER(F121),1,IF(F121="",2,IF(UPPER(F121)="DNF",3,IF(UPPER(F121)="DNS",4,8)))))</f>
        <v>999</v>
      </c>
    </row>
    <row r="122" spans="2:12" x14ac:dyDescent="0.25">
      <c r="B122" t="str">
        <f>IF(A122="","",IFERROR(INDEX(tblReg[Field],MATCH(A122,tblReg[Bib],0)),""))</f>
        <v/>
      </c>
      <c r="C122" t="str">
        <f>IF(A122="","",IFERROR(INDEX(tblReg[FirstName],MATCH(A122,tblReg[Bib],0)),""))</f>
        <v/>
      </c>
      <c r="D122" t="str">
        <f>IF(A122="","",IFERROR(INDEX(tblReg[LastName],MATCH(A122,tblReg[Bib],0)),""))</f>
        <v/>
      </c>
      <c r="E122" t="str">
        <f>IF(A122="","",IFERROR(INDEX(tblReg[Team],MATCH(A122,tblReg[Bib],0)),""))</f>
        <v/>
      </c>
      <c r="F122" s="4" t="s">
        <v>103</v>
      </c>
      <c r="G122" t="str">
        <f t="shared" si="4"/>
        <v/>
      </c>
      <c r="H122" t="str">
        <f t="shared" si="5"/>
        <v/>
      </c>
      <c r="I122">
        <f>IF(H122="",0,IFERROR(INDEX(Config!$I$4:$I$6,MATCH(H122,Config!$H$4:$H$6,0)),0))</f>
        <v>0</v>
      </c>
      <c r="J122" t="str">
        <f t="shared" si="6"/>
        <v/>
      </c>
      <c r="K122" s="5" t="str">
        <f t="shared" si="7"/>
        <v/>
      </c>
      <c r="L122">
        <f>IF(A122="",999,IFERROR(MATCH(B122,Config!$A$4:$A$7,0),99)*10+IF(ISNUMBER(F122),1,IF(F122="",2,IF(UPPER(F122)="DNF",3,IF(UPPER(F122)="DNS",4,8)))))</f>
        <v>999</v>
      </c>
    </row>
    <row r="123" spans="2:12" x14ac:dyDescent="0.25">
      <c r="B123" t="str">
        <f>IF(A123="","",IFERROR(INDEX(tblReg[Field],MATCH(A123,tblReg[Bib],0)),""))</f>
        <v/>
      </c>
      <c r="C123" t="str">
        <f>IF(A123="","",IFERROR(INDEX(tblReg[FirstName],MATCH(A123,tblReg[Bib],0)),""))</f>
        <v/>
      </c>
      <c r="D123" t="str">
        <f>IF(A123="","",IFERROR(INDEX(tblReg[LastName],MATCH(A123,tblReg[Bib],0)),""))</f>
        <v/>
      </c>
      <c r="E123" t="str">
        <f>IF(A123="","",IFERROR(INDEX(tblReg[Team],MATCH(A123,tblReg[Bib],0)),""))</f>
        <v/>
      </c>
      <c r="F123" s="4" t="s">
        <v>103</v>
      </c>
      <c r="G123" t="str">
        <f t="shared" si="4"/>
        <v/>
      </c>
      <c r="H123" t="str">
        <f t="shared" si="5"/>
        <v/>
      </c>
      <c r="I123">
        <f>IF(H123="",0,IFERROR(INDEX(Config!$I$4:$I$6,MATCH(H123,Config!$H$4:$H$6,0)),0))</f>
        <v>0</v>
      </c>
      <c r="J123" t="str">
        <f t="shared" si="6"/>
        <v/>
      </c>
      <c r="K123" s="5" t="str">
        <f t="shared" si="7"/>
        <v/>
      </c>
      <c r="L123">
        <f>IF(A123="",999,IFERROR(MATCH(B123,Config!$A$4:$A$7,0),99)*10+IF(ISNUMBER(F123),1,IF(F123="",2,IF(UPPER(F123)="DNF",3,IF(UPPER(F123)="DNS",4,8)))))</f>
        <v>999</v>
      </c>
    </row>
    <row r="124" spans="2:12" x14ac:dyDescent="0.25">
      <c r="B124" t="str">
        <f>IF(A124="","",IFERROR(INDEX(tblReg[Field],MATCH(A124,tblReg[Bib],0)),""))</f>
        <v/>
      </c>
      <c r="C124" t="str">
        <f>IF(A124="","",IFERROR(INDEX(tblReg[FirstName],MATCH(A124,tblReg[Bib],0)),""))</f>
        <v/>
      </c>
      <c r="D124" t="str">
        <f>IF(A124="","",IFERROR(INDEX(tblReg[LastName],MATCH(A124,tblReg[Bib],0)),""))</f>
        <v/>
      </c>
      <c r="E124" t="str">
        <f>IF(A124="","",IFERROR(INDEX(tblReg[Team],MATCH(A124,tblReg[Bib],0)),""))</f>
        <v/>
      </c>
      <c r="F124" s="4" t="s">
        <v>103</v>
      </c>
      <c r="G124" t="str">
        <f t="shared" si="4"/>
        <v/>
      </c>
      <c r="H124" t="str">
        <f t="shared" si="5"/>
        <v/>
      </c>
      <c r="I124">
        <f>IF(H124="",0,IFERROR(INDEX(Config!$I$4:$I$6,MATCH(H124,Config!$H$4:$H$6,0)),0))</f>
        <v>0</v>
      </c>
      <c r="J124" t="str">
        <f t="shared" si="6"/>
        <v/>
      </c>
      <c r="K124" s="5" t="str">
        <f t="shared" si="7"/>
        <v/>
      </c>
      <c r="L124">
        <f>IF(A124="",999,IFERROR(MATCH(B124,Config!$A$4:$A$7,0),99)*10+IF(ISNUMBER(F124),1,IF(F124="",2,IF(UPPER(F124)="DNF",3,IF(UPPER(F124)="DNS",4,8)))))</f>
        <v>999</v>
      </c>
    </row>
    <row r="125" spans="2:12" x14ac:dyDescent="0.25">
      <c r="B125" t="str">
        <f>IF(A125="","",IFERROR(INDEX(tblReg[Field],MATCH(A125,tblReg[Bib],0)),""))</f>
        <v/>
      </c>
      <c r="C125" t="str">
        <f>IF(A125="","",IFERROR(INDEX(tblReg[FirstName],MATCH(A125,tblReg[Bib],0)),""))</f>
        <v/>
      </c>
      <c r="D125" t="str">
        <f>IF(A125="","",IFERROR(INDEX(tblReg[LastName],MATCH(A125,tblReg[Bib],0)),""))</f>
        <v/>
      </c>
      <c r="E125" t="str">
        <f>IF(A125="","",IFERROR(INDEX(tblReg[Team],MATCH(A125,tblReg[Bib],0)),""))</f>
        <v/>
      </c>
      <c r="F125" s="4" t="s">
        <v>103</v>
      </c>
      <c r="G125" t="str">
        <f t="shared" si="4"/>
        <v/>
      </c>
      <c r="H125" t="str">
        <f t="shared" si="5"/>
        <v/>
      </c>
      <c r="I125">
        <f>IF(H125="",0,IFERROR(INDEX(Config!$I$4:$I$6,MATCH(H125,Config!$H$4:$H$6,0)),0))</f>
        <v>0</v>
      </c>
      <c r="J125" t="str">
        <f t="shared" si="6"/>
        <v/>
      </c>
      <c r="K125" s="5" t="str">
        <f t="shared" si="7"/>
        <v/>
      </c>
      <c r="L125">
        <f>IF(A125="",999,IFERROR(MATCH(B125,Config!$A$4:$A$7,0),99)*10+IF(ISNUMBER(F125),1,IF(F125="",2,IF(UPPER(F125)="DNF",3,IF(UPPER(F125)="DNS",4,8)))))</f>
        <v>999</v>
      </c>
    </row>
    <row r="126" spans="2:12" x14ac:dyDescent="0.25">
      <c r="B126" t="str">
        <f>IF(A126="","",IFERROR(INDEX(tblReg[Field],MATCH(A126,tblReg[Bib],0)),""))</f>
        <v/>
      </c>
      <c r="C126" t="str">
        <f>IF(A126="","",IFERROR(INDEX(tblReg[FirstName],MATCH(A126,tblReg[Bib],0)),""))</f>
        <v/>
      </c>
      <c r="D126" t="str">
        <f>IF(A126="","",IFERROR(INDEX(tblReg[LastName],MATCH(A126,tblReg[Bib],0)),""))</f>
        <v/>
      </c>
      <c r="E126" t="str">
        <f>IF(A126="","",IFERROR(INDEX(tblReg[Team],MATCH(A126,tblReg[Bib],0)),""))</f>
        <v/>
      </c>
      <c r="F126" s="4" t="s">
        <v>103</v>
      </c>
      <c r="G126" t="str">
        <f t="shared" si="4"/>
        <v/>
      </c>
      <c r="H126" t="str">
        <f t="shared" si="5"/>
        <v/>
      </c>
      <c r="I126">
        <f>IF(H126="",0,IFERROR(INDEX(Config!$I$4:$I$6,MATCH(H126,Config!$H$4:$H$6,0)),0))</f>
        <v>0</v>
      </c>
      <c r="J126" t="str">
        <f t="shared" si="6"/>
        <v/>
      </c>
      <c r="K126" s="5" t="str">
        <f t="shared" si="7"/>
        <v/>
      </c>
      <c r="L126">
        <f>IF(A126="",999,IFERROR(MATCH(B126,Config!$A$4:$A$7,0),99)*10+IF(ISNUMBER(F126),1,IF(F126="",2,IF(UPPER(F126)="DNF",3,IF(UPPER(F126)="DNS",4,8)))))</f>
        <v>999</v>
      </c>
    </row>
    <row r="127" spans="2:12" x14ac:dyDescent="0.25">
      <c r="B127" t="str">
        <f>IF(A127="","",IFERROR(INDEX(tblReg[Field],MATCH(A127,tblReg[Bib],0)),""))</f>
        <v/>
      </c>
      <c r="C127" t="str">
        <f>IF(A127="","",IFERROR(INDEX(tblReg[FirstName],MATCH(A127,tblReg[Bib],0)),""))</f>
        <v/>
      </c>
      <c r="D127" t="str">
        <f>IF(A127="","",IFERROR(INDEX(tblReg[LastName],MATCH(A127,tblReg[Bib],0)),""))</f>
        <v/>
      </c>
      <c r="E127" t="str">
        <f>IF(A127="","",IFERROR(INDEX(tblReg[Team],MATCH(A127,tblReg[Bib],0)),""))</f>
        <v/>
      </c>
      <c r="F127" s="4" t="s">
        <v>103</v>
      </c>
      <c r="G127" t="str">
        <f t="shared" si="4"/>
        <v/>
      </c>
      <c r="H127" t="str">
        <f t="shared" si="5"/>
        <v/>
      </c>
      <c r="I127">
        <f>IF(H127="",0,IFERROR(INDEX(Config!$I$4:$I$6,MATCH(H127,Config!$H$4:$H$6,0)),0))</f>
        <v>0</v>
      </c>
      <c r="J127" t="str">
        <f t="shared" si="6"/>
        <v/>
      </c>
      <c r="K127" s="5" t="str">
        <f t="shared" si="7"/>
        <v/>
      </c>
      <c r="L127">
        <f>IF(A127="",999,IFERROR(MATCH(B127,Config!$A$4:$A$7,0),99)*10+IF(ISNUMBER(F127),1,IF(F127="",2,IF(UPPER(F127)="DNF",3,IF(UPPER(F127)="DNS",4,8)))))</f>
        <v>999</v>
      </c>
    </row>
    <row r="128" spans="2:12" x14ac:dyDescent="0.25">
      <c r="B128" t="str">
        <f>IF(A128="","",IFERROR(INDEX(tblReg[Field],MATCH(A128,tblReg[Bib],0)),""))</f>
        <v/>
      </c>
      <c r="C128" t="str">
        <f>IF(A128="","",IFERROR(INDEX(tblReg[FirstName],MATCH(A128,tblReg[Bib],0)),""))</f>
        <v/>
      </c>
      <c r="D128" t="str">
        <f>IF(A128="","",IFERROR(INDEX(tblReg[LastName],MATCH(A128,tblReg[Bib],0)),""))</f>
        <v/>
      </c>
      <c r="E128" t="str">
        <f>IF(A128="","",IFERROR(INDEX(tblReg[Team],MATCH(A128,tblReg[Bib],0)),""))</f>
        <v/>
      </c>
      <c r="F128" s="4" t="s">
        <v>103</v>
      </c>
      <c r="G128" t="str">
        <f t="shared" si="4"/>
        <v/>
      </c>
      <c r="H128" t="str">
        <f t="shared" si="5"/>
        <v/>
      </c>
      <c r="I128">
        <f>IF(H128="",0,IFERROR(INDEX(Config!$I$4:$I$6,MATCH(H128,Config!$H$4:$H$6,0)),0))</f>
        <v>0</v>
      </c>
      <c r="J128" t="str">
        <f t="shared" si="6"/>
        <v/>
      </c>
      <c r="K128" s="5" t="str">
        <f t="shared" si="7"/>
        <v/>
      </c>
      <c r="L128">
        <f>IF(A128="",999,IFERROR(MATCH(B128,Config!$A$4:$A$7,0),99)*10+IF(ISNUMBER(F128),1,IF(F128="",2,IF(UPPER(F128)="DNF",3,IF(UPPER(F128)="DNS",4,8)))))</f>
        <v>999</v>
      </c>
    </row>
    <row r="129" spans="2:12" x14ac:dyDescent="0.25">
      <c r="B129" t="str">
        <f>IF(A129="","",IFERROR(INDEX(tblReg[Field],MATCH(A129,tblReg[Bib],0)),""))</f>
        <v/>
      </c>
      <c r="C129" t="str">
        <f>IF(A129="","",IFERROR(INDEX(tblReg[FirstName],MATCH(A129,tblReg[Bib],0)),""))</f>
        <v/>
      </c>
      <c r="D129" t="str">
        <f>IF(A129="","",IFERROR(INDEX(tblReg[LastName],MATCH(A129,tblReg[Bib],0)),""))</f>
        <v/>
      </c>
      <c r="E129" t="str">
        <f>IF(A129="","",IFERROR(INDEX(tblReg[Team],MATCH(A129,tblReg[Bib],0)),""))</f>
        <v/>
      </c>
      <c r="F129" s="4" t="s">
        <v>103</v>
      </c>
      <c r="G129" t="str">
        <f t="shared" si="4"/>
        <v/>
      </c>
      <c r="H129" t="str">
        <f t="shared" si="5"/>
        <v/>
      </c>
      <c r="I129">
        <f>IF(H129="",0,IFERROR(INDEX(Config!$I$4:$I$6,MATCH(H129,Config!$H$4:$H$6,0)),0))</f>
        <v>0</v>
      </c>
      <c r="J129" t="str">
        <f t="shared" si="6"/>
        <v/>
      </c>
      <c r="K129" s="5" t="str">
        <f t="shared" si="7"/>
        <v/>
      </c>
      <c r="L129">
        <f>IF(A129="",999,IFERROR(MATCH(B129,Config!$A$4:$A$7,0),99)*10+IF(ISNUMBER(F129),1,IF(F129="",2,IF(UPPER(F129)="DNF",3,IF(UPPER(F129)="DNS",4,8)))))</f>
        <v>999</v>
      </c>
    </row>
    <row r="130" spans="2:12" x14ac:dyDescent="0.25">
      <c r="B130" t="str">
        <f>IF(A130="","",IFERROR(INDEX(tblReg[Field],MATCH(A130,tblReg[Bib],0)),""))</f>
        <v/>
      </c>
      <c r="C130" t="str">
        <f>IF(A130="","",IFERROR(INDEX(tblReg[FirstName],MATCH(A130,tblReg[Bib],0)),""))</f>
        <v/>
      </c>
      <c r="D130" t="str">
        <f>IF(A130="","",IFERROR(INDEX(tblReg[LastName],MATCH(A130,tblReg[Bib],0)),""))</f>
        <v/>
      </c>
      <c r="E130" t="str">
        <f>IF(A130="","",IFERROR(INDEX(tblReg[Team],MATCH(A130,tblReg[Bib],0)),""))</f>
        <v/>
      </c>
      <c r="F130" s="4" t="s">
        <v>103</v>
      </c>
      <c r="G130" t="str">
        <f t="shared" ref="G130:G193" si="8">IF(OR(F130="",UPPER(F130)="DNF",UPPER(F130)="DNS"),"",HOUR(F130)*3600 + MINUTE(F130)*60 + SECOND(F130))</f>
        <v/>
      </c>
      <c r="H130" t="str">
        <f t="shared" ref="H130:H193" si="9">IF(OR(A130="",B130=""),"",IF(ISNUMBER(G130),1+COUNTIFS($B$2:$B$251,B130,$G$2:$G$251,"&lt;"&amp;G130),IF(F130="",COUNTIFS($B$2:$B$251,B130,$G$2:$G$251,"&gt;=0")+COUNTIFS($B$2:$B$251,B130,$F$2:$F$251,"",$A$2:$A$251,"&lt;"&amp;A130)+1,"")))</f>
        <v/>
      </c>
      <c r="I130">
        <f>IF(H130="",0,IFERROR(INDEX(Config!$I$4:$I$6,MATCH(H130,Config!$H$4:$H$6,0)),0))</f>
        <v>0</v>
      </c>
      <c r="J130" t="str">
        <f t="shared" ref="J130:J193" si="10">IF(G130="","",G130-I130)</f>
        <v/>
      </c>
      <c r="K130" s="5" t="str">
        <f t="shared" ref="K130:K193" si="11">IF(J130="","",J130/86400)</f>
        <v/>
      </c>
      <c r="L130">
        <f>IF(A130="",999,IFERROR(MATCH(B130,Config!$A$4:$A$7,0),99)*10+IF(ISNUMBER(F130),1,IF(F130="",2,IF(UPPER(F130)="DNF",3,IF(UPPER(F130)="DNS",4,8)))))</f>
        <v>999</v>
      </c>
    </row>
    <row r="131" spans="2:12" x14ac:dyDescent="0.25">
      <c r="B131" t="str">
        <f>IF(A131="","",IFERROR(INDEX(tblReg[Field],MATCH(A131,tblReg[Bib],0)),""))</f>
        <v/>
      </c>
      <c r="C131" t="str">
        <f>IF(A131="","",IFERROR(INDEX(tblReg[FirstName],MATCH(A131,tblReg[Bib],0)),""))</f>
        <v/>
      </c>
      <c r="D131" t="str">
        <f>IF(A131="","",IFERROR(INDEX(tblReg[LastName],MATCH(A131,tblReg[Bib],0)),""))</f>
        <v/>
      </c>
      <c r="E131" t="str">
        <f>IF(A131="","",IFERROR(INDEX(tblReg[Team],MATCH(A131,tblReg[Bib],0)),""))</f>
        <v/>
      </c>
      <c r="F131" s="4" t="s">
        <v>103</v>
      </c>
      <c r="G131" t="str">
        <f t="shared" si="8"/>
        <v/>
      </c>
      <c r="H131" t="str">
        <f t="shared" si="9"/>
        <v/>
      </c>
      <c r="I131">
        <f>IF(H131="",0,IFERROR(INDEX(Config!$I$4:$I$6,MATCH(H131,Config!$H$4:$H$6,0)),0))</f>
        <v>0</v>
      </c>
      <c r="J131" t="str">
        <f t="shared" si="10"/>
        <v/>
      </c>
      <c r="K131" s="5" t="str">
        <f t="shared" si="11"/>
        <v/>
      </c>
      <c r="L131">
        <f>IF(A131="",999,IFERROR(MATCH(B131,Config!$A$4:$A$7,0),99)*10+IF(ISNUMBER(F131),1,IF(F131="",2,IF(UPPER(F131)="DNF",3,IF(UPPER(F131)="DNS",4,8)))))</f>
        <v>999</v>
      </c>
    </row>
    <row r="132" spans="2:12" x14ac:dyDescent="0.25">
      <c r="B132" t="str">
        <f>IF(A132="","",IFERROR(INDEX(tblReg[Field],MATCH(A132,tblReg[Bib],0)),""))</f>
        <v/>
      </c>
      <c r="C132" t="str">
        <f>IF(A132="","",IFERROR(INDEX(tblReg[FirstName],MATCH(A132,tblReg[Bib],0)),""))</f>
        <v/>
      </c>
      <c r="D132" t="str">
        <f>IF(A132="","",IFERROR(INDEX(tblReg[LastName],MATCH(A132,tblReg[Bib],0)),""))</f>
        <v/>
      </c>
      <c r="E132" t="str">
        <f>IF(A132="","",IFERROR(INDEX(tblReg[Team],MATCH(A132,tblReg[Bib],0)),""))</f>
        <v/>
      </c>
      <c r="F132" s="4" t="s">
        <v>103</v>
      </c>
      <c r="G132" t="str">
        <f t="shared" si="8"/>
        <v/>
      </c>
      <c r="H132" t="str">
        <f t="shared" si="9"/>
        <v/>
      </c>
      <c r="I132">
        <f>IF(H132="",0,IFERROR(INDEX(Config!$I$4:$I$6,MATCH(H132,Config!$H$4:$H$6,0)),0))</f>
        <v>0</v>
      </c>
      <c r="J132" t="str">
        <f t="shared" si="10"/>
        <v/>
      </c>
      <c r="K132" s="5" t="str">
        <f t="shared" si="11"/>
        <v/>
      </c>
      <c r="L132">
        <f>IF(A132="",999,IFERROR(MATCH(B132,Config!$A$4:$A$7,0),99)*10+IF(ISNUMBER(F132),1,IF(F132="",2,IF(UPPER(F132)="DNF",3,IF(UPPER(F132)="DNS",4,8)))))</f>
        <v>999</v>
      </c>
    </row>
    <row r="133" spans="2:12" x14ac:dyDescent="0.25">
      <c r="B133" t="str">
        <f>IF(A133="","",IFERROR(INDEX(tblReg[Field],MATCH(A133,tblReg[Bib],0)),""))</f>
        <v/>
      </c>
      <c r="C133" t="str">
        <f>IF(A133="","",IFERROR(INDEX(tblReg[FirstName],MATCH(A133,tblReg[Bib],0)),""))</f>
        <v/>
      </c>
      <c r="D133" t="str">
        <f>IF(A133="","",IFERROR(INDEX(tblReg[LastName],MATCH(A133,tblReg[Bib],0)),""))</f>
        <v/>
      </c>
      <c r="E133" t="str">
        <f>IF(A133="","",IFERROR(INDEX(tblReg[Team],MATCH(A133,tblReg[Bib],0)),""))</f>
        <v/>
      </c>
      <c r="F133" s="4" t="s">
        <v>103</v>
      </c>
      <c r="G133" t="str">
        <f t="shared" si="8"/>
        <v/>
      </c>
      <c r="H133" t="str">
        <f t="shared" si="9"/>
        <v/>
      </c>
      <c r="I133">
        <f>IF(H133="",0,IFERROR(INDEX(Config!$I$4:$I$6,MATCH(H133,Config!$H$4:$H$6,0)),0))</f>
        <v>0</v>
      </c>
      <c r="J133" t="str">
        <f t="shared" si="10"/>
        <v/>
      </c>
      <c r="K133" s="5" t="str">
        <f t="shared" si="11"/>
        <v/>
      </c>
      <c r="L133">
        <f>IF(A133="",999,IFERROR(MATCH(B133,Config!$A$4:$A$7,0),99)*10+IF(ISNUMBER(F133),1,IF(F133="",2,IF(UPPER(F133)="DNF",3,IF(UPPER(F133)="DNS",4,8)))))</f>
        <v>999</v>
      </c>
    </row>
    <row r="134" spans="2:12" x14ac:dyDescent="0.25">
      <c r="B134" t="str">
        <f>IF(A134="","",IFERROR(INDEX(tblReg[Field],MATCH(A134,tblReg[Bib],0)),""))</f>
        <v/>
      </c>
      <c r="C134" t="str">
        <f>IF(A134="","",IFERROR(INDEX(tblReg[FirstName],MATCH(A134,tblReg[Bib],0)),""))</f>
        <v/>
      </c>
      <c r="D134" t="str">
        <f>IF(A134="","",IFERROR(INDEX(tblReg[LastName],MATCH(A134,tblReg[Bib],0)),""))</f>
        <v/>
      </c>
      <c r="E134" t="str">
        <f>IF(A134="","",IFERROR(INDEX(tblReg[Team],MATCH(A134,tblReg[Bib],0)),""))</f>
        <v/>
      </c>
      <c r="F134" s="4" t="s">
        <v>103</v>
      </c>
      <c r="G134" t="str">
        <f t="shared" si="8"/>
        <v/>
      </c>
      <c r="H134" t="str">
        <f t="shared" si="9"/>
        <v/>
      </c>
      <c r="I134">
        <f>IF(H134="",0,IFERROR(INDEX(Config!$I$4:$I$6,MATCH(H134,Config!$H$4:$H$6,0)),0))</f>
        <v>0</v>
      </c>
      <c r="J134" t="str">
        <f t="shared" si="10"/>
        <v/>
      </c>
      <c r="K134" s="5" t="str">
        <f t="shared" si="11"/>
        <v/>
      </c>
      <c r="L134">
        <f>IF(A134="",999,IFERROR(MATCH(B134,Config!$A$4:$A$7,0),99)*10+IF(ISNUMBER(F134),1,IF(F134="",2,IF(UPPER(F134)="DNF",3,IF(UPPER(F134)="DNS",4,8)))))</f>
        <v>999</v>
      </c>
    </row>
    <row r="135" spans="2:12" x14ac:dyDescent="0.25">
      <c r="B135" t="str">
        <f>IF(A135="","",IFERROR(INDEX(tblReg[Field],MATCH(A135,tblReg[Bib],0)),""))</f>
        <v/>
      </c>
      <c r="C135" t="str">
        <f>IF(A135="","",IFERROR(INDEX(tblReg[FirstName],MATCH(A135,tblReg[Bib],0)),""))</f>
        <v/>
      </c>
      <c r="D135" t="str">
        <f>IF(A135="","",IFERROR(INDEX(tblReg[LastName],MATCH(A135,tblReg[Bib],0)),""))</f>
        <v/>
      </c>
      <c r="E135" t="str">
        <f>IF(A135="","",IFERROR(INDEX(tblReg[Team],MATCH(A135,tblReg[Bib],0)),""))</f>
        <v/>
      </c>
      <c r="F135" s="4" t="s">
        <v>103</v>
      </c>
      <c r="G135" t="str">
        <f t="shared" si="8"/>
        <v/>
      </c>
      <c r="H135" t="str">
        <f t="shared" si="9"/>
        <v/>
      </c>
      <c r="I135">
        <f>IF(H135="",0,IFERROR(INDEX(Config!$I$4:$I$6,MATCH(H135,Config!$H$4:$H$6,0)),0))</f>
        <v>0</v>
      </c>
      <c r="J135" t="str">
        <f t="shared" si="10"/>
        <v/>
      </c>
      <c r="K135" s="5" t="str">
        <f t="shared" si="11"/>
        <v/>
      </c>
      <c r="L135">
        <f>IF(A135="",999,IFERROR(MATCH(B135,Config!$A$4:$A$7,0),99)*10+IF(ISNUMBER(F135),1,IF(F135="",2,IF(UPPER(F135)="DNF",3,IF(UPPER(F135)="DNS",4,8)))))</f>
        <v>999</v>
      </c>
    </row>
    <row r="136" spans="2:12" x14ac:dyDescent="0.25">
      <c r="B136" t="str">
        <f>IF(A136="","",IFERROR(INDEX(tblReg[Field],MATCH(A136,tblReg[Bib],0)),""))</f>
        <v/>
      </c>
      <c r="C136" t="str">
        <f>IF(A136="","",IFERROR(INDEX(tblReg[FirstName],MATCH(A136,tblReg[Bib],0)),""))</f>
        <v/>
      </c>
      <c r="D136" t="str">
        <f>IF(A136="","",IFERROR(INDEX(tblReg[LastName],MATCH(A136,tblReg[Bib],0)),""))</f>
        <v/>
      </c>
      <c r="E136" t="str">
        <f>IF(A136="","",IFERROR(INDEX(tblReg[Team],MATCH(A136,tblReg[Bib],0)),""))</f>
        <v/>
      </c>
      <c r="F136" s="4" t="s">
        <v>103</v>
      </c>
      <c r="G136" t="str">
        <f t="shared" si="8"/>
        <v/>
      </c>
      <c r="H136" t="str">
        <f t="shared" si="9"/>
        <v/>
      </c>
      <c r="I136">
        <f>IF(H136="",0,IFERROR(INDEX(Config!$I$4:$I$6,MATCH(H136,Config!$H$4:$H$6,0)),0))</f>
        <v>0</v>
      </c>
      <c r="J136" t="str">
        <f t="shared" si="10"/>
        <v/>
      </c>
      <c r="K136" s="5" t="str">
        <f t="shared" si="11"/>
        <v/>
      </c>
      <c r="L136">
        <f>IF(A136="",999,IFERROR(MATCH(B136,Config!$A$4:$A$7,0),99)*10+IF(ISNUMBER(F136),1,IF(F136="",2,IF(UPPER(F136)="DNF",3,IF(UPPER(F136)="DNS",4,8)))))</f>
        <v>999</v>
      </c>
    </row>
    <row r="137" spans="2:12" x14ac:dyDescent="0.25">
      <c r="B137" t="str">
        <f>IF(A137="","",IFERROR(INDEX(tblReg[Field],MATCH(A137,tblReg[Bib],0)),""))</f>
        <v/>
      </c>
      <c r="C137" t="str">
        <f>IF(A137="","",IFERROR(INDEX(tblReg[FirstName],MATCH(A137,tblReg[Bib],0)),""))</f>
        <v/>
      </c>
      <c r="D137" t="str">
        <f>IF(A137="","",IFERROR(INDEX(tblReg[LastName],MATCH(A137,tblReg[Bib],0)),""))</f>
        <v/>
      </c>
      <c r="E137" t="str">
        <f>IF(A137="","",IFERROR(INDEX(tblReg[Team],MATCH(A137,tblReg[Bib],0)),""))</f>
        <v/>
      </c>
      <c r="F137" s="4" t="s">
        <v>103</v>
      </c>
      <c r="G137" t="str">
        <f t="shared" si="8"/>
        <v/>
      </c>
      <c r="H137" t="str">
        <f t="shared" si="9"/>
        <v/>
      </c>
      <c r="I137">
        <f>IF(H137="",0,IFERROR(INDEX(Config!$I$4:$I$6,MATCH(H137,Config!$H$4:$H$6,0)),0))</f>
        <v>0</v>
      </c>
      <c r="J137" t="str">
        <f t="shared" si="10"/>
        <v/>
      </c>
      <c r="K137" s="5" t="str">
        <f t="shared" si="11"/>
        <v/>
      </c>
      <c r="L137">
        <f>IF(A137="",999,IFERROR(MATCH(B137,Config!$A$4:$A$7,0),99)*10+IF(ISNUMBER(F137),1,IF(F137="",2,IF(UPPER(F137)="DNF",3,IF(UPPER(F137)="DNS",4,8)))))</f>
        <v>999</v>
      </c>
    </row>
    <row r="138" spans="2:12" x14ac:dyDescent="0.25">
      <c r="B138" t="str">
        <f>IF(A138="","",IFERROR(INDEX(tblReg[Field],MATCH(A138,tblReg[Bib],0)),""))</f>
        <v/>
      </c>
      <c r="C138" t="str">
        <f>IF(A138="","",IFERROR(INDEX(tblReg[FirstName],MATCH(A138,tblReg[Bib],0)),""))</f>
        <v/>
      </c>
      <c r="D138" t="str">
        <f>IF(A138="","",IFERROR(INDEX(tblReg[LastName],MATCH(A138,tblReg[Bib],0)),""))</f>
        <v/>
      </c>
      <c r="E138" t="str">
        <f>IF(A138="","",IFERROR(INDEX(tblReg[Team],MATCH(A138,tblReg[Bib],0)),""))</f>
        <v/>
      </c>
      <c r="F138" s="4" t="s">
        <v>103</v>
      </c>
      <c r="G138" t="str">
        <f t="shared" si="8"/>
        <v/>
      </c>
      <c r="H138" t="str">
        <f t="shared" si="9"/>
        <v/>
      </c>
      <c r="I138">
        <f>IF(H138="",0,IFERROR(INDEX(Config!$I$4:$I$6,MATCH(H138,Config!$H$4:$H$6,0)),0))</f>
        <v>0</v>
      </c>
      <c r="J138" t="str">
        <f t="shared" si="10"/>
        <v/>
      </c>
      <c r="K138" s="5" t="str">
        <f t="shared" si="11"/>
        <v/>
      </c>
      <c r="L138">
        <f>IF(A138="",999,IFERROR(MATCH(B138,Config!$A$4:$A$7,0),99)*10+IF(ISNUMBER(F138),1,IF(F138="",2,IF(UPPER(F138)="DNF",3,IF(UPPER(F138)="DNS",4,8)))))</f>
        <v>999</v>
      </c>
    </row>
    <row r="139" spans="2:12" x14ac:dyDescent="0.25">
      <c r="B139" t="str">
        <f>IF(A139="","",IFERROR(INDEX(tblReg[Field],MATCH(A139,tblReg[Bib],0)),""))</f>
        <v/>
      </c>
      <c r="C139" t="str">
        <f>IF(A139="","",IFERROR(INDEX(tblReg[FirstName],MATCH(A139,tblReg[Bib],0)),""))</f>
        <v/>
      </c>
      <c r="D139" t="str">
        <f>IF(A139="","",IFERROR(INDEX(tblReg[LastName],MATCH(A139,tblReg[Bib],0)),""))</f>
        <v/>
      </c>
      <c r="E139" t="str">
        <f>IF(A139="","",IFERROR(INDEX(tblReg[Team],MATCH(A139,tblReg[Bib],0)),""))</f>
        <v/>
      </c>
      <c r="F139" s="4" t="s">
        <v>103</v>
      </c>
      <c r="G139" t="str">
        <f t="shared" si="8"/>
        <v/>
      </c>
      <c r="H139" t="str">
        <f t="shared" si="9"/>
        <v/>
      </c>
      <c r="I139">
        <f>IF(H139="",0,IFERROR(INDEX(Config!$I$4:$I$6,MATCH(H139,Config!$H$4:$H$6,0)),0))</f>
        <v>0</v>
      </c>
      <c r="J139" t="str">
        <f t="shared" si="10"/>
        <v/>
      </c>
      <c r="K139" s="5" t="str">
        <f t="shared" si="11"/>
        <v/>
      </c>
      <c r="L139">
        <f>IF(A139="",999,IFERROR(MATCH(B139,Config!$A$4:$A$7,0),99)*10+IF(ISNUMBER(F139),1,IF(F139="",2,IF(UPPER(F139)="DNF",3,IF(UPPER(F139)="DNS",4,8)))))</f>
        <v>999</v>
      </c>
    </row>
    <row r="140" spans="2:12" x14ac:dyDescent="0.25">
      <c r="B140" t="str">
        <f>IF(A140="","",IFERROR(INDEX(tblReg[Field],MATCH(A140,tblReg[Bib],0)),""))</f>
        <v/>
      </c>
      <c r="C140" t="str">
        <f>IF(A140="","",IFERROR(INDEX(tblReg[FirstName],MATCH(A140,tblReg[Bib],0)),""))</f>
        <v/>
      </c>
      <c r="D140" t="str">
        <f>IF(A140="","",IFERROR(INDEX(tblReg[LastName],MATCH(A140,tblReg[Bib],0)),""))</f>
        <v/>
      </c>
      <c r="E140" t="str">
        <f>IF(A140="","",IFERROR(INDEX(tblReg[Team],MATCH(A140,tblReg[Bib],0)),""))</f>
        <v/>
      </c>
      <c r="F140" s="4" t="s">
        <v>103</v>
      </c>
      <c r="G140" t="str">
        <f t="shared" si="8"/>
        <v/>
      </c>
      <c r="H140" t="str">
        <f t="shared" si="9"/>
        <v/>
      </c>
      <c r="I140">
        <f>IF(H140="",0,IFERROR(INDEX(Config!$I$4:$I$6,MATCH(H140,Config!$H$4:$H$6,0)),0))</f>
        <v>0</v>
      </c>
      <c r="J140" t="str">
        <f t="shared" si="10"/>
        <v/>
      </c>
      <c r="K140" s="5" t="str">
        <f t="shared" si="11"/>
        <v/>
      </c>
      <c r="L140">
        <f>IF(A140="",999,IFERROR(MATCH(B140,Config!$A$4:$A$7,0),99)*10+IF(ISNUMBER(F140),1,IF(F140="",2,IF(UPPER(F140)="DNF",3,IF(UPPER(F140)="DNS",4,8)))))</f>
        <v>999</v>
      </c>
    </row>
    <row r="141" spans="2:12" x14ac:dyDescent="0.25">
      <c r="B141" t="str">
        <f>IF(A141="","",IFERROR(INDEX(tblReg[Field],MATCH(A141,tblReg[Bib],0)),""))</f>
        <v/>
      </c>
      <c r="C141" t="str">
        <f>IF(A141="","",IFERROR(INDEX(tblReg[FirstName],MATCH(A141,tblReg[Bib],0)),""))</f>
        <v/>
      </c>
      <c r="D141" t="str">
        <f>IF(A141="","",IFERROR(INDEX(tblReg[LastName],MATCH(A141,tblReg[Bib],0)),""))</f>
        <v/>
      </c>
      <c r="E141" t="str">
        <f>IF(A141="","",IFERROR(INDEX(tblReg[Team],MATCH(A141,tblReg[Bib],0)),""))</f>
        <v/>
      </c>
      <c r="F141" s="4" t="s">
        <v>103</v>
      </c>
      <c r="G141" t="str">
        <f t="shared" si="8"/>
        <v/>
      </c>
      <c r="H141" t="str">
        <f t="shared" si="9"/>
        <v/>
      </c>
      <c r="I141">
        <f>IF(H141="",0,IFERROR(INDEX(Config!$I$4:$I$6,MATCH(H141,Config!$H$4:$H$6,0)),0))</f>
        <v>0</v>
      </c>
      <c r="J141" t="str">
        <f t="shared" si="10"/>
        <v/>
      </c>
      <c r="K141" s="5" t="str">
        <f t="shared" si="11"/>
        <v/>
      </c>
      <c r="L141">
        <f>IF(A141="",999,IFERROR(MATCH(B141,Config!$A$4:$A$7,0),99)*10+IF(ISNUMBER(F141),1,IF(F141="",2,IF(UPPER(F141)="DNF",3,IF(UPPER(F141)="DNS",4,8)))))</f>
        <v>999</v>
      </c>
    </row>
    <row r="142" spans="2:12" x14ac:dyDescent="0.25">
      <c r="B142" t="str">
        <f>IF(A142="","",IFERROR(INDEX(tblReg[Field],MATCH(A142,tblReg[Bib],0)),""))</f>
        <v/>
      </c>
      <c r="C142" t="str">
        <f>IF(A142="","",IFERROR(INDEX(tblReg[FirstName],MATCH(A142,tblReg[Bib],0)),""))</f>
        <v/>
      </c>
      <c r="D142" t="str">
        <f>IF(A142="","",IFERROR(INDEX(tblReg[LastName],MATCH(A142,tblReg[Bib],0)),""))</f>
        <v/>
      </c>
      <c r="E142" t="str">
        <f>IF(A142="","",IFERROR(INDEX(tblReg[Team],MATCH(A142,tblReg[Bib],0)),""))</f>
        <v/>
      </c>
      <c r="F142" s="4" t="s">
        <v>103</v>
      </c>
      <c r="G142" t="str">
        <f t="shared" si="8"/>
        <v/>
      </c>
      <c r="H142" t="str">
        <f t="shared" si="9"/>
        <v/>
      </c>
      <c r="I142">
        <f>IF(H142="",0,IFERROR(INDEX(Config!$I$4:$I$6,MATCH(H142,Config!$H$4:$H$6,0)),0))</f>
        <v>0</v>
      </c>
      <c r="J142" t="str">
        <f t="shared" si="10"/>
        <v/>
      </c>
      <c r="K142" s="5" t="str">
        <f t="shared" si="11"/>
        <v/>
      </c>
      <c r="L142">
        <f>IF(A142="",999,IFERROR(MATCH(B142,Config!$A$4:$A$7,0),99)*10+IF(ISNUMBER(F142),1,IF(F142="",2,IF(UPPER(F142)="DNF",3,IF(UPPER(F142)="DNS",4,8)))))</f>
        <v>999</v>
      </c>
    </row>
    <row r="143" spans="2:12" x14ac:dyDescent="0.25">
      <c r="B143" t="str">
        <f>IF(A143="","",IFERROR(INDEX(tblReg[Field],MATCH(A143,tblReg[Bib],0)),""))</f>
        <v/>
      </c>
      <c r="C143" t="str">
        <f>IF(A143="","",IFERROR(INDEX(tblReg[FirstName],MATCH(A143,tblReg[Bib],0)),""))</f>
        <v/>
      </c>
      <c r="D143" t="str">
        <f>IF(A143="","",IFERROR(INDEX(tblReg[LastName],MATCH(A143,tblReg[Bib],0)),""))</f>
        <v/>
      </c>
      <c r="E143" t="str">
        <f>IF(A143="","",IFERROR(INDEX(tblReg[Team],MATCH(A143,tblReg[Bib],0)),""))</f>
        <v/>
      </c>
      <c r="F143" s="4" t="s">
        <v>103</v>
      </c>
      <c r="G143" t="str">
        <f t="shared" si="8"/>
        <v/>
      </c>
      <c r="H143" t="str">
        <f t="shared" si="9"/>
        <v/>
      </c>
      <c r="I143">
        <f>IF(H143="",0,IFERROR(INDEX(Config!$I$4:$I$6,MATCH(H143,Config!$H$4:$H$6,0)),0))</f>
        <v>0</v>
      </c>
      <c r="J143" t="str">
        <f t="shared" si="10"/>
        <v/>
      </c>
      <c r="K143" s="5" t="str">
        <f t="shared" si="11"/>
        <v/>
      </c>
      <c r="L143">
        <f>IF(A143="",999,IFERROR(MATCH(B143,Config!$A$4:$A$7,0),99)*10+IF(ISNUMBER(F143),1,IF(F143="",2,IF(UPPER(F143)="DNF",3,IF(UPPER(F143)="DNS",4,8)))))</f>
        <v>999</v>
      </c>
    </row>
    <row r="144" spans="2:12" x14ac:dyDescent="0.25">
      <c r="B144" t="str">
        <f>IF(A144="","",IFERROR(INDEX(tblReg[Field],MATCH(A144,tblReg[Bib],0)),""))</f>
        <v/>
      </c>
      <c r="C144" t="str">
        <f>IF(A144="","",IFERROR(INDEX(tblReg[FirstName],MATCH(A144,tblReg[Bib],0)),""))</f>
        <v/>
      </c>
      <c r="D144" t="str">
        <f>IF(A144="","",IFERROR(INDEX(tblReg[LastName],MATCH(A144,tblReg[Bib],0)),""))</f>
        <v/>
      </c>
      <c r="E144" t="str">
        <f>IF(A144="","",IFERROR(INDEX(tblReg[Team],MATCH(A144,tblReg[Bib],0)),""))</f>
        <v/>
      </c>
      <c r="F144" s="4" t="s">
        <v>103</v>
      </c>
      <c r="G144" t="str">
        <f t="shared" si="8"/>
        <v/>
      </c>
      <c r="H144" t="str">
        <f t="shared" si="9"/>
        <v/>
      </c>
      <c r="I144">
        <f>IF(H144="",0,IFERROR(INDEX(Config!$I$4:$I$6,MATCH(H144,Config!$H$4:$H$6,0)),0))</f>
        <v>0</v>
      </c>
      <c r="J144" t="str">
        <f t="shared" si="10"/>
        <v/>
      </c>
      <c r="K144" s="5" t="str">
        <f t="shared" si="11"/>
        <v/>
      </c>
      <c r="L144">
        <f>IF(A144="",999,IFERROR(MATCH(B144,Config!$A$4:$A$7,0),99)*10+IF(ISNUMBER(F144),1,IF(F144="",2,IF(UPPER(F144)="DNF",3,IF(UPPER(F144)="DNS",4,8)))))</f>
        <v>999</v>
      </c>
    </row>
    <row r="145" spans="2:12" x14ac:dyDescent="0.25">
      <c r="B145" t="str">
        <f>IF(A145="","",IFERROR(INDEX(tblReg[Field],MATCH(A145,tblReg[Bib],0)),""))</f>
        <v/>
      </c>
      <c r="C145" t="str">
        <f>IF(A145="","",IFERROR(INDEX(tblReg[FirstName],MATCH(A145,tblReg[Bib],0)),""))</f>
        <v/>
      </c>
      <c r="D145" t="str">
        <f>IF(A145="","",IFERROR(INDEX(tblReg[LastName],MATCH(A145,tblReg[Bib],0)),""))</f>
        <v/>
      </c>
      <c r="E145" t="str">
        <f>IF(A145="","",IFERROR(INDEX(tblReg[Team],MATCH(A145,tblReg[Bib],0)),""))</f>
        <v/>
      </c>
      <c r="F145" s="4" t="s">
        <v>103</v>
      </c>
      <c r="G145" t="str">
        <f t="shared" si="8"/>
        <v/>
      </c>
      <c r="H145" t="str">
        <f t="shared" si="9"/>
        <v/>
      </c>
      <c r="I145">
        <f>IF(H145="",0,IFERROR(INDEX(Config!$I$4:$I$6,MATCH(H145,Config!$H$4:$H$6,0)),0))</f>
        <v>0</v>
      </c>
      <c r="J145" t="str">
        <f t="shared" si="10"/>
        <v/>
      </c>
      <c r="K145" s="5" t="str">
        <f t="shared" si="11"/>
        <v/>
      </c>
      <c r="L145">
        <f>IF(A145="",999,IFERROR(MATCH(B145,Config!$A$4:$A$7,0),99)*10+IF(ISNUMBER(F145),1,IF(F145="",2,IF(UPPER(F145)="DNF",3,IF(UPPER(F145)="DNS",4,8)))))</f>
        <v>999</v>
      </c>
    </row>
    <row r="146" spans="2:12" x14ac:dyDescent="0.25">
      <c r="B146" t="str">
        <f>IF(A146="","",IFERROR(INDEX(tblReg[Field],MATCH(A146,tblReg[Bib],0)),""))</f>
        <v/>
      </c>
      <c r="C146" t="str">
        <f>IF(A146="","",IFERROR(INDEX(tblReg[FirstName],MATCH(A146,tblReg[Bib],0)),""))</f>
        <v/>
      </c>
      <c r="D146" t="str">
        <f>IF(A146="","",IFERROR(INDEX(tblReg[LastName],MATCH(A146,tblReg[Bib],0)),""))</f>
        <v/>
      </c>
      <c r="E146" t="str">
        <f>IF(A146="","",IFERROR(INDEX(tblReg[Team],MATCH(A146,tblReg[Bib],0)),""))</f>
        <v/>
      </c>
      <c r="F146" s="4" t="s">
        <v>103</v>
      </c>
      <c r="G146" t="str">
        <f t="shared" si="8"/>
        <v/>
      </c>
      <c r="H146" t="str">
        <f t="shared" si="9"/>
        <v/>
      </c>
      <c r="I146">
        <f>IF(H146="",0,IFERROR(INDEX(Config!$I$4:$I$6,MATCH(H146,Config!$H$4:$H$6,0)),0))</f>
        <v>0</v>
      </c>
      <c r="J146" t="str">
        <f t="shared" si="10"/>
        <v/>
      </c>
      <c r="K146" s="5" t="str">
        <f t="shared" si="11"/>
        <v/>
      </c>
      <c r="L146">
        <f>IF(A146="",999,IFERROR(MATCH(B146,Config!$A$4:$A$7,0),99)*10+IF(ISNUMBER(F146),1,IF(F146="",2,IF(UPPER(F146)="DNF",3,IF(UPPER(F146)="DNS",4,8)))))</f>
        <v>999</v>
      </c>
    </row>
    <row r="147" spans="2:12" x14ac:dyDescent="0.25">
      <c r="B147" t="str">
        <f>IF(A147="","",IFERROR(INDEX(tblReg[Field],MATCH(A147,tblReg[Bib],0)),""))</f>
        <v/>
      </c>
      <c r="C147" t="str">
        <f>IF(A147="","",IFERROR(INDEX(tblReg[FirstName],MATCH(A147,tblReg[Bib],0)),""))</f>
        <v/>
      </c>
      <c r="D147" t="str">
        <f>IF(A147="","",IFERROR(INDEX(tblReg[LastName],MATCH(A147,tblReg[Bib],0)),""))</f>
        <v/>
      </c>
      <c r="E147" t="str">
        <f>IF(A147="","",IFERROR(INDEX(tblReg[Team],MATCH(A147,tblReg[Bib],0)),""))</f>
        <v/>
      </c>
      <c r="F147" s="4" t="s">
        <v>103</v>
      </c>
      <c r="G147" t="str">
        <f t="shared" si="8"/>
        <v/>
      </c>
      <c r="H147" t="str">
        <f t="shared" si="9"/>
        <v/>
      </c>
      <c r="I147">
        <f>IF(H147="",0,IFERROR(INDEX(Config!$I$4:$I$6,MATCH(H147,Config!$H$4:$H$6,0)),0))</f>
        <v>0</v>
      </c>
      <c r="J147" t="str">
        <f t="shared" si="10"/>
        <v/>
      </c>
      <c r="K147" s="5" t="str">
        <f t="shared" si="11"/>
        <v/>
      </c>
      <c r="L147">
        <f>IF(A147="",999,IFERROR(MATCH(B147,Config!$A$4:$A$7,0),99)*10+IF(ISNUMBER(F147),1,IF(F147="",2,IF(UPPER(F147)="DNF",3,IF(UPPER(F147)="DNS",4,8)))))</f>
        <v>999</v>
      </c>
    </row>
    <row r="148" spans="2:12" x14ac:dyDescent="0.25">
      <c r="B148" t="str">
        <f>IF(A148="","",IFERROR(INDEX(tblReg[Field],MATCH(A148,tblReg[Bib],0)),""))</f>
        <v/>
      </c>
      <c r="C148" t="str">
        <f>IF(A148="","",IFERROR(INDEX(tblReg[FirstName],MATCH(A148,tblReg[Bib],0)),""))</f>
        <v/>
      </c>
      <c r="D148" t="str">
        <f>IF(A148="","",IFERROR(INDEX(tblReg[LastName],MATCH(A148,tblReg[Bib],0)),""))</f>
        <v/>
      </c>
      <c r="E148" t="str">
        <f>IF(A148="","",IFERROR(INDEX(tblReg[Team],MATCH(A148,tblReg[Bib],0)),""))</f>
        <v/>
      </c>
      <c r="F148" s="4" t="s">
        <v>103</v>
      </c>
      <c r="G148" t="str">
        <f t="shared" si="8"/>
        <v/>
      </c>
      <c r="H148" t="str">
        <f t="shared" si="9"/>
        <v/>
      </c>
      <c r="I148">
        <f>IF(H148="",0,IFERROR(INDEX(Config!$I$4:$I$6,MATCH(H148,Config!$H$4:$H$6,0)),0))</f>
        <v>0</v>
      </c>
      <c r="J148" t="str">
        <f t="shared" si="10"/>
        <v/>
      </c>
      <c r="K148" s="5" t="str">
        <f t="shared" si="11"/>
        <v/>
      </c>
      <c r="L148">
        <f>IF(A148="",999,IFERROR(MATCH(B148,Config!$A$4:$A$7,0),99)*10+IF(ISNUMBER(F148),1,IF(F148="",2,IF(UPPER(F148)="DNF",3,IF(UPPER(F148)="DNS",4,8)))))</f>
        <v>999</v>
      </c>
    </row>
    <row r="149" spans="2:12" x14ac:dyDescent="0.25">
      <c r="B149" t="str">
        <f>IF(A149="","",IFERROR(INDEX(tblReg[Field],MATCH(A149,tblReg[Bib],0)),""))</f>
        <v/>
      </c>
      <c r="C149" t="str">
        <f>IF(A149="","",IFERROR(INDEX(tblReg[FirstName],MATCH(A149,tblReg[Bib],0)),""))</f>
        <v/>
      </c>
      <c r="D149" t="str">
        <f>IF(A149="","",IFERROR(INDEX(tblReg[LastName],MATCH(A149,tblReg[Bib],0)),""))</f>
        <v/>
      </c>
      <c r="E149" t="str">
        <f>IF(A149="","",IFERROR(INDEX(tblReg[Team],MATCH(A149,tblReg[Bib],0)),""))</f>
        <v/>
      </c>
      <c r="F149" s="4" t="s">
        <v>103</v>
      </c>
      <c r="G149" t="str">
        <f t="shared" si="8"/>
        <v/>
      </c>
      <c r="H149" t="str">
        <f t="shared" si="9"/>
        <v/>
      </c>
      <c r="I149">
        <f>IF(H149="",0,IFERROR(INDEX(Config!$I$4:$I$6,MATCH(H149,Config!$H$4:$H$6,0)),0))</f>
        <v>0</v>
      </c>
      <c r="J149" t="str">
        <f t="shared" si="10"/>
        <v/>
      </c>
      <c r="K149" s="5" t="str">
        <f t="shared" si="11"/>
        <v/>
      </c>
      <c r="L149">
        <f>IF(A149="",999,IFERROR(MATCH(B149,Config!$A$4:$A$7,0),99)*10+IF(ISNUMBER(F149),1,IF(F149="",2,IF(UPPER(F149)="DNF",3,IF(UPPER(F149)="DNS",4,8)))))</f>
        <v>999</v>
      </c>
    </row>
    <row r="150" spans="2:12" x14ac:dyDescent="0.25">
      <c r="B150" t="str">
        <f>IF(A150="","",IFERROR(INDEX(tblReg[Field],MATCH(A150,tblReg[Bib],0)),""))</f>
        <v/>
      </c>
      <c r="C150" t="str">
        <f>IF(A150="","",IFERROR(INDEX(tblReg[FirstName],MATCH(A150,tblReg[Bib],0)),""))</f>
        <v/>
      </c>
      <c r="D150" t="str">
        <f>IF(A150="","",IFERROR(INDEX(tblReg[LastName],MATCH(A150,tblReg[Bib],0)),""))</f>
        <v/>
      </c>
      <c r="E150" t="str">
        <f>IF(A150="","",IFERROR(INDEX(tblReg[Team],MATCH(A150,tblReg[Bib],0)),""))</f>
        <v/>
      </c>
      <c r="F150" s="4" t="s">
        <v>103</v>
      </c>
      <c r="G150" t="str">
        <f t="shared" si="8"/>
        <v/>
      </c>
      <c r="H150" t="str">
        <f t="shared" si="9"/>
        <v/>
      </c>
      <c r="I150">
        <f>IF(H150="",0,IFERROR(INDEX(Config!$I$4:$I$6,MATCH(H150,Config!$H$4:$H$6,0)),0))</f>
        <v>0</v>
      </c>
      <c r="J150" t="str">
        <f t="shared" si="10"/>
        <v/>
      </c>
      <c r="K150" s="5" t="str">
        <f t="shared" si="11"/>
        <v/>
      </c>
      <c r="L150">
        <f>IF(A150="",999,IFERROR(MATCH(B150,Config!$A$4:$A$7,0),99)*10+IF(ISNUMBER(F150),1,IF(F150="",2,IF(UPPER(F150)="DNF",3,IF(UPPER(F150)="DNS",4,8)))))</f>
        <v>999</v>
      </c>
    </row>
    <row r="151" spans="2:12" x14ac:dyDescent="0.25">
      <c r="B151" t="str">
        <f>IF(A151="","",IFERROR(INDEX(tblReg[Field],MATCH(A151,tblReg[Bib],0)),""))</f>
        <v/>
      </c>
      <c r="C151" t="str">
        <f>IF(A151="","",IFERROR(INDEX(tblReg[FirstName],MATCH(A151,tblReg[Bib],0)),""))</f>
        <v/>
      </c>
      <c r="D151" t="str">
        <f>IF(A151="","",IFERROR(INDEX(tblReg[LastName],MATCH(A151,tblReg[Bib],0)),""))</f>
        <v/>
      </c>
      <c r="E151" t="str">
        <f>IF(A151="","",IFERROR(INDEX(tblReg[Team],MATCH(A151,tblReg[Bib],0)),""))</f>
        <v/>
      </c>
      <c r="F151" s="4" t="s">
        <v>103</v>
      </c>
      <c r="G151" t="str">
        <f t="shared" si="8"/>
        <v/>
      </c>
      <c r="H151" t="str">
        <f t="shared" si="9"/>
        <v/>
      </c>
      <c r="I151">
        <f>IF(H151="",0,IFERROR(INDEX(Config!$I$4:$I$6,MATCH(H151,Config!$H$4:$H$6,0)),0))</f>
        <v>0</v>
      </c>
      <c r="J151" t="str">
        <f t="shared" si="10"/>
        <v/>
      </c>
      <c r="K151" s="5" t="str">
        <f t="shared" si="11"/>
        <v/>
      </c>
      <c r="L151">
        <f>IF(A151="",999,IFERROR(MATCH(B151,Config!$A$4:$A$7,0),99)*10+IF(ISNUMBER(F151),1,IF(F151="",2,IF(UPPER(F151)="DNF",3,IF(UPPER(F151)="DNS",4,8)))))</f>
        <v>999</v>
      </c>
    </row>
    <row r="152" spans="2:12" x14ac:dyDescent="0.25">
      <c r="B152" t="str">
        <f>IF(A152="","",IFERROR(INDEX(tblReg[Field],MATCH(A152,tblReg[Bib],0)),""))</f>
        <v/>
      </c>
      <c r="C152" t="str">
        <f>IF(A152="","",IFERROR(INDEX(tblReg[FirstName],MATCH(A152,tblReg[Bib],0)),""))</f>
        <v/>
      </c>
      <c r="D152" t="str">
        <f>IF(A152="","",IFERROR(INDEX(tblReg[LastName],MATCH(A152,tblReg[Bib],0)),""))</f>
        <v/>
      </c>
      <c r="E152" t="str">
        <f>IF(A152="","",IFERROR(INDEX(tblReg[Team],MATCH(A152,tblReg[Bib],0)),""))</f>
        <v/>
      </c>
      <c r="F152" s="4" t="s">
        <v>103</v>
      </c>
      <c r="G152" t="str">
        <f t="shared" si="8"/>
        <v/>
      </c>
      <c r="H152" t="str">
        <f t="shared" si="9"/>
        <v/>
      </c>
      <c r="I152">
        <f>IF(H152="",0,IFERROR(INDEX(Config!$I$4:$I$6,MATCH(H152,Config!$H$4:$H$6,0)),0))</f>
        <v>0</v>
      </c>
      <c r="J152" t="str">
        <f t="shared" si="10"/>
        <v/>
      </c>
      <c r="K152" s="5" t="str">
        <f t="shared" si="11"/>
        <v/>
      </c>
      <c r="L152">
        <f>IF(A152="",999,IFERROR(MATCH(B152,Config!$A$4:$A$7,0),99)*10+IF(ISNUMBER(F152),1,IF(F152="",2,IF(UPPER(F152)="DNF",3,IF(UPPER(F152)="DNS",4,8)))))</f>
        <v>999</v>
      </c>
    </row>
    <row r="153" spans="2:12" x14ac:dyDescent="0.25">
      <c r="B153" t="str">
        <f>IF(A153="","",IFERROR(INDEX(tblReg[Field],MATCH(A153,tblReg[Bib],0)),""))</f>
        <v/>
      </c>
      <c r="C153" t="str">
        <f>IF(A153="","",IFERROR(INDEX(tblReg[FirstName],MATCH(A153,tblReg[Bib],0)),""))</f>
        <v/>
      </c>
      <c r="D153" t="str">
        <f>IF(A153="","",IFERROR(INDEX(tblReg[LastName],MATCH(A153,tblReg[Bib],0)),""))</f>
        <v/>
      </c>
      <c r="E153" t="str">
        <f>IF(A153="","",IFERROR(INDEX(tblReg[Team],MATCH(A153,tblReg[Bib],0)),""))</f>
        <v/>
      </c>
      <c r="F153" s="4" t="s">
        <v>103</v>
      </c>
      <c r="G153" t="str">
        <f t="shared" si="8"/>
        <v/>
      </c>
      <c r="H153" t="str">
        <f t="shared" si="9"/>
        <v/>
      </c>
      <c r="I153">
        <f>IF(H153="",0,IFERROR(INDEX(Config!$I$4:$I$6,MATCH(H153,Config!$H$4:$H$6,0)),0))</f>
        <v>0</v>
      </c>
      <c r="J153" t="str">
        <f t="shared" si="10"/>
        <v/>
      </c>
      <c r="K153" s="5" t="str">
        <f t="shared" si="11"/>
        <v/>
      </c>
      <c r="L153">
        <f>IF(A153="",999,IFERROR(MATCH(B153,Config!$A$4:$A$7,0),99)*10+IF(ISNUMBER(F153),1,IF(F153="",2,IF(UPPER(F153)="DNF",3,IF(UPPER(F153)="DNS",4,8)))))</f>
        <v>999</v>
      </c>
    </row>
    <row r="154" spans="2:12" x14ac:dyDescent="0.25">
      <c r="B154" t="str">
        <f>IF(A154="","",IFERROR(INDEX(tblReg[Field],MATCH(A154,tblReg[Bib],0)),""))</f>
        <v/>
      </c>
      <c r="C154" t="str">
        <f>IF(A154="","",IFERROR(INDEX(tblReg[FirstName],MATCH(A154,tblReg[Bib],0)),""))</f>
        <v/>
      </c>
      <c r="D154" t="str">
        <f>IF(A154="","",IFERROR(INDEX(tblReg[LastName],MATCH(A154,tblReg[Bib],0)),""))</f>
        <v/>
      </c>
      <c r="E154" t="str">
        <f>IF(A154="","",IFERROR(INDEX(tblReg[Team],MATCH(A154,tblReg[Bib],0)),""))</f>
        <v/>
      </c>
      <c r="F154" s="4" t="s">
        <v>103</v>
      </c>
      <c r="G154" t="str">
        <f t="shared" si="8"/>
        <v/>
      </c>
      <c r="H154" t="str">
        <f t="shared" si="9"/>
        <v/>
      </c>
      <c r="I154">
        <f>IF(H154="",0,IFERROR(INDEX(Config!$I$4:$I$6,MATCH(H154,Config!$H$4:$H$6,0)),0))</f>
        <v>0</v>
      </c>
      <c r="J154" t="str">
        <f t="shared" si="10"/>
        <v/>
      </c>
      <c r="K154" s="5" t="str">
        <f t="shared" si="11"/>
        <v/>
      </c>
      <c r="L154">
        <f>IF(A154="",999,IFERROR(MATCH(B154,Config!$A$4:$A$7,0),99)*10+IF(ISNUMBER(F154),1,IF(F154="",2,IF(UPPER(F154)="DNF",3,IF(UPPER(F154)="DNS",4,8)))))</f>
        <v>999</v>
      </c>
    </row>
    <row r="155" spans="2:12" x14ac:dyDescent="0.25">
      <c r="B155" t="str">
        <f>IF(A155="","",IFERROR(INDEX(tblReg[Field],MATCH(A155,tblReg[Bib],0)),""))</f>
        <v/>
      </c>
      <c r="C155" t="str">
        <f>IF(A155="","",IFERROR(INDEX(tblReg[FirstName],MATCH(A155,tblReg[Bib],0)),""))</f>
        <v/>
      </c>
      <c r="D155" t="str">
        <f>IF(A155="","",IFERROR(INDEX(tblReg[LastName],MATCH(A155,tblReg[Bib],0)),""))</f>
        <v/>
      </c>
      <c r="E155" t="str">
        <f>IF(A155="","",IFERROR(INDEX(tblReg[Team],MATCH(A155,tblReg[Bib],0)),""))</f>
        <v/>
      </c>
      <c r="F155" s="4" t="s">
        <v>103</v>
      </c>
      <c r="G155" t="str">
        <f t="shared" si="8"/>
        <v/>
      </c>
      <c r="H155" t="str">
        <f t="shared" si="9"/>
        <v/>
      </c>
      <c r="I155">
        <f>IF(H155="",0,IFERROR(INDEX(Config!$I$4:$I$6,MATCH(H155,Config!$H$4:$H$6,0)),0))</f>
        <v>0</v>
      </c>
      <c r="J155" t="str">
        <f t="shared" si="10"/>
        <v/>
      </c>
      <c r="K155" s="5" t="str">
        <f t="shared" si="11"/>
        <v/>
      </c>
      <c r="L155">
        <f>IF(A155="",999,IFERROR(MATCH(B155,Config!$A$4:$A$7,0),99)*10+IF(ISNUMBER(F155),1,IF(F155="",2,IF(UPPER(F155)="DNF",3,IF(UPPER(F155)="DNS",4,8)))))</f>
        <v>999</v>
      </c>
    </row>
    <row r="156" spans="2:12" x14ac:dyDescent="0.25">
      <c r="B156" t="str">
        <f>IF(A156="","",IFERROR(INDEX(tblReg[Field],MATCH(A156,tblReg[Bib],0)),""))</f>
        <v/>
      </c>
      <c r="C156" t="str">
        <f>IF(A156="","",IFERROR(INDEX(tblReg[FirstName],MATCH(A156,tblReg[Bib],0)),""))</f>
        <v/>
      </c>
      <c r="D156" t="str">
        <f>IF(A156="","",IFERROR(INDEX(tblReg[LastName],MATCH(A156,tblReg[Bib],0)),""))</f>
        <v/>
      </c>
      <c r="E156" t="str">
        <f>IF(A156="","",IFERROR(INDEX(tblReg[Team],MATCH(A156,tblReg[Bib],0)),""))</f>
        <v/>
      </c>
      <c r="F156" s="4" t="s">
        <v>103</v>
      </c>
      <c r="G156" t="str">
        <f t="shared" si="8"/>
        <v/>
      </c>
      <c r="H156" t="str">
        <f t="shared" si="9"/>
        <v/>
      </c>
      <c r="I156">
        <f>IF(H156="",0,IFERROR(INDEX(Config!$I$4:$I$6,MATCH(H156,Config!$H$4:$H$6,0)),0))</f>
        <v>0</v>
      </c>
      <c r="J156" t="str">
        <f t="shared" si="10"/>
        <v/>
      </c>
      <c r="K156" s="5" t="str">
        <f t="shared" si="11"/>
        <v/>
      </c>
      <c r="L156">
        <f>IF(A156="",999,IFERROR(MATCH(B156,Config!$A$4:$A$7,0),99)*10+IF(ISNUMBER(F156),1,IF(F156="",2,IF(UPPER(F156)="DNF",3,IF(UPPER(F156)="DNS",4,8)))))</f>
        <v>999</v>
      </c>
    </row>
    <row r="157" spans="2:12" x14ac:dyDescent="0.25">
      <c r="B157" t="str">
        <f>IF(A157="","",IFERROR(INDEX(tblReg[Field],MATCH(A157,tblReg[Bib],0)),""))</f>
        <v/>
      </c>
      <c r="C157" t="str">
        <f>IF(A157="","",IFERROR(INDEX(tblReg[FirstName],MATCH(A157,tblReg[Bib],0)),""))</f>
        <v/>
      </c>
      <c r="D157" t="str">
        <f>IF(A157="","",IFERROR(INDEX(tblReg[LastName],MATCH(A157,tblReg[Bib],0)),""))</f>
        <v/>
      </c>
      <c r="E157" t="str">
        <f>IF(A157="","",IFERROR(INDEX(tblReg[Team],MATCH(A157,tblReg[Bib],0)),""))</f>
        <v/>
      </c>
      <c r="F157" s="4" t="s">
        <v>103</v>
      </c>
      <c r="G157" t="str">
        <f t="shared" si="8"/>
        <v/>
      </c>
      <c r="H157" t="str">
        <f t="shared" si="9"/>
        <v/>
      </c>
      <c r="I157">
        <f>IF(H157="",0,IFERROR(INDEX(Config!$I$4:$I$6,MATCH(H157,Config!$H$4:$H$6,0)),0))</f>
        <v>0</v>
      </c>
      <c r="J157" t="str">
        <f t="shared" si="10"/>
        <v/>
      </c>
      <c r="K157" s="5" t="str">
        <f t="shared" si="11"/>
        <v/>
      </c>
      <c r="L157">
        <f>IF(A157="",999,IFERROR(MATCH(B157,Config!$A$4:$A$7,0),99)*10+IF(ISNUMBER(F157),1,IF(F157="",2,IF(UPPER(F157)="DNF",3,IF(UPPER(F157)="DNS",4,8)))))</f>
        <v>999</v>
      </c>
    </row>
    <row r="158" spans="2:12" x14ac:dyDescent="0.25">
      <c r="B158" t="str">
        <f>IF(A158="","",IFERROR(INDEX(tblReg[Field],MATCH(A158,tblReg[Bib],0)),""))</f>
        <v/>
      </c>
      <c r="C158" t="str">
        <f>IF(A158="","",IFERROR(INDEX(tblReg[FirstName],MATCH(A158,tblReg[Bib],0)),""))</f>
        <v/>
      </c>
      <c r="D158" t="str">
        <f>IF(A158="","",IFERROR(INDEX(tblReg[LastName],MATCH(A158,tblReg[Bib],0)),""))</f>
        <v/>
      </c>
      <c r="E158" t="str">
        <f>IF(A158="","",IFERROR(INDEX(tblReg[Team],MATCH(A158,tblReg[Bib],0)),""))</f>
        <v/>
      </c>
      <c r="F158" s="4" t="s">
        <v>103</v>
      </c>
      <c r="G158" t="str">
        <f t="shared" si="8"/>
        <v/>
      </c>
      <c r="H158" t="str">
        <f t="shared" si="9"/>
        <v/>
      </c>
      <c r="I158">
        <f>IF(H158="",0,IFERROR(INDEX(Config!$I$4:$I$6,MATCH(H158,Config!$H$4:$H$6,0)),0))</f>
        <v>0</v>
      </c>
      <c r="J158" t="str">
        <f t="shared" si="10"/>
        <v/>
      </c>
      <c r="K158" s="5" t="str">
        <f t="shared" si="11"/>
        <v/>
      </c>
      <c r="L158">
        <f>IF(A158="",999,IFERROR(MATCH(B158,Config!$A$4:$A$7,0),99)*10+IF(ISNUMBER(F158),1,IF(F158="",2,IF(UPPER(F158)="DNF",3,IF(UPPER(F158)="DNS",4,8)))))</f>
        <v>999</v>
      </c>
    </row>
    <row r="159" spans="2:12" x14ac:dyDescent="0.25">
      <c r="B159" t="str">
        <f>IF(A159="","",IFERROR(INDEX(tblReg[Field],MATCH(A159,tblReg[Bib],0)),""))</f>
        <v/>
      </c>
      <c r="C159" t="str">
        <f>IF(A159="","",IFERROR(INDEX(tblReg[FirstName],MATCH(A159,tblReg[Bib],0)),""))</f>
        <v/>
      </c>
      <c r="D159" t="str">
        <f>IF(A159="","",IFERROR(INDEX(tblReg[LastName],MATCH(A159,tblReg[Bib],0)),""))</f>
        <v/>
      </c>
      <c r="E159" t="str">
        <f>IF(A159="","",IFERROR(INDEX(tblReg[Team],MATCH(A159,tblReg[Bib],0)),""))</f>
        <v/>
      </c>
      <c r="F159" s="4" t="s">
        <v>103</v>
      </c>
      <c r="G159" t="str">
        <f t="shared" si="8"/>
        <v/>
      </c>
      <c r="H159" t="str">
        <f t="shared" si="9"/>
        <v/>
      </c>
      <c r="I159">
        <f>IF(H159="",0,IFERROR(INDEX(Config!$I$4:$I$6,MATCH(H159,Config!$H$4:$H$6,0)),0))</f>
        <v>0</v>
      </c>
      <c r="J159" t="str">
        <f t="shared" si="10"/>
        <v/>
      </c>
      <c r="K159" s="5" t="str">
        <f t="shared" si="11"/>
        <v/>
      </c>
      <c r="L159">
        <f>IF(A159="",999,IFERROR(MATCH(B159,Config!$A$4:$A$7,0),99)*10+IF(ISNUMBER(F159),1,IF(F159="",2,IF(UPPER(F159)="DNF",3,IF(UPPER(F159)="DNS",4,8)))))</f>
        <v>999</v>
      </c>
    </row>
    <row r="160" spans="2:12" x14ac:dyDescent="0.25">
      <c r="B160" t="str">
        <f>IF(A160="","",IFERROR(INDEX(tblReg[Field],MATCH(A160,tblReg[Bib],0)),""))</f>
        <v/>
      </c>
      <c r="C160" t="str">
        <f>IF(A160="","",IFERROR(INDEX(tblReg[FirstName],MATCH(A160,tblReg[Bib],0)),""))</f>
        <v/>
      </c>
      <c r="D160" t="str">
        <f>IF(A160="","",IFERROR(INDEX(tblReg[LastName],MATCH(A160,tblReg[Bib],0)),""))</f>
        <v/>
      </c>
      <c r="E160" t="str">
        <f>IF(A160="","",IFERROR(INDEX(tblReg[Team],MATCH(A160,tblReg[Bib],0)),""))</f>
        <v/>
      </c>
      <c r="F160" s="4" t="s">
        <v>103</v>
      </c>
      <c r="G160" t="str">
        <f t="shared" si="8"/>
        <v/>
      </c>
      <c r="H160" t="str">
        <f t="shared" si="9"/>
        <v/>
      </c>
      <c r="I160">
        <f>IF(H160="",0,IFERROR(INDEX(Config!$I$4:$I$6,MATCH(H160,Config!$H$4:$H$6,0)),0))</f>
        <v>0</v>
      </c>
      <c r="J160" t="str">
        <f t="shared" si="10"/>
        <v/>
      </c>
      <c r="K160" s="5" t="str">
        <f t="shared" si="11"/>
        <v/>
      </c>
      <c r="L160">
        <f>IF(A160="",999,IFERROR(MATCH(B160,Config!$A$4:$A$7,0),99)*10+IF(ISNUMBER(F160),1,IF(F160="",2,IF(UPPER(F160)="DNF",3,IF(UPPER(F160)="DNS",4,8)))))</f>
        <v>999</v>
      </c>
    </row>
    <row r="161" spans="2:12" x14ac:dyDescent="0.25">
      <c r="B161" t="str">
        <f>IF(A161="","",IFERROR(INDEX(tblReg[Field],MATCH(A161,tblReg[Bib],0)),""))</f>
        <v/>
      </c>
      <c r="C161" t="str">
        <f>IF(A161="","",IFERROR(INDEX(tblReg[FirstName],MATCH(A161,tblReg[Bib],0)),""))</f>
        <v/>
      </c>
      <c r="D161" t="str">
        <f>IF(A161="","",IFERROR(INDEX(tblReg[LastName],MATCH(A161,tblReg[Bib],0)),""))</f>
        <v/>
      </c>
      <c r="E161" t="str">
        <f>IF(A161="","",IFERROR(INDEX(tblReg[Team],MATCH(A161,tblReg[Bib],0)),""))</f>
        <v/>
      </c>
      <c r="F161" s="4" t="s">
        <v>103</v>
      </c>
      <c r="G161" t="str">
        <f t="shared" si="8"/>
        <v/>
      </c>
      <c r="H161" t="str">
        <f t="shared" si="9"/>
        <v/>
      </c>
      <c r="I161">
        <f>IF(H161="",0,IFERROR(INDEX(Config!$I$4:$I$6,MATCH(H161,Config!$H$4:$H$6,0)),0))</f>
        <v>0</v>
      </c>
      <c r="J161" t="str">
        <f t="shared" si="10"/>
        <v/>
      </c>
      <c r="K161" s="5" t="str">
        <f t="shared" si="11"/>
        <v/>
      </c>
      <c r="L161">
        <f>IF(A161="",999,IFERROR(MATCH(B161,Config!$A$4:$A$7,0),99)*10+IF(ISNUMBER(F161),1,IF(F161="",2,IF(UPPER(F161)="DNF",3,IF(UPPER(F161)="DNS",4,8)))))</f>
        <v>999</v>
      </c>
    </row>
    <row r="162" spans="2:12" x14ac:dyDescent="0.25">
      <c r="B162" t="str">
        <f>IF(A162="","",IFERROR(INDEX(tblReg[Field],MATCH(A162,tblReg[Bib],0)),""))</f>
        <v/>
      </c>
      <c r="C162" t="str">
        <f>IF(A162="","",IFERROR(INDEX(tblReg[FirstName],MATCH(A162,tblReg[Bib],0)),""))</f>
        <v/>
      </c>
      <c r="D162" t="str">
        <f>IF(A162="","",IFERROR(INDEX(tblReg[LastName],MATCH(A162,tblReg[Bib],0)),""))</f>
        <v/>
      </c>
      <c r="E162" t="str">
        <f>IF(A162="","",IFERROR(INDEX(tblReg[Team],MATCH(A162,tblReg[Bib],0)),""))</f>
        <v/>
      </c>
      <c r="F162" s="4" t="s">
        <v>103</v>
      </c>
      <c r="G162" t="str">
        <f t="shared" si="8"/>
        <v/>
      </c>
      <c r="H162" t="str">
        <f t="shared" si="9"/>
        <v/>
      </c>
      <c r="I162">
        <f>IF(H162="",0,IFERROR(INDEX(Config!$I$4:$I$6,MATCH(H162,Config!$H$4:$H$6,0)),0))</f>
        <v>0</v>
      </c>
      <c r="J162" t="str">
        <f t="shared" si="10"/>
        <v/>
      </c>
      <c r="K162" s="5" t="str">
        <f t="shared" si="11"/>
        <v/>
      </c>
      <c r="L162">
        <f>IF(A162="",999,IFERROR(MATCH(B162,Config!$A$4:$A$7,0),99)*10+IF(ISNUMBER(F162),1,IF(F162="",2,IF(UPPER(F162)="DNF",3,IF(UPPER(F162)="DNS",4,8)))))</f>
        <v>999</v>
      </c>
    </row>
    <row r="163" spans="2:12" x14ac:dyDescent="0.25">
      <c r="B163" t="str">
        <f>IF(A163="","",IFERROR(INDEX(tblReg[Field],MATCH(A163,tblReg[Bib],0)),""))</f>
        <v/>
      </c>
      <c r="C163" t="str">
        <f>IF(A163="","",IFERROR(INDEX(tblReg[FirstName],MATCH(A163,tblReg[Bib],0)),""))</f>
        <v/>
      </c>
      <c r="D163" t="str">
        <f>IF(A163="","",IFERROR(INDEX(tblReg[LastName],MATCH(A163,tblReg[Bib],0)),""))</f>
        <v/>
      </c>
      <c r="E163" t="str">
        <f>IF(A163="","",IFERROR(INDEX(tblReg[Team],MATCH(A163,tblReg[Bib],0)),""))</f>
        <v/>
      </c>
      <c r="F163" s="4" t="s">
        <v>103</v>
      </c>
      <c r="G163" t="str">
        <f t="shared" si="8"/>
        <v/>
      </c>
      <c r="H163" t="str">
        <f t="shared" si="9"/>
        <v/>
      </c>
      <c r="I163">
        <f>IF(H163="",0,IFERROR(INDEX(Config!$I$4:$I$6,MATCH(H163,Config!$H$4:$H$6,0)),0))</f>
        <v>0</v>
      </c>
      <c r="J163" t="str">
        <f t="shared" si="10"/>
        <v/>
      </c>
      <c r="K163" s="5" t="str">
        <f t="shared" si="11"/>
        <v/>
      </c>
      <c r="L163">
        <f>IF(A163="",999,IFERROR(MATCH(B163,Config!$A$4:$A$7,0),99)*10+IF(ISNUMBER(F163),1,IF(F163="",2,IF(UPPER(F163)="DNF",3,IF(UPPER(F163)="DNS",4,8)))))</f>
        <v>999</v>
      </c>
    </row>
    <row r="164" spans="2:12" x14ac:dyDescent="0.25">
      <c r="B164" t="str">
        <f>IF(A164="","",IFERROR(INDEX(tblReg[Field],MATCH(A164,tblReg[Bib],0)),""))</f>
        <v/>
      </c>
      <c r="C164" t="str">
        <f>IF(A164="","",IFERROR(INDEX(tblReg[FirstName],MATCH(A164,tblReg[Bib],0)),""))</f>
        <v/>
      </c>
      <c r="D164" t="str">
        <f>IF(A164="","",IFERROR(INDEX(tblReg[LastName],MATCH(A164,tblReg[Bib],0)),""))</f>
        <v/>
      </c>
      <c r="E164" t="str">
        <f>IF(A164="","",IFERROR(INDEX(tblReg[Team],MATCH(A164,tblReg[Bib],0)),""))</f>
        <v/>
      </c>
      <c r="F164" s="4" t="s">
        <v>103</v>
      </c>
      <c r="G164" t="str">
        <f t="shared" si="8"/>
        <v/>
      </c>
      <c r="H164" t="str">
        <f t="shared" si="9"/>
        <v/>
      </c>
      <c r="I164">
        <f>IF(H164="",0,IFERROR(INDEX(Config!$I$4:$I$6,MATCH(H164,Config!$H$4:$H$6,0)),0))</f>
        <v>0</v>
      </c>
      <c r="J164" t="str">
        <f t="shared" si="10"/>
        <v/>
      </c>
      <c r="K164" s="5" t="str">
        <f t="shared" si="11"/>
        <v/>
      </c>
      <c r="L164">
        <f>IF(A164="",999,IFERROR(MATCH(B164,Config!$A$4:$A$7,0),99)*10+IF(ISNUMBER(F164),1,IF(F164="",2,IF(UPPER(F164)="DNF",3,IF(UPPER(F164)="DNS",4,8)))))</f>
        <v>999</v>
      </c>
    </row>
    <row r="165" spans="2:12" x14ac:dyDescent="0.25">
      <c r="B165" t="str">
        <f>IF(A165="","",IFERROR(INDEX(tblReg[Field],MATCH(A165,tblReg[Bib],0)),""))</f>
        <v/>
      </c>
      <c r="C165" t="str">
        <f>IF(A165="","",IFERROR(INDEX(tblReg[FirstName],MATCH(A165,tblReg[Bib],0)),""))</f>
        <v/>
      </c>
      <c r="D165" t="str">
        <f>IF(A165="","",IFERROR(INDEX(tblReg[LastName],MATCH(A165,tblReg[Bib],0)),""))</f>
        <v/>
      </c>
      <c r="E165" t="str">
        <f>IF(A165="","",IFERROR(INDEX(tblReg[Team],MATCH(A165,tblReg[Bib],0)),""))</f>
        <v/>
      </c>
      <c r="F165" s="4" t="s">
        <v>103</v>
      </c>
      <c r="G165" t="str">
        <f t="shared" si="8"/>
        <v/>
      </c>
      <c r="H165" t="str">
        <f t="shared" si="9"/>
        <v/>
      </c>
      <c r="I165">
        <f>IF(H165="",0,IFERROR(INDEX(Config!$I$4:$I$6,MATCH(H165,Config!$H$4:$H$6,0)),0))</f>
        <v>0</v>
      </c>
      <c r="J165" t="str">
        <f t="shared" si="10"/>
        <v/>
      </c>
      <c r="K165" s="5" t="str">
        <f t="shared" si="11"/>
        <v/>
      </c>
      <c r="L165">
        <f>IF(A165="",999,IFERROR(MATCH(B165,Config!$A$4:$A$7,0),99)*10+IF(ISNUMBER(F165),1,IF(F165="",2,IF(UPPER(F165)="DNF",3,IF(UPPER(F165)="DNS",4,8)))))</f>
        <v>999</v>
      </c>
    </row>
    <row r="166" spans="2:12" x14ac:dyDescent="0.25">
      <c r="B166" t="str">
        <f>IF(A166="","",IFERROR(INDEX(tblReg[Field],MATCH(A166,tblReg[Bib],0)),""))</f>
        <v/>
      </c>
      <c r="C166" t="str">
        <f>IF(A166="","",IFERROR(INDEX(tblReg[FirstName],MATCH(A166,tblReg[Bib],0)),""))</f>
        <v/>
      </c>
      <c r="D166" t="str">
        <f>IF(A166="","",IFERROR(INDEX(tblReg[LastName],MATCH(A166,tblReg[Bib],0)),""))</f>
        <v/>
      </c>
      <c r="E166" t="str">
        <f>IF(A166="","",IFERROR(INDEX(tblReg[Team],MATCH(A166,tblReg[Bib],0)),""))</f>
        <v/>
      </c>
      <c r="F166" s="4" t="s">
        <v>103</v>
      </c>
      <c r="G166" t="str">
        <f t="shared" si="8"/>
        <v/>
      </c>
      <c r="H166" t="str">
        <f t="shared" si="9"/>
        <v/>
      </c>
      <c r="I166">
        <f>IF(H166="",0,IFERROR(INDEX(Config!$I$4:$I$6,MATCH(H166,Config!$H$4:$H$6,0)),0))</f>
        <v>0</v>
      </c>
      <c r="J166" t="str">
        <f t="shared" si="10"/>
        <v/>
      </c>
      <c r="K166" s="5" t="str">
        <f t="shared" si="11"/>
        <v/>
      </c>
      <c r="L166">
        <f>IF(A166="",999,IFERROR(MATCH(B166,Config!$A$4:$A$7,0),99)*10+IF(ISNUMBER(F166),1,IF(F166="",2,IF(UPPER(F166)="DNF",3,IF(UPPER(F166)="DNS",4,8)))))</f>
        <v>999</v>
      </c>
    </row>
    <row r="167" spans="2:12" x14ac:dyDescent="0.25">
      <c r="B167" t="str">
        <f>IF(A167="","",IFERROR(INDEX(tblReg[Field],MATCH(A167,tblReg[Bib],0)),""))</f>
        <v/>
      </c>
      <c r="C167" t="str">
        <f>IF(A167="","",IFERROR(INDEX(tblReg[FirstName],MATCH(A167,tblReg[Bib],0)),""))</f>
        <v/>
      </c>
      <c r="D167" t="str">
        <f>IF(A167="","",IFERROR(INDEX(tblReg[LastName],MATCH(A167,tblReg[Bib],0)),""))</f>
        <v/>
      </c>
      <c r="E167" t="str">
        <f>IF(A167="","",IFERROR(INDEX(tblReg[Team],MATCH(A167,tblReg[Bib],0)),""))</f>
        <v/>
      </c>
      <c r="F167" s="4" t="s">
        <v>103</v>
      </c>
      <c r="G167" t="str">
        <f t="shared" si="8"/>
        <v/>
      </c>
      <c r="H167" t="str">
        <f t="shared" si="9"/>
        <v/>
      </c>
      <c r="I167">
        <f>IF(H167="",0,IFERROR(INDEX(Config!$I$4:$I$6,MATCH(H167,Config!$H$4:$H$6,0)),0))</f>
        <v>0</v>
      </c>
      <c r="J167" t="str">
        <f t="shared" si="10"/>
        <v/>
      </c>
      <c r="K167" s="5" t="str">
        <f t="shared" si="11"/>
        <v/>
      </c>
      <c r="L167">
        <f>IF(A167="",999,IFERROR(MATCH(B167,Config!$A$4:$A$7,0),99)*10+IF(ISNUMBER(F167),1,IF(F167="",2,IF(UPPER(F167)="DNF",3,IF(UPPER(F167)="DNS",4,8)))))</f>
        <v>999</v>
      </c>
    </row>
    <row r="168" spans="2:12" x14ac:dyDescent="0.25">
      <c r="B168" t="str">
        <f>IF(A168="","",IFERROR(INDEX(tblReg[Field],MATCH(A168,tblReg[Bib],0)),""))</f>
        <v/>
      </c>
      <c r="C168" t="str">
        <f>IF(A168="","",IFERROR(INDEX(tblReg[FirstName],MATCH(A168,tblReg[Bib],0)),""))</f>
        <v/>
      </c>
      <c r="D168" t="str">
        <f>IF(A168="","",IFERROR(INDEX(tblReg[LastName],MATCH(A168,tblReg[Bib],0)),""))</f>
        <v/>
      </c>
      <c r="E168" t="str">
        <f>IF(A168="","",IFERROR(INDEX(tblReg[Team],MATCH(A168,tblReg[Bib],0)),""))</f>
        <v/>
      </c>
      <c r="F168" s="4" t="s">
        <v>103</v>
      </c>
      <c r="G168" t="str">
        <f t="shared" si="8"/>
        <v/>
      </c>
      <c r="H168" t="str">
        <f t="shared" si="9"/>
        <v/>
      </c>
      <c r="I168">
        <f>IF(H168="",0,IFERROR(INDEX(Config!$I$4:$I$6,MATCH(H168,Config!$H$4:$H$6,0)),0))</f>
        <v>0</v>
      </c>
      <c r="J168" t="str">
        <f t="shared" si="10"/>
        <v/>
      </c>
      <c r="K168" s="5" t="str">
        <f t="shared" si="11"/>
        <v/>
      </c>
      <c r="L168">
        <f>IF(A168="",999,IFERROR(MATCH(B168,Config!$A$4:$A$7,0),99)*10+IF(ISNUMBER(F168),1,IF(F168="",2,IF(UPPER(F168)="DNF",3,IF(UPPER(F168)="DNS",4,8)))))</f>
        <v>999</v>
      </c>
    </row>
    <row r="169" spans="2:12" x14ac:dyDescent="0.25">
      <c r="B169" t="str">
        <f>IF(A169="","",IFERROR(INDEX(tblReg[Field],MATCH(A169,tblReg[Bib],0)),""))</f>
        <v/>
      </c>
      <c r="C169" t="str">
        <f>IF(A169="","",IFERROR(INDEX(tblReg[FirstName],MATCH(A169,tblReg[Bib],0)),""))</f>
        <v/>
      </c>
      <c r="D169" t="str">
        <f>IF(A169="","",IFERROR(INDEX(tblReg[LastName],MATCH(A169,tblReg[Bib],0)),""))</f>
        <v/>
      </c>
      <c r="E169" t="str">
        <f>IF(A169="","",IFERROR(INDEX(tblReg[Team],MATCH(A169,tblReg[Bib],0)),""))</f>
        <v/>
      </c>
      <c r="F169" s="4" t="s">
        <v>103</v>
      </c>
      <c r="G169" t="str">
        <f t="shared" si="8"/>
        <v/>
      </c>
      <c r="H169" t="str">
        <f t="shared" si="9"/>
        <v/>
      </c>
      <c r="I169">
        <f>IF(H169="",0,IFERROR(INDEX(Config!$I$4:$I$6,MATCH(H169,Config!$H$4:$H$6,0)),0))</f>
        <v>0</v>
      </c>
      <c r="J169" t="str">
        <f t="shared" si="10"/>
        <v/>
      </c>
      <c r="K169" s="5" t="str">
        <f t="shared" si="11"/>
        <v/>
      </c>
      <c r="L169">
        <f>IF(A169="",999,IFERROR(MATCH(B169,Config!$A$4:$A$7,0),99)*10+IF(ISNUMBER(F169),1,IF(F169="",2,IF(UPPER(F169)="DNF",3,IF(UPPER(F169)="DNS",4,8)))))</f>
        <v>999</v>
      </c>
    </row>
    <row r="170" spans="2:12" x14ac:dyDescent="0.25">
      <c r="B170" t="str">
        <f>IF(A170="","",IFERROR(INDEX(tblReg[Field],MATCH(A170,tblReg[Bib],0)),""))</f>
        <v/>
      </c>
      <c r="C170" t="str">
        <f>IF(A170="","",IFERROR(INDEX(tblReg[FirstName],MATCH(A170,tblReg[Bib],0)),""))</f>
        <v/>
      </c>
      <c r="D170" t="str">
        <f>IF(A170="","",IFERROR(INDEX(tblReg[LastName],MATCH(A170,tblReg[Bib],0)),""))</f>
        <v/>
      </c>
      <c r="E170" t="str">
        <f>IF(A170="","",IFERROR(INDEX(tblReg[Team],MATCH(A170,tblReg[Bib],0)),""))</f>
        <v/>
      </c>
      <c r="F170" s="4" t="s">
        <v>103</v>
      </c>
      <c r="G170" t="str">
        <f t="shared" si="8"/>
        <v/>
      </c>
      <c r="H170" t="str">
        <f t="shared" si="9"/>
        <v/>
      </c>
      <c r="I170">
        <f>IF(H170="",0,IFERROR(INDEX(Config!$I$4:$I$6,MATCH(H170,Config!$H$4:$H$6,0)),0))</f>
        <v>0</v>
      </c>
      <c r="J170" t="str">
        <f t="shared" si="10"/>
        <v/>
      </c>
      <c r="K170" s="5" t="str">
        <f t="shared" si="11"/>
        <v/>
      </c>
      <c r="L170">
        <f>IF(A170="",999,IFERROR(MATCH(B170,Config!$A$4:$A$7,0),99)*10+IF(ISNUMBER(F170),1,IF(F170="",2,IF(UPPER(F170)="DNF",3,IF(UPPER(F170)="DNS",4,8)))))</f>
        <v>999</v>
      </c>
    </row>
    <row r="171" spans="2:12" x14ac:dyDescent="0.25">
      <c r="B171" t="str">
        <f>IF(A171="","",IFERROR(INDEX(tblReg[Field],MATCH(A171,tblReg[Bib],0)),""))</f>
        <v/>
      </c>
      <c r="C171" t="str">
        <f>IF(A171="","",IFERROR(INDEX(tblReg[FirstName],MATCH(A171,tblReg[Bib],0)),""))</f>
        <v/>
      </c>
      <c r="D171" t="str">
        <f>IF(A171="","",IFERROR(INDEX(tblReg[LastName],MATCH(A171,tblReg[Bib],0)),""))</f>
        <v/>
      </c>
      <c r="E171" t="str">
        <f>IF(A171="","",IFERROR(INDEX(tblReg[Team],MATCH(A171,tblReg[Bib],0)),""))</f>
        <v/>
      </c>
      <c r="F171" s="4" t="s">
        <v>103</v>
      </c>
      <c r="G171" t="str">
        <f t="shared" si="8"/>
        <v/>
      </c>
      <c r="H171" t="str">
        <f t="shared" si="9"/>
        <v/>
      </c>
      <c r="I171">
        <f>IF(H171="",0,IFERROR(INDEX(Config!$I$4:$I$6,MATCH(H171,Config!$H$4:$H$6,0)),0))</f>
        <v>0</v>
      </c>
      <c r="J171" t="str">
        <f t="shared" si="10"/>
        <v/>
      </c>
      <c r="K171" s="5" t="str">
        <f t="shared" si="11"/>
        <v/>
      </c>
      <c r="L171">
        <f>IF(A171="",999,IFERROR(MATCH(B171,Config!$A$4:$A$7,0),99)*10+IF(ISNUMBER(F171),1,IF(F171="",2,IF(UPPER(F171)="DNF",3,IF(UPPER(F171)="DNS",4,8)))))</f>
        <v>999</v>
      </c>
    </row>
    <row r="172" spans="2:12" x14ac:dyDescent="0.25">
      <c r="B172" t="str">
        <f>IF(A172="","",IFERROR(INDEX(tblReg[Field],MATCH(A172,tblReg[Bib],0)),""))</f>
        <v/>
      </c>
      <c r="C172" t="str">
        <f>IF(A172="","",IFERROR(INDEX(tblReg[FirstName],MATCH(A172,tblReg[Bib],0)),""))</f>
        <v/>
      </c>
      <c r="D172" t="str">
        <f>IF(A172="","",IFERROR(INDEX(tblReg[LastName],MATCH(A172,tblReg[Bib],0)),""))</f>
        <v/>
      </c>
      <c r="E172" t="str">
        <f>IF(A172="","",IFERROR(INDEX(tblReg[Team],MATCH(A172,tblReg[Bib],0)),""))</f>
        <v/>
      </c>
      <c r="F172" s="4" t="s">
        <v>103</v>
      </c>
      <c r="G172" t="str">
        <f t="shared" si="8"/>
        <v/>
      </c>
      <c r="H172" t="str">
        <f t="shared" si="9"/>
        <v/>
      </c>
      <c r="I172">
        <f>IF(H172="",0,IFERROR(INDEX(Config!$I$4:$I$6,MATCH(H172,Config!$H$4:$H$6,0)),0))</f>
        <v>0</v>
      </c>
      <c r="J172" t="str">
        <f t="shared" si="10"/>
        <v/>
      </c>
      <c r="K172" s="5" t="str">
        <f t="shared" si="11"/>
        <v/>
      </c>
      <c r="L172">
        <f>IF(A172="",999,IFERROR(MATCH(B172,Config!$A$4:$A$7,0),99)*10+IF(ISNUMBER(F172),1,IF(F172="",2,IF(UPPER(F172)="DNF",3,IF(UPPER(F172)="DNS",4,8)))))</f>
        <v>999</v>
      </c>
    </row>
    <row r="173" spans="2:12" x14ac:dyDescent="0.25">
      <c r="B173" t="str">
        <f>IF(A173="","",IFERROR(INDEX(tblReg[Field],MATCH(A173,tblReg[Bib],0)),""))</f>
        <v/>
      </c>
      <c r="C173" t="str">
        <f>IF(A173="","",IFERROR(INDEX(tblReg[FirstName],MATCH(A173,tblReg[Bib],0)),""))</f>
        <v/>
      </c>
      <c r="D173" t="str">
        <f>IF(A173="","",IFERROR(INDEX(tblReg[LastName],MATCH(A173,tblReg[Bib],0)),""))</f>
        <v/>
      </c>
      <c r="E173" t="str">
        <f>IF(A173="","",IFERROR(INDEX(tblReg[Team],MATCH(A173,tblReg[Bib],0)),""))</f>
        <v/>
      </c>
      <c r="F173" s="4" t="s">
        <v>103</v>
      </c>
      <c r="G173" t="str">
        <f t="shared" si="8"/>
        <v/>
      </c>
      <c r="H173" t="str">
        <f t="shared" si="9"/>
        <v/>
      </c>
      <c r="I173">
        <f>IF(H173="",0,IFERROR(INDEX(Config!$I$4:$I$6,MATCH(H173,Config!$H$4:$H$6,0)),0))</f>
        <v>0</v>
      </c>
      <c r="J173" t="str">
        <f t="shared" si="10"/>
        <v/>
      </c>
      <c r="K173" s="5" t="str">
        <f t="shared" si="11"/>
        <v/>
      </c>
      <c r="L173">
        <f>IF(A173="",999,IFERROR(MATCH(B173,Config!$A$4:$A$7,0),99)*10+IF(ISNUMBER(F173),1,IF(F173="",2,IF(UPPER(F173)="DNF",3,IF(UPPER(F173)="DNS",4,8)))))</f>
        <v>999</v>
      </c>
    </row>
    <row r="174" spans="2:12" x14ac:dyDescent="0.25">
      <c r="B174" t="str">
        <f>IF(A174="","",IFERROR(INDEX(tblReg[Field],MATCH(A174,tblReg[Bib],0)),""))</f>
        <v/>
      </c>
      <c r="C174" t="str">
        <f>IF(A174="","",IFERROR(INDEX(tblReg[FirstName],MATCH(A174,tblReg[Bib],0)),""))</f>
        <v/>
      </c>
      <c r="D174" t="str">
        <f>IF(A174="","",IFERROR(INDEX(tblReg[LastName],MATCH(A174,tblReg[Bib],0)),""))</f>
        <v/>
      </c>
      <c r="E174" t="str">
        <f>IF(A174="","",IFERROR(INDEX(tblReg[Team],MATCH(A174,tblReg[Bib],0)),""))</f>
        <v/>
      </c>
      <c r="F174" s="4" t="s">
        <v>103</v>
      </c>
      <c r="G174" t="str">
        <f t="shared" si="8"/>
        <v/>
      </c>
      <c r="H174" t="str">
        <f t="shared" si="9"/>
        <v/>
      </c>
      <c r="I174">
        <f>IF(H174="",0,IFERROR(INDEX(Config!$I$4:$I$6,MATCH(H174,Config!$H$4:$H$6,0)),0))</f>
        <v>0</v>
      </c>
      <c r="J174" t="str">
        <f t="shared" si="10"/>
        <v/>
      </c>
      <c r="K174" s="5" t="str">
        <f t="shared" si="11"/>
        <v/>
      </c>
      <c r="L174">
        <f>IF(A174="",999,IFERROR(MATCH(B174,Config!$A$4:$A$7,0),99)*10+IF(ISNUMBER(F174),1,IF(F174="",2,IF(UPPER(F174)="DNF",3,IF(UPPER(F174)="DNS",4,8)))))</f>
        <v>999</v>
      </c>
    </row>
    <row r="175" spans="2:12" x14ac:dyDescent="0.25">
      <c r="B175" t="str">
        <f>IF(A175="","",IFERROR(INDEX(tblReg[Field],MATCH(A175,tblReg[Bib],0)),""))</f>
        <v/>
      </c>
      <c r="C175" t="str">
        <f>IF(A175="","",IFERROR(INDEX(tblReg[FirstName],MATCH(A175,tblReg[Bib],0)),""))</f>
        <v/>
      </c>
      <c r="D175" t="str">
        <f>IF(A175="","",IFERROR(INDEX(tblReg[LastName],MATCH(A175,tblReg[Bib],0)),""))</f>
        <v/>
      </c>
      <c r="E175" t="str">
        <f>IF(A175="","",IFERROR(INDEX(tblReg[Team],MATCH(A175,tblReg[Bib],0)),""))</f>
        <v/>
      </c>
      <c r="F175" s="4" t="s">
        <v>103</v>
      </c>
      <c r="G175" t="str">
        <f t="shared" si="8"/>
        <v/>
      </c>
      <c r="H175" t="str">
        <f t="shared" si="9"/>
        <v/>
      </c>
      <c r="I175">
        <f>IF(H175="",0,IFERROR(INDEX(Config!$I$4:$I$6,MATCH(H175,Config!$H$4:$H$6,0)),0))</f>
        <v>0</v>
      </c>
      <c r="J175" t="str">
        <f t="shared" si="10"/>
        <v/>
      </c>
      <c r="K175" s="5" t="str">
        <f t="shared" si="11"/>
        <v/>
      </c>
      <c r="L175">
        <f>IF(A175="",999,IFERROR(MATCH(B175,Config!$A$4:$A$7,0),99)*10+IF(ISNUMBER(F175),1,IF(F175="",2,IF(UPPER(F175)="DNF",3,IF(UPPER(F175)="DNS",4,8)))))</f>
        <v>999</v>
      </c>
    </row>
    <row r="176" spans="2:12" x14ac:dyDescent="0.25">
      <c r="B176" t="str">
        <f>IF(A176="","",IFERROR(INDEX(tblReg[Field],MATCH(A176,tblReg[Bib],0)),""))</f>
        <v/>
      </c>
      <c r="C176" t="str">
        <f>IF(A176="","",IFERROR(INDEX(tblReg[FirstName],MATCH(A176,tblReg[Bib],0)),""))</f>
        <v/>
      </c>
      <c r="D176" t="str">
        <f>IF(A176="","",IFERROR(INDEX(tblReg[LastName],MATCH(A176,tblReg[Bib],0)),""))</f>
        <v/>
      </c>
      <c r="E176" t="str">
        <f>IF(A176="","",IFERROR(INDEX(tblReg[Team],MATCH(A176,tblReg[Bib],0)),""))</f>
        <v/>
      </c>
      <c r="F176" s="4" t="s">
        <v>103</v>
      </c>
      <c r="G176" t="str">
        <f t="shared" si="8"/>
        <v/>
      </c>
      <c r="H176" t="str">
        <f t="shared" si="9"/>
        <v/>
      </c>
      <c r="I176">
        <f>IF(H176="",0,IFERROR(INDEX(Config!$I$4:$I$6,MATCH(H176,Config!$H$4:$H$6,0)),0))</f>
        <v>0</v>
      </c>
      <c r="J176" t="str">
        <f t="shared" si="10"/>
        <v/>
      </c>
      <c r="K176" s="5" t="str">
        <f t="shared" si="11"/>
        <v/>
      </c>
      <c r="L176">
        <f>IF(A176="",999,IFERROR(MATCH(B176,Config!$A$4:$A$7,0),99)*10+IF(ISNUMBER(F176),1,IF(F176="",2,IF(UPPER(F176)="DNF",3,IF(UPPER(F176)="DNS",4,8)))))</f>
        <v>999</v>
      </c>
    </row>
    <row r="177" spans="2:12" x14ac:dyDescent="0.25">
      <c r="B177" t="str">
        <f>IF(A177="","",IFERROR(INDEX(tblReg[Field],MATCH(A177,tblReg[Bib],0)),""))</f>
        <v/>
      </c>
      <c r="C177" t="str">
        <f>IF(A177="","",IFERROR(INDEX(tblReg[FirstName],MATCH(A177,tblReg[Bib],0)),""))</f>
        <v/>
      </c>
      <c r="D177" t="str">
        <f>IF(A177="","",IFERROR(INDEX(tblReg[LastName],MATCH(A177,tblReg[Bib],0)),""))</f>
        <v/>
      </c>
      <c r="E177" t="str">
        <f>IF(A177="","",IFERROR(INDEX(tblReg[Team],MATCH(A177,tblReg[Bib],0)),""))</f>
        <v/>
      </c>
      <c r="F177" s="4" t="s">
        <v>103</v>
      </c>
      <c r="G177" t="str">
        <f t="shared" si="8"/>
        <v/>
      </c>
      <c r="H177" t="str">
        <f t="shared" si="9"/>
        <v/>
      </c>
      <c r="I177">
        <f>IF(H177="",0,IFERROR(INDEX(Config!$I$4:$I$6,MATCH(H177,Config!$H$4:$H$6,0)),0))</f>
        <v>0</v>
      </c>
      <c r="J177" t="str">
        <f t="shared" si="10"/>
        <v/>
      </c>
      <c r="K177" s="5" t="str">
        <f t="shared" si="11"/>
        <v/>
      </c>
      <c r="L177">
        <f>IF(A177="",999,IFERROR(MATCH(B177,Config!$A$4:$A$7,0),99)*10+IF(ISNUMBER(F177),1,IF(F177="",2,IF(UPPER(F177)="DNF",3,IF(UPPER(F177)="DNS",4,8)))))</f>
        <v>999</v>
      </c>
    </row>
    <row r="178" spans="2:12" x14ac:dyDescent="0.25">
      <c r="B178" t="str">
        <f>IF(A178="","",IFERROR(INDEX(tblReg[Field],MATCH(A178,tblReg[Bib],0)),""))</f>
        <v/>
      </c>
      <c r="C178" t="str">
        <f>IF(A178="","",IFERROR(INDEX(tblReg[FirstName],MATCH(A178,tblReg[Bib],0)),""))</f>
        <v/>
      </c>
      <c r="D178" t="str">
        <f>IF(A178="","",IFERROR(INDEX(tblReg[LastName],MATCH(A178,tblReg[Bib],0)),""))</f>
        <v/>
      </c>
      <c r="E178" t="str">
        <f>IF(A178="","",IFERROR(INDEX(tblReg[Team],MATCH(A178,tblReg[Bib],0)),""))</f>
        <v/>
      </c>
      <c r="F178" s="4" t="s">
        <v>103</v>
      </c>
      <c r="G178" t="str">
        <f t="shared" si="8"/>
        <v/>
      </c>
      <c r="H178" t="str">
        <f t="shared" si="9"/>
        <v/>
      </c>
      <c r="I178">
        <f>IF(H178="",0,IFERROR(INDEX(Config!$I$4:$I$6,MATCH(H178,Config!$H$4:$H$6,0)),0))</f>
        <v>0</v>
      </c>
      <c r="J178" t="str">
        <f t="shared" si="10"/>
        <v/>
      </c>
      <c r="K178" s="5" t="str">
        <f t="shared" si="11"/>
        <v/>
      </c>
      <c r="L178">
        <f>IF(A178="",999,IFERROR(MATCH(B178,Config!$A$4:$A$7,0),99)*10+IF(ISNUMBER(F178),1,IF(F178="",2,IF(UPPER(F178)="DNF",3,IF(UPPER(F178)="DNS",4,8)))))</f>
        <v>999</v>
      </c>
    </row>
    <row r="179" spans="2:12" x14ac:dyDescent="0.25">
      <c r="B179" t="str">
        <f>IF(A179="","",IFERROR(INDEX(tblReg[Field],MATCH(A179,tblReg[Bib],0)),""))</f>
        <v/>
      </c>
      <c r="C179" t="str">
        <f>IF(A179="","",IFERROR(INDEX(tblReg[FirstName],MATCH(A179,tblReg[Bib],0)),""))</f>
        <v/>
      </c>
      <c r="D179" t="str">
        <f>IF(A179="","",IFERROR(INDEX(tblReg[LastName],MATCH(A179,tblReg[Bib],0)),""))</f>
        <v/>
      </c>
      <c r="E179" t="str">
        <f>IF(A179="","",IFERROR(INDEX(tblReg[Team],MATCH(A179,tblReg[Bib],0)),""))</f>
        <v/>
      </c>
      <c r="F179" s="4" t="s">
        <v>103</v>
      </c>
      <c r="G179" t="str">
        <f t="shared" si="8"/>
        <v/>
      </c>
      <c r="H179" t="str">
        <f t="shared" si="9"/>
        <v/>
      </c>
      <c r="I179">
        <f>IF(H179="",0,IFERROR(INDEX(Config!$I$4:$I$6,MATCH(H179,Config!$H$4:$H$6,0)),0))</f>
        <v>0</v>
      </c>
      <c r="J179" t="str">
        <f t="shared" si="10"/>
        <v/>
      </c>
      <c r="K179" s="5" t="str">
        <f t="shared" si="11"/>
        <v/>
      </c>
      <c r="L179">
        <f>IF(A179="",999,IFERROR(MATCH(B179,Config!$A$4:$A$7,0),99)*10+IF(ISNUMBER(F179),1,IF(F179="",2,IF(UPPER(F179)="DNF",3,IF(UPPER(F179)="DNS",4,8)))))</f>
        <v>999</v>
      </c>
    </row>
    <row r="180" spans="2:12" x14ac:dyDescent="0.25">
      <c r="B180" t="str">
        <f>IF(A180="","",IFERROR(INDEX(tblReg[Field],MATCH(A180,tblReg[Bib],0)),""))</f>
        <v/>
      </c>
      <c r="C180" t="str">
        <f>IF(A180="","",IFERROR(INDEX(tblReg[FirstName],MATCH(A180,tblReg[Bib],0)),""))</f>
        <v/>
      </c>
      <c r="D180" t="str">
        <f>IF(A180="","",IFERROR(INDEX(tblReg[LastName],MATCH(A180,tblReg[Bib],0)),""))</f>
        <v/>
      </c>
      <c r="E180" t="str">
        <f>IF(A180="","",IFERROR(INDEX(tblReg[Team],MATCH(A180,tblReg[Bib],0)),""))</f>
        <v/>
      </c>
      <c r="F180" s="4" t="s">
        <v>103</v>
      </c>
      <c r="G180" t="str">
        <f t="shared" si="8"/>
        <v/>
      </c>
      <c r="H180" t="str">
        <f t="shared" si="9"/>
        <v/>
      </c>
      <c r="I180">
        <f>IF(H180="",0,IFERROR(INDEX(Config!$I$4:$I$6,MATCH(H180,Config!$H$4:$H$6,0)),0))</f>
        <v>0</v>
      </c>
      <c r="J180" t="str">
        <f t="shared" si="10"/>
        <v/>
      </c>
      <c r="K180" s="5" t="str">
        <f t="shared" si="11"/>
        <v/>
      </c>
      <c r="L180">
        <f>IF(A180="",999,IFERROR(MATCH(B180,Config!$A$4:$A$7,0),99)*10+IF(ISNUMBER(F180),1,IF(F180="",2,IF(UPPER(F180)="DNF",3,IF(UPPER(F180)="DNS",4,8)))))</f>
        <v>999</v>
      </c>
    </row>
    <row r="181" spans="2:12" x14ac:dyDescent="0.25">
      <c r="B181" t="str">
        <f>IF(A181="","",IFERROR(INDEX(tblReg[Field],MATCH(A181,tblReg[Bib],0)),""))</f>
        <v/>
      </c>
      <c r="C181" t="str">
        <f>IF(A181="","",IFERROR(INDEX(tblReg[FirstName],MATCH(A181,tblReg[Bib],0)),""))</f>
        <v/>
      </c>
      <c r="D181" t="str">
        <f>IF(A181="","",IFERROR(INDEX(tblReg[LastName],MATCH(A181,tblReg[Bib],0)),""))</f>
        <v/>
      </c>
      <c r="E181" t="str">
        <f>IF(A181="","",IFERROR(INDEX(tblReg[Team],MATCH(A181,tblReg[Bib],0)),""))</f>
        <v/>
      </c>
      <c r="F181" s="4" t="s">
        <v>103</v>
      </c>
      <c r="G181" t="str">
        <f t="shared" si="8"/>
        <v/>
      </c>
      <c r="H181" t="str">
        <f t="shared" si="9"/>
        <v/>
      </c>
      <c r="I181">
        <f>IF(H181="",0,IFERROR(INDEX(Config!$I$4:$I$6,MATCH(H181,Config!$H$4:$H$6,0)),0))</f>
        <v>0</v>
      </c>
      <c r="J181" t="str">
        <f t="shared" si="10"/>
        <v/>
      </c>
      <c r="K181" s="5" t="str">
        <f t="shared" si="11"/>
        <v/>
      </c>
      <c r="L181">
        <f>IF(A181="",999,IFERROR(MATCH(B181,Config!$A$4:$A$7,0),99)*10+IF(ISNUMBER(F181),1,IF(F181="",2,IF(UPPER(F181)="DNF",3,IF(UPPER(F181)="DNS",4,8)))))</f>
        <v>999</v>
      </c>
    </row>
    <row r="182" spans="2:12" x14ac:dyDescent="0.25">
      <c r="B182" t="str">
        <f>IF(A182="","",IFERROR(INDEX(tblReg[Field],MATCH(A182,tblReg[Bib],0)),""))</f>
        <v/>
      </c>
      <c r="C182" t="str">
        <f>IF(A182="","",IFERROR(INDEX(tblReg[FirstName],MATCH(A182,tblReg[Bib],0)),""))</f>
        <v/>
      </c>
      <c r="D182" t="str">
        <f>IF(A182="","",IFERROR(INDEX(tblReg[LastName],MATCH(A182,tblReg[Bib],0)),""))</f>
        <v/>
      </c>
      <c r="E182" t="str">
        <f>IF(A182="","",IFERROR(INDEX(tblReg[Team],MATCH(A182,tblReg[Bib],0)),""))</f>
        <v/>
      </c>
      <c r="F182" s="4" t="s">
        <v>103</v>
      </c>
      <c r="G182" t="str">
        <f t="shared" si="8"/>
        <v/>
      </c>
      <c r="H182" t="str">
        <f t="shared" si="9"/>
        <v/>
      </c>
      <c r="I182">
        <f>IF(H182="",0,IFERROR(INDEX(Config!$I$4:$I$6,MATCH(H182,Config!$H$4:$H$6,0)),0))</f>
        <v>0</v>
      </c>
      <c r="J182" t="str">
        <f t="shared" si="10"/>
        <v/>
      </c>
      <c r="K182" s="5" t="str">
        <f t="shared" si="11"/>
        <v/>
      </c>
      <c r="L182">
        <f>IF(A182="",999,IFERROR(MATCH(B182,Config!$A$4:$A$7,0),99)*10+IF(ISNUMBER(F182),1,IF(F182="",2,IF(UPPER(F182)="DNF",3,IF(UPPER(F182)="DNS",4,8)))))</f>
        <v>999</v>
      </c>
    </row>
    <row r="183" spans="2:12" x14ac:dyDescent="0.25">
      <c r="B183" t="str">
        <f>IF(A183="","",IFERROR(INDEX(tblReg[Field],MATCH(A183,tblReg[Bib],0)),""))</f>
        <v/>
      </c>
      <c r="C183" t="str">
        <f>IF(A183="","",IFERROR(INDEX(tblReg[FirstName],MATCH(A183,tblReg[Bib],0)),""))</f>
        <v/>
      </c>
      <c r="D183" t="str">
        <f>IF(A183="","",IFERROR(INDEX(tblReg[LastName],MATCH(A183,tblReg[Bib],0)),""))</f>
        <v/>
      </c>
      <c r="E183" t="str">
        <f>IF(A183="","",IFERROR(INDEX(tblReg[Team],MATCH(A183,tblReg[Bib],0)),""))</f>
        <v/>
      </c>
      <c r="F183" s="4" t="s">
        <v>103</v>
      </c>
      <c r="G183" t="str">
        <f t="shared" si="8"/>
        <v/>
      </c>
      <c r="H183" t="str">
        <f t="shared" si="9"/>
        <v/>
      </c>
      <c r="I183">
        <f>IF(H183="",0,IFERROR(INDEX(Config!$I$4:$I$6,MATCH(H183,Config!$H$4:$H$6,0)),0))</f>
        <v>0</v>
      </c>
      <c r="J183" t="str">
        <f t="shared" si="10"/>
        <v/>
      </c>
      <c r="K183" s="5" t="str">
        <f t="shared" si="11"/>
        <v/>
      </c>
      <c r="L183">
        <f>IF(A183="",999,IFERROR(MATCH(B183,Config!$A$4:$A$7,0),99)*10+IF(ISNUMBER(F183),1,IF(F183="",2,IF(UPPER(F183)="DNF",3,IF(UPPER(F183)="DNS",4,8)))))</f>
        <v>999</v>
      </c>
    </row>
    <row r="184" spans="2:12" x14ac:dyDescent="0.25">
      <c r="B184" t="str">
        <f>IF(A184="","",IFERROR(INDEX(tblReg[Field],MATCH(A184,tblReg[Bib],0)),""))</f>
        <v/>
      </c>
      <c r="C184" t="str">
        <f>IF(A184="","",IFERROR(INDEX(tblReg[FirstName],MATCH(A184,tblReg[Bib],0)),""))</f>
        <v/>
      </c>
      <c r="D184" t="str">
        <f>IF(A184="","",IFERROR(INDEX(tblReg[LastName],MATCH(A184,tblReg[Bib],0)),""))</f>
        <v/>
      </c>
      <c r="E184" t="str">
        <f>IF(A184="","",IFERROR(INDEX(tblReg[Team],MATCH(A184,tblReg[Bib],0)),""))</f>
        <v/>
      </c>
      <c r="F184" s="4" t="s">
        <v>103</v>
      </c>
      <c r="G184" t="str">
        <f t="shared" si="8"/>
        <v/>
      </c>
      <c r="H184" t="str">
        <f t="shared" si="9"/>
        <v/>
      </c>
      <c r="I184">
        <f>IF(H184="",0,IFERROR(INDEX(Config!$I$4:$I$6,MATCH(H184,Config!$H$4:$H$6,0)),0))</f>
        <v>0</v>
      </c>
      <c r="J184" t="str">
        <f t="shared" si="10"/>
        <v/>
      </c>
      <c r="K184" s="5" t="str">
        <f t="shared" si="11"/>
        <v/>
      </c>
      <c r="L184">
        <f>IF(A184="",999,IFERROR(MATCH(B184,Config!$A$4:$A$7,0),99)*10+IF(ISNUMBER(F184),1,IF(F184="",2,IF(UPPER(F184)="DNF",3,IF(UPPER(F184)="DNS",4,8)))))</f>
        <v>999</v>
      </c>
    </row>
    <row r="185" spans="2:12" x14ac:dyDescent="0.25">
      <c r="B185" t="str">
        <f>IF(A185="","",IFERROR(INDEX(tblReg[Field],MATCH(A185,tblReg[Bib],0)),""))</f>
        <v/>
      </c>
      <c r="C185" t="str">
        <f>IF(A185="","",IFERROR(INDEX(tblReg[FirstName],MATCH(A185,tblReg[Bib],0)),""))</f>
        <v/>
      </c>
      <c r="D185" t="str">
        <f>IF(A185="","",IFERROR(INDEX(tblReg[LastName],MATCH(A185,tblReg[Bib],0)),""))</f>
        <v/>
      </c>
      <c r="E185" t="str">
        <f>IF(A185="","",IFERROR(INDEX(tblReg[Team],MATCH(A185,tblReg[Bib],0)),""))</f>
        <v/>
      </c>
      <c r="F185" s="4" t="s">
        <v>103</v>
      </c>
      <c r="G185" t="str">
        <f t="shared" si="8"/>
        <v/>
      </c>
      <c r="H185" t="str">
        <f t="shared" si="9"/>
        <v/>
      </c>
      <c r="I185">
        <f>IF(H185="",0,IFERROR(INDEX(Config!$I$4:$I$6,MATCH(H185,Config!$H$4:$H$6,0)),0))</f>
        <v>0</v>
      </c>
      <c r="J185" t="str">
        <f t="shared" si="10"/>
        <v/>
      </c>
      <c r="K185" s="5" t="str">
        <f t="shared" si="11"/>
        <v/>
      </c>
      <c r="L185">
        <f>IF(A185="",999,IFERROR(MATCH(B185,Config!$A$4:$A$7,0),99)*10+IF(ISNUMBER(F185),1,IF(F185="",2,IF(UPPER(F185)="DNF",3,IF(UPPER(F185)="DNS",4,8)))))</f>
        <v>999</v>
      </c>
    </row>
    <row r="186" spans="2:12" x14ac:dyDescent="0.25">
      <c r="B186" t="str">
        <f>IF(A186="","",IFERROR(INDEX(tblReg[Field],MATCH(A186,tblReg[Bib],0)),""))</f>
        <v/>
      </c>
      <c r="C186" t="str">
        <f>IF(A186="","",IFERROR(INDEX(tblReg[FirstName],MATCH(A186,tblReg[Bib],0)),""))</f>
        <v/>
      </c>
      <c r="D186" t="str">
        <f>IF(A186="","",IFERROR(INDEX(tblReg[LastName],MATCH(A186,tblReg[Bib],0)),""))</f>
        <v/>
      </c>
      <c r="E186" t="str">
        <f>IF(A186="","",IFERROR(INDEX(tblReg[Team],MATCH(A186,tblReg[Bib],0)),""))</f>
        <v/>
      </c>
      <c r="F186" s="4" t="s">
        <v>103</v>
      </c>
      <c r="G186" t="str">
        <f t="shared" si="8"/>
        <v/>
      </c>
      <c r="H186" t="str">
        <f t="shared" si="9"/>
        <v/>
      </c>
      <c r="I186">
        <f>IF(H186="",0,IFERROR(INDEX(Config!$I$4:$I$6,MATCH(H186,Config!$H$4:$H$6,0)),0))</f>
        <v>0</v>
      </c>
      <c r="J186" t="str">
        <f t="shared" si="10"/>
        <v/>
      </c>
      <c r="K186" s="5" t="str">
        <f t="shared" si="11"/>
        <v/>
      </c>
      <c r="L186">
        <f>IF(A186="",999,IFERROR(MATCH(B186,Config!$A$4:$A$7,0),99)*10+IF(ISNUMBER(F186),1,IF(F186="",2,IF(UPPER(F186)="DNF",3,IF(UPPER(F186)="DNS",4,8)))))</f>
        <v>999</v>
      </c>
    </row>
    <row r="187" spans="2:12" x14ac:dyDescent="0.25">
      <c r="B187" t="str">
        <f>IF(A187="","",IFERROR(INDEX(tblReg[Field],MATCH(A187,tblReg[Bib],0)),""))</f>
        <v/>
      </c>
      <c r="C187" t="str">
        <f>IF(A187="","",IFERROR(INDEX(tblReg[FirstName],MATCH(A187,tblReg[Bib],0)),""))</f>
        <v/>
      </c>
      <c r="D187" t="str">
        <f>IF(A187="","",IFERROR(INDEX(tblReg[LastName],MATCH(A187,tblReg[Bib],0)),""))</f>
        <v/>
      </c>
      <c r="E187" t="str">
        <f>IF(A187="","",IFERROR(INDEX(tblReg[Team],MATCH(A187,tblReg[Bib],0)),""))</f>
        <v/>
      </c>
      <c r="F187" s="4" t="s">
        <v>103</v>
      </c>
      <c r="G187" t="str">
        <f t="shared" si="8"/>
        <v/>
      </c>
      <c r="H187" t="str">
        <f t="shared" si="9"/>
        <v/>
      </c>
      <c r="I187">
        <f>IF(H187="",0,IFERROR(INDEX(Config!$I$4:$I$6,MATCH(H187,Config!$H$4:$H$6,0)),0))</f>
        <v>0</v>
      </c>
      <c r="J187" t="str">
        <f t="shared" si="10"/>
        <v/>
      </c>
      <c r="K187" s="5" t="str">
        <f t="shared" si="11"/>
        <v/>
      </c>
      <c r="L187">
        <f>IF(A187="",999,IFERROR(MATCH(B187,Config!$A$4:$A$7,0),99)*10+IF(ISNUMBER(F187),1,IF(F187="",2,IF(UPPER(F187)="DNF",3,IF(UPPER(F187)="DNS",4,8)))))</f>
        <v>999</v>
      </c>
    </row>
    <row r="188" spans="2:12" x14ac:dyDescent="0.25">
      <c r="B188" t="str">
        <f>IF(A188="","",IFERROR(INDEX(tblReg[Field],MATCH(A188,tblReg[Bib],0)),""))</f>
        <v/>
      </c>
      <c r="C188" t="str">
        <f>IF(A188="","",IFERROR(INDEX(tblReg[FirstName],MATCH(A188,tblReg[Bib],0)),""))</f>
        <v/>
      </c>
      <c r="D188" t="str">
        <f>IF(A188="","",IFERROR(INDEX(tblReg[LastName],MATCH(A188,tblReg[Bib],0)),""))</f>
        <v/>
      </c>
      <c r="E188" t="str">
        <f>IF(A188="","",IFERROR(INDEX(tblReg[Team],MATCH(A188,tblReg[Bib],0)),""))</f>
        <v/>
      </c>
      <c r="F188" s="4" t="s">
        <v>103</v>
      </c>
      <c r="G188" t="str">
        <f t="shared" si="8"/>
        <v/>
      </c>
      <c r="H188" t="str">
        <f t="shared" si="9"/>
        <v/>
      </c>
      <c r="I188">
        <f>IF(H188="",0,IFERROR(INDEX(Config!$I$4:$I$6,MATCH(H188,Config!$H$4:$H$6,0)),0))</f>
        <v>0</v>
      </c>
      <c r="J188" t="str">
        <f t="shared" si="10"/>
        <v/>
      </c>
      <c r="K188" s="5" t="str">
        <f t="shared" si="11"/>
        <v/>
      </c>
      <c r="L188">
        <f>IF(A188="",999,IFERROR(MATCH(B188,Config!$A$4:$A$7,0),99)*10+IF(ISNUMBER(F188),1,IF(F188="",2,IF(UPPER(F188)="DNF",3,IF(UPPER(F188)="DNS",4,8)))))</f>
        <v>999</v>
      </c>
    </row>
    <row r="189" spans="2:12" x14ac:dyDescent="0.25">
      <c r="B189" t="str">
        <f>IF(A189="","",IFERROR(INDEX(tblReg[Field],MATCH(A189,tblReg[Bib],0)),""))</f>
        <v/>
      </c>
      <c r="C189" t="str">
        <f>IF(A189="","",IFERROR(INDEX(tblReg[FirstName],MATCH(A189,tblReg[Bib],0)),""))</f>
        <v/>
      </c>
      <c r="D189" t="str">
        <f>IF(A189="","",IFERROR(INDEX(tblReg[LastName],MATCH(A189,tblReg[Bib],0)),""))</f>
        <v/>
      </c>
      <c r="E189" t="str">
        <f>IF(A189="","",IFERROR(INDEX(tblReg[Team],MATCH(A189,tblReg[Bib],0)),""))</f>
        <v/>
      </c>
      <c r="F189" s="4" t="s">
        <v>103</v>
      </c>
      <c r="G189" t="str">
        <f t="shared" si="8"/>
        <v/>
      </c>
      <c r="H189" t="str">
        <f t="shared" si="9"/>
        <v/>
      </c>
      <c r="I189">
        <f>IF(H189="",0,IFERROR(INDEX(Config!$I$4:$I$6,MATCH(H189,Config!$H$4:$H$6,0)),0))</f>
        <v>0</v>
      </c>
      <c r="J189" t="str">
        <f t="shared" si="10"/>
        <v/>
      </c>
      <c r="K189" s="5" t="str">
        <f t="shared" si="11"/>
        <v/>
      </c>
      <c r="L189">
        <f>IF(A189="",999,IFERROR(MATCH(B189,Config!$A$4:$A$7,0),99)*10+IF(ISNUMBER(F189),1,IF(F189="",2,IF(UPPER(F189)="DNF",3,IF(UPPER(F189)="DNS",4,8)))))</f>
        <v>999</v>
      </c>
    </row>
    <row r="190" spans="2:12" x14ac:dyDescent="0.25">
      <c r="B190" t="str">
        <f>IF(A190="","",IFERROR(INDEX(tblReg[Field],MATCH(A190,tblReg[Bib],0)),""))</f>
        <v/>
      </c>
      <c r="C190" t="str">
        <f>IF(A190="","",IFERROR(INDEX(tblReg[FirstName],MATCH(A190,tblReg[Bib],0)),""))</f>
        <v/>
      </c>
      <c r="D190" t="str">
        <f>IF(A190="","",IFERROR(INDEX(tblReg[LastName],MATCH(A190,tblReg[Bib],0)),""))</f>
        <v/>
      </c>
      <c r="E190" t="str">
        <f>IF(A190="","",IFERROR(INDEX(tblReg[Team],MATCH(A190,tblReg[Bib],0)),""))</f>
        <v/>
      </c>
      <c r="F190" s="4" t="s">
        <v>103</v>
      </c>
      <c r="G190" t="str">
        <f t="shared" si="8"/>
        <v/>
      </c>
      <c r="H190" t="str">
        <f t="shared" si="9"/>
        <v/>
      </c>
      <c r="I190">
        <f>IF(H190="",0,IFERROR(INDEX(Config!$I$4:$I$6,MATCH(H190,Config!$H$4:$H$6,0)),0))</f>
        <v>0</v>
      </c>
      <c r="J190" t="str">
        <f t="shared" si="10"/>
        <v/>
      </c>
      <c r="K190" s="5" t="str">
        <f t="shared" si="11"/>
        <v/>
      </c>
      <c r="L190">
        <f>IF(A190="",999,IFERROR(MATCH(B190,Config!$A$4:$A$7,0),99)*10+IF(ISNUMBER(F190),1,IF(F190="",2,IF(UPPER(F190)="DNF",3,IF(UPPER(F190)="DNS",4,8)))))</f>
        <v>999</v>
      </c>
    </row>
    <row r="191" spans="2:12" x14ac:dyDescent="0.25">
      <c r="B191" t="str">
        <f>IF(A191="","",IFERROR(INDEX(tblReg[Field],MATCH(A191,tblReg[Bib],0)),""))</f>
        <v/>
      </c>
      <c r="C191" t="str">
        <f>IF(A191="","",IFERROR(INDEX(tblReg[FirstName],MATCH(A191,tblReg[Bib],0)),""))</f>
        <v/>
      </c>
      <c r="D191" t="str">
        <f>IF(A191="","",IFERROR(INDEX(tblReg[LastName],MATCH(A191,tblReg[Bib],0)),""))</f>
        <v/>
      </c>
      <c r="E191" t="str">
        <f>IF(A191="","",IFERROR(INDEX(tblReg[Team],MATCH(A191,tblReg[Bib],0)),""))</f>
        <v/>
      </c>
      <c r="F191" s="4" t="s">
        <v>103</v>
      </c>
      <c r="G191" t="str">
        <f t="shared" si="8"/>
        <v/>
      </c>
      <c r="H191" t="str">
        <f t="shared" si="9"/>
        <v/>
      </c>
      <c r="I191">
        <f>IF(H191="",0,IFERROR(INDEX(Config!$I$4:$I$6,MATCH(H191,Config!$H$4:$H$6,0)),0))</f>
        <v>0</v>
      </c>
      <c r="J191" t="str">
        <f t="shared" si="10"/>
        <v/>
      </c>
      <c r="K191" s="5" t="str">
        <f t="shared" si="11"/>
        <v/>
      </c>
      <c r="L191">
        <f>IF(A191="",999,IFERROR(MATCH(B191,Config!$A$4:$A$7,0),99)*10+IF(ISNUMBER(F191),1,IF(F191="",2,IF(UPPER(F191)="DNF",3,IF(UPPER(F191)="DNS",4,8)))))</f>
        <v>999</v>
      </c>
    </row>
    <row r="192" spans="2:12" x14ac:dyDescent="0.25">
      <c r="B192" t="str">
        <f>IF(A192="","",IFERROR(INDEX(tblReg[Field],MATCH(A192,tblReg[Bib],0)),""))</f>
        <v/>
      </c>
      <c r="C192" t="str">
        <f>IF(A192="","",IFERROR(INDEX(tblReg[FirstName],MATCH(A192,tblReg[Bib],0)),""))</f>
        <v/>
      </c>
      <c r="D192" t="str">
        <f>IF(A192="","",IFERROR(INDEX(tblReg[LastName],MATCH(A192,tblReg[Bib],0)),""))</f>
        <v/>
      </c>
      <c r="E192" t="str">
        <f>IF(A192="","",IFERROR(INDEX(tblReg[Team],MATCH(A192,tblReg[Bib],0)),""))</f>
        <v/>
      </c>
      <c r="F192" s="4" t="s">
        <v>103</v>
      </c>
      <c r="G192" t="str">
        <f t="shared" si="8"/>
        <v/>
      </c>
      <c r="H192" t="str">
        <f t="shared" si="9"/>
        <v/>
      </c>
      <c r="I192">
        <f>IF(H192="",0,IFERROR(INDEX(Config!$I$4:$I$6,MATCH(H192,Config!$H$4:$H$6,0)),0))</f>
        <v>0</v>
      </c>
      <c r="J192" t="str">
        <f t="shared" si="10"/>
        <v/>
      </c>
      <c r="K192" s="5" t="str">
        <f t="shared" si="11"/>
        <v/>
      </c>
      <c r="L192">
        <f>IF(A192="",999,IFERROR(MATCH(B192,Config!$A$4:$A$7,0),99)*10+IF(ISNUMBER(F192),1,IF(F192="",2,IF(UPPER(F192)="DNF",3,IF(UPPER(F192)="DNS",4,8)))))</f>
        <v>999</v>
      </c>
    </row>
    <row r="193" spans="2:12" x14ac:dyDescent="0.25">
      <c r="B193" t="str">
        <f>IF(A193="","",IFERROR(INDEX(tblReg[Field],MATCH(A193,tblReg[Bib],0)),""))</f>
        <v/>
      </c>
      <c r="C193" t="str">
        <f>IF(A193="","",IFERROR(INDEX(tblReg[FirstName],MATCH(A193,tblReg[Bib],0)),""))</f>
        <v/>
      </c>
      <c r="D193" t="str">
        <f>IF(A193="","",IFERROR(INDEX(tblReg[LastName],MATCH(A193,tblReg[Bib],0)),""))</f>
        <v/>
      </c>
      <c r="E193" t="str">
        <f>IF(A193="","",IFERROR(INDEX(tblReg[Team],MATCH(A193,tblReg[Bib],0)),""))</f>
        <v/>
      </c>
      <c r="F193" s="4" t="s">
        <v>103</v>
      </c>
      <c r="G193" t="str">
        <f t="shared" si="8"/>
        <v/>
      </c>
      <c r="H193" t="str">
        <f t="shared" si="9"/>
        <v/>
      </c>
      <c r="I193">
        <f>IF(H193="",0,IFERROR(INDEX(Config!$I$4:$I$6,MATCH(H193,Config!$H$4:$H$6,0)),0))</f>
        <v>0</v>
      </c>
      <c r="J193" t="str">
        <f t="shared" si="10"/>
        <v/>
      </c>
      <c r="K193" s="5" t="str">
        <f t="shared" si="11"/>
        <v/>
      </c>
      <c r="L193">
        <f>IF(A193="",999,IFERROR(MATCH(B193,Config!$A$4:$A$7,0),99)*10+IF(ISNUMBER(F193),1,IF(F193="",2,IF(UPPER(F193)="DNF",3,IF(UPPER(F193)="DNS",4,8)))))</f>
        <v>999</v>
      </c>
    </row>
    <row r="194" spans="2:12" x14ac:dyDescent="0.25">
      <c r="B194" t="str">
        <f>IF(A194="","",IFERROR(INDEX(tblReg[Field],MATCH(A194,tblReg[Bib],0)),""))</f>
        <v/>
      </c>
      <c r="C194" t="str">
        <f>IF(A194="","",IFERROR(INDEX(tblReg[FirstName],MATCH(A194,tblReg[Bib],0)),""))</f>
        <v/>
      </c>
      <c r="D194" t="str">
        <f>IF(A194="","",IFERROR(INDEX(tblReg[LastName],MATCH(A194,tblReg[Bib],0)),""))</f>
        <v/>
      </c>
      <c r="E194" t="str">
        <f>IF(A194="","",IFERROR(INDEX(tblReg[Team],MATCH(A194,tblReg[Bib],0)),""))</f>
        <v/>
      </c>
      <c r="F194" s="4" t="s">
        <v>103</v>
      </c>
      <c r="G194" t="str">
        <f t="shared" ref="G194:G251" si="12">IF(OR(F194="",UPPER(F194)="DNF",UPPER(F194)="DNS"),"",HOUR(F194)*3600 + MINUTE(F194)*60 + SECOND(F194))</f>
        <v/>
      </c>
      <c r="H194" t="str">
        <f t="shared" ref="H194:H251" si="13">IF(OR(A194="",B194=""),"",IF(ISNUMBER(G194),1+COUNTIFS($B$2:$B$251,B194,$G$2:$G$251,"&lt;"&amp;G194),IF(F194="",COUNTIFS($B$2:$B$251,B194,$G$2:$G$251,"&gt;=0")+COUNTIFS($B$2:$B$251,B194,$F$2:$F$251,"",$A$2:$A$251,"&lt;"&amp;A194)+1,"")))</f>
        <v/>
      </c>
      <c r="I194">
        <f>IF(H194="",0,IFERROR(INDEX(Config!$I$4:$I$6,MATCH(H194,Config!$H$4:$H$6,0)),0))</f>
        <v>0</v>
      </c>
      <c r="J194" t="str">
        <f t="shared" ref="J194:J251" si="14">IF(G194="","",G194-I194)</f>
        <v/>
      </c>
      <c r="K194" s="5" t="str">
        <f t="shared" ref="K194:K251" si="15">IF(J194="","",J194/86400)</f>
        <v/>
      </c>
      <c r="L194">
        <f>IF(A194="",999,IFERROR(MATCH(B194,Config!$A$4:$A$7,0),99)*10+IF(ISNUMBER(F194),1,IF(F194="",2,IF(UPPER(F194)="DNF",3,IF(UPPER(F194)="DNS",4,8)))))</f>
        <v>999</v>
      </c>
    </row>
    <row r="195" spans="2:12" x14ac:dyDescent="0.25">
      <c r="B195" t="str">
        <f>IF(A195="","",IFERROR(INDEX(tblReg[Field],MATCH(A195,tblReg[Bib],0)),""))</f>
        <v/>
      </c>
      <c r="C195" t="str">
        <f>IF(A195="","",IFERROR(INDEX(tblReg[FirstName],MATCH(A195,tblReg[Bib],0)),""))</f>
        <v/>
      </c>
      <c r="D195" t="str">
        <f>IF(A195="","",IFERROR(INDEX(tblReg[LastName],MATCH(A195,tblReg[Bib],0)),""))</f>
        <v/>
      </c>
      <c r="E195" t="str">
        <f>IF(A195="","",IFERROR(INDEX(tblReg[Team],MATCH(A195,tblReg[Bib],0)),""))</f>
        <v/>
      </c>
      <c r="F195" s="4" t="s">
        <v>103</v>
      </c>
      <c r="G195" t="str">
        <f t="shared" si="12"/>
        <v/>
      </c>
      <c r="H195" t="str">
        <f t="shared" si="13"/>
        <v/>
      </c>
      <c r="I195">
        <f>IF(H195="",0,IFERROR(INDEX(Config!$I$4:$I$6,MATCH(H195,Config!$H$4:$H$6,0)),0))</f>
        <v>0</v>
      </c>
      <c r="J195" t="str">
        <f t="shared" si="14"/>
        <v/>
      </c>
      <c r="K195" s="5" t="str">
        <f t="shared" si="15"/>
        <v/>
      </c>
      <c r="L195">
        <f>IF(A195="",999,IFERROR(MATCH(B195,Config!$A$4:$A$7,0),99)*10+IF(ISNUMBER(F195),1,IF(F195="",2,IF(UPPER(F195)="DNF",3,IF(UPPER(F195)="DNS",4,8)))))</f>
        <v>999</v>
      </c>
    </row>
    <row r="196" spans="2:12" x14ac:dyDescent="0.25">
      <c r="B196" t="str">
        <f>IF(A196="","",IFERROR(INDEX(tblReg[Field],MATCH(A196,tblReg[Bib],0)),""))</f>
        <v/>
      </c>
      <c r="C196" t="str">
        <f>IF(A196="","",IFERROR(INDEX(tblReg[FirstName],MATCH(A196,tblReg[Bib],0)),""))</f>
        <v/>
      </c>
      <c r="D196" t="str">
        <f>IF(A196="","",IFERROR(INDEX(tblReg[LastName],MATCH(A196,tblReg[Bib],0)),""))</f>
        <v/>
      </c>
      <c r="E196" t="str">
        <f>IF(A196="","",IFERROR(INDEX(tblReg[Team],MATCH(A196,tblReg[Bib],0)),""))</f>
        <v/>
      </c>
      <c r="F196" s="4" t="s">
        <v>103</v>
      </c>
      <c r="G196" t="str">
        <f t="shared" si="12"/>
        <v/>
      </c>
      <c r="H196" t="str">
        <f t="shared" si="13"/>
        <v/>
      </c>
      <c r="I196">
        <f>IF(H196="",0,IFERROR(INDEX(Config!$I$4:$I$6,MATCH(H196,Config!$H$4:$H$6,0)),0))</f>
        <v>0</v>
      </c>
      <c r="J196" t="str">
        <f t="shared" si="14"/>
        <v/>
      </c>
      <c r="K196" s="5" t="str">
        <f t="shared" si="15"/>
        <v/>
      </c>
      <c r="L196">
        <f>IF(A196="",999,IFERROR(MATCH(B196,Config!$A$4:$A$7,0),99)*10+IF(ISNUMBER(F196),1,IF(F196="",2,IF(UPPER(F196)="DNF",3,IF(UPPER(F196)="DNS",4,8)))))</f>
        <v>999</v>
      </c>
    </row>
    <row r="197" spans="2:12" x14ac:dyDescent="0.25">
      <c r="B197" t="str">
        <f>IF(A197="","",IFERROR(INDEX(tblReg[Field],MATCH(A197,tblReg[Bib],0)),""))</f>
        <v/>
      </c>
      <c r="C197" t="str">
        <f>IF(A197="","",IFERROR(INDEX(tblReg[FirstName],MATCH(A197,tblReg[Bib],0)),""))</f>
        <v/>
      </c>
      <c r="D197" t="str">
        <f>IF(A197="","",IFERROR(INDEX(tblReg[LastName],MATCH(A197,tblReg[Bib],0)),""))</f>
        <v/>
      </c>
      <c r="E197" t="str">
        <f>IF(A197="","",IFERROR(INDEX(tblReg[Team],MATCH(A197,tblReg[Bib],0)),""))</f>
        <v/>
      </c>
      <c r="F197" s="4" t="s">
        <v>103</v>
      </c>
      <c r="G197" t="str">
        <f t="shared" si="12"/>
        <v/>
      </c>
      <c r="H197" t="str">
        <f t="shared" si="13"/>
        <v/>
      </c>
      <c r="I197">
        <f>IF(H197="",0,IFERROR(INDEX(Config!$I$4:$I$6,MATCH(H197,Config!$H$4:$H$6,0)),0))</f>
        <v>0</v>
      </c>
      <c r="J197" t="str">
        <f t="shared" si="14"/>
        <v/>
      </c>
      <c r="K197" s="5" t="str">
        <f t="shared" si="15"/>
        <v/>
      </c>
      <c r="L197">
        <f>IF(A197="",999,IFERROR(MATCH(B197,Config!$A$4:$A$7,0),99)*10+IF(ISNUMBER(F197),1,IF(F197="",2,IF(UPPER(F197)="DNF",3,IF(UPPER(F197)="DNS",4,8)))))</f>
        <v>999</v>
      </c>
    </row>
    <row r="198" spans="2:12" x14ac:dyDescent="0.25">
      <c r="B198" t="str">
        <f>IF(A198="","",IFERROR(INDEX(tblReg[Field],MATCH(A198,tblReg[Bib],0)),""))</f>
        <v/>
      </c>
      <c r="C198" t="str">
        <f>IF(A198="","",IFERROR(INDEX(tblReg[FirstName],MATCH(A198,tblReg[Bib],0)),""))</f>
        <v/>
      </c>
      <c r="D198" t="str">
        <f>IF(A198="","",IFERROR(INDEX(tblReg[LastName],MATCH(A198,tblReg[Bib],0)),""))</f>
        <v/>
      </c>
      <c r="E198" t="str">
        <f>IF(A198="","",IFERROR(INDEX(tblReg[Team],MATCH(A198,tblReg[Bib],0)),""))</f>
        <v/>
      </c>
      <c r="F198" s="4" t="s">
        <v>103</v>
      </c>
      <c r="G198" t="str">
        <f t="shared" si="12"/>
        <v/>
      </c>
      <c r="H198" t="str">
        <f t="shared" si="13"/>
        <v/>
      </c>
      <c r="I198">
        <f>IF(H198="",0,IFERROR(INDEX(Config!$I$4:$I$6,MATCH(H198,Config!$H$4:$H$6,0)),0))</f>
        <v>0</v>
      </c>
      <c r="J198" t="str">
        <f t="shared" si="14"/>
        <v/>
      </c>
      <c r="K198" s="5" t="str">
        <f t="shared" si="15"/>
        <v/>
      </c>
      <c r="L198">
        <f>IF(A198="",999,IFERROR(MATCH(B198,Config!$A$4:$A$7,0),99)*10+IF(ISNUMBER(F198),1,IF(F198="",2,IF(UPPER(F198)="DNF",3,IF(UPPER(F198)="DNS",4,8)))))</f>
        <v>999</v>
      </c>
    </row>
    <row r="199" spans="2:12" x14ac:dyDescent="0.25">
      <c r="B199" t="str">
        <f>IF(A199="","",IFERROR(INDEX(tblReg[Field],MATCH(A199,tblReg[Bib],0)),""))</f>
        <v/>
      </c>
      <c r="C199" t="str">
        <f>IF(A199="","",IFERROR(INDEX(tblReg[FirstName],MATCH(A199,tblReg[Bib],0)),""))</f>
        <v/>
      </c>
      <c r="D199" t="str">
        <f>IF(A199="","",IFERROR(INDEX(tblReg[LastName],MATCH(A199,tblReg[Bib],0)),""))</f>
        <v/>
      </c>
      <c r="E199" t="str">
        <f>IF(A199="","",IFERROR(INDEX(tblReg[Team],MATCH(A199,tblReg[Bib],0)),""))</f>
        <v/>
      </c>
      <c r="F199" s="4" t="s">
        <v>103</v>
      </c>
      <c r="G199" t="str">
        <f t="shared" si="12"/>
        <v/>
      </c>
      <c r="H199" t="str">
        <f t="shared" si="13"/>
        <v/>
      </c>
      <c r="I199">
        <f>IF(H199="",0,IFERROR(INDEX(Config!$I$4:$I$6,MATCH(H199,Config!$H$4:$H$6,0)),0))</f>
        <v>0</v>
      </c>
      <c r="J199" t="str">
        <f t="shared" si="14"/>
        <v/>
      </c>
      <c r="K199" s="5" t="str">
        <f t="shared" si="15"/>
        <v/>
      </c>
      <c r="L199">
        <f>IF(A199="",999,IFERROR(MATCH(B199,Config!$A$4:$A$7,0),99)*10+IF(ISNUMBER(F199),1,IF(F199="",2,IF(UPPER(F199)="DNF",3,IF(UPPER(F199)="DNS",4,8)))))</f>
        <v>999</v>
      </c>
    </row>
    <row r="200" spans="2:12" x14ac:dyDescent="0.25">
      <c r="B200" t="str">
        <f>IF(A200="","",IFERROR(INDEX(tblReg[Field],MATCH(A200,tblReg[Bib],0)),""))</f>
        <v/>
      </c>
      <c r="C200" t="str">
        <f>IF(A200="","",IFERROR(INDEX(tblReg[FirstName],MATCH(A200,tblReg[Bib],0)),""))</f>
        <v/>
      </c>
      <c r="D200" t="str">
        <f>IF(A200="","",IFERROR(INDEX(tblReg[LastName],MATCH(A200,tblReg[Bib],0)),""))</f>
        <v/>
      </c>
      <c r="E200" t="str">
        <f>IF(A200="","",IFERROR(INDEX(tblReg[Team],MATCH(A200,tblReg[Bib],0)),""))</f>
        <v/>
      </c>
      <c r="F200" s="4" t="s">
        <v>103</v>
      </c>
      <c r="G200" t="str">
        <f t="shared" si="12"/>
        <v/>
      </c>
      <c r="H200" t="str">
        <f t="shared" si="13"/>
        <v/>
      </c>
      <c r="I200">
        <f>IF(H200="",0,IFERROR(INDEX(Config!$I$4:$I$6,MATCH(H200,Config!$H$4:$H$6,0)),0))</f>
        <v>0</v>
      </c>
      <c r="J200" t="str">
        <f t="shared" si="14"/>
        <v/>
      </c>
      <c r="K200" s="5" t="str">
        <f t="shared" si="15"/>
        <v/>
      </c>
      <c r="L200">
        <f>IF(A200="",999,IFERROR(MATCH(B200,Config!$A$4:$A$7,0),99)*10+IF(ISNUMBER(F200),1,IF(F200="",2,IF(UPPER(F200)="DNF",3,IF(UPPER(F200)="DNS",4,8)))))</f>
        <v>999</v>
      </c>
    </row>
    <row r="201" spans="2:12" x14ac:dyDescent="0.25">
      <c r="B201" t="str">
        <f>IF(A201="","",IFERROR(INDEX(tblReg[Field],MATCH(A201,tblReg[Bib],0)),""))</f>
        <v/>
      </c>
      <c r="C201" t="str">
        <f>IF(A201="","",IFERROR(INDEX(tblReg[FirstName],MATCH(A201,tblReg[Bib],0)),""))</f>
        <v/>
      </c>
      <c r="D201" t="str">
        <f>IF(A201="","",IFERROR(INDEX(tblReg[LastName],MATCH(A201,tblReg[Bib],0)),""))</f>
        <v/>
      </c>
      <c r="E201" t="str">
        <f>IF(A201="","",IFERROR(INDEX(tblReg[Team],MATCH(A201,tblReg[Bib],0)),""))</f>
        <v/>
      </c>
      <c r="F201" s="4" t="s">
        <v>103</v>
      </c>
      <c r="G201" t="str">
        <f t="shared" si="12"/>
        <v/>
      </c>
      <c r="H201" t="str">
        <f t="shared" si="13"/>
        <v/>
      </c>
      <c r="I201">
        <f>IF(H201="",0,IFERROR(INDEX(Config!$I$4:$I$6,MATCH(H201,Config!$H$4:$H$6,0)),0))</f>
        <v>0</v>
      </c>
      <c r="J201" t="str">
        <f t="shared" si="14"/>
        <v/>
      </c>
      <c r="K201" s="5" t="str">
        <f t="shared" si="15"/>
        <v/>
      </c>
      <c r="L201">
        <f>IF(A201="",999,IFERROR(MATCH(B201,Config!$A$4:$A$7,0),99)*10+IF(ISNUMBER(F201),1,IF(F201="",2,IF(UPPER(F201)="DNF",3,IF(UPPER(F201)="DNS",4,8)))))</f>
        <v>999</v>
      </c>
    </row>
    <row r="202" spans="2:12" x14ac:dyDescent="0.25">
      <c r="B202" t="str">
        <f>IF(A202="","",IFERROR(INDEX(tblReg[Field],MATCH(A202,tblReg[Bib],0)),""))</f>
        <v/>
      </c>
      <c r="C202" t="str">
        <f>IF(A202="","",IFERROR(INDEX(tblReg[FirstName],MATCH(A202,tblReg[Bib],0)),""))</f>
        <v/>
      </c>
      <c r="D202" t="str">
        <f>IF(A202="","",IFERROR(INDEX(tblReg[LastName],MATCH(A202,tblReg[Bib],0)),""))</f>
        <v/>
      </c>
      <c r="E202" t="str">
        <f>IF(A202="","",IFERROR(INDEX(tblReg[Team],MATCH(A202,tblReg[Bib],0)),""))</f>
        <v/>
      </c>
      <c r="F202" s="4" t="s">
        <v>103</v>
      </c>
      <c r="G202" t="str">
        <f t="shared" si="12"/>
        <v/>
      </c>
      <c r="H202" t="str">
        <f t="shared" si="13"/>
        <v/>
      </c>
      <c r="I202">
        <f>IF(H202="",0,IFERROR(INDEX(Config!$I$4:$I$6,MATCH(H202,Config!$H$4:$H$6,0)),0))</f>
        <v>0</v>
      </c>
      <c r="J202" t="str">
        <f t="shared" si="14"/>
        <v/>
      </c>
      <c r="K202" s="5" t="str">
        <f t="shared" si="15"/>
        <v/>
      </c>
      <c r="L202">
        <f>IF(A202="",999,IFERROR(MATCH(B202,Config!$A$4:$A$7,0),99)*10+IF(ISNUMBER(F202),1,IF(F202="",2,IF(UPPER(F202)="DNF",3,IF(UPPER(F202)="DNS",4,8)))))</f>
        <v>999</v>
      </c>
    </row>
    <row r="203" spans="2:12" x14ac:dyDescent="0.25">
      <c r="B203" t="str">
        <f>IF(A203="","",IFERROR(INDEX(tblReg[Field],MATCH(A203,tblReg[Bib],0)),""))</f>
        <v/>
      </c>
      <c r="C203" t="str">
        <f>IF(A203="","",IFERROR(INDEX(tblReg[FirstName],MATCH(A203,tblReg[Bib],0)),""))</f>
        <v/>
      </c>
      <c r="D203" t="str">
        <f>IF(A203="","",IFERROR(INDEX(tblReg[LastName],MATCH(A203,tblReg[Bib],0)),""))</f>
        <v/>
      </c>
      <c r="E203" t="str">
        <f>IF(A203="","",IFERROR(INDEX(tblReg[Team],MATCH(A203,tblReg[Bib],0)),""))</f>
        <v/>
      </c>
      <c r="F203" s="4" t="s">
        <v>103</v>
      </c>
      <c r="G203" t="str">
        <f t="shared" si="12"/>
        <v/>
      </c>
      <c r="H203" t="str">
        <f t="shared" si="13"/>
        <v/>
      </c>
      <c r="I203">
        <f>IF(H203="",0,IFERROR(INDEX(Config!$I$4:$I$6,MATCH(H203,Config!$H$4:$H$6,0)),0))</f>
        <v>0</v>
      </c>
      <c r="J203" t="str">
        <f t="shared" si="14"/>
        <v/>
      </c>
      <c r="K203" s="5" t="str">
        <f t="shared" si="15"/>
        <v/>
      </c>
      <c r="L203">
        <f>IF(A203="",999,IFERROR(MATCH(B203,Config!$A$4:$A$7,0),99)*10+IF(ISNUMBER(F203),1,IF(F203="",2,IF(UPPER(F203)="DNF",3,IF(UPPER(F203)="DNS",4,8)))))</f>
        <v>999</v>
      </c>
    </row>
    <row r="204" spans="2:12" x14ac:dyDescent="0.25">
      <c r="B204" t="str">
        <f>IF(A204="","",IFERROR(INDEX(tblReg[Field],MATCH(A204,tblReg[Bib],0)),""))</f>
        <v/>
      </c>
      <c r="C204" t="str">
        <f>IF(A204="","",IFERROR(INDEX(tblReg[FirstName],MATCH(A204,tblReg[Bib],0)),""))</f>
        <v/>
      </c>
      <c r="D204" t="str">
        <f>IF(A204="","",IFERROR(INDEX(tblReg[LastName],MATCH(A204,tblReg[Bib],0)),""))</f>
        <v/>
      </c>
      <c r="E204" t="str">
        <f>IF(A204="","",IFERROR(INDEX(tblReg[Team],MATCH(A204,tblReg[Bib],0)),""))</f>
        <v/>
      </c>
      <c r="F204" s="4" t="s">
        <v>103</v>
      </c>
      <c r="G204" t="str">
        <f t="shared" si="12"/>
        <v/>
      </c>
      <c r="H204" t="str">
        <f t="shared" si="13"/>
        <v/>
      </c>
      <c r="I204">
        <f>IF(H204="",0,IFERROR(INDEX(Config!$I$4:$I$6,MATCH(H204,Config!$H$4:$H$6,0)),0))</f>
        <v>0</v>
      </c>
      <c r="J204" t="str">
        <f t="shared" si="14"/>
        <v/>
      </c>
      <c r="K204" s="5" t="str">
        <f t="shared" si="15"/>
        <v/>
      </c>
      <c r="L204">
        <f>IF(A204="",999,IFERROR(MATCH(B204,Config!$A$4:$A$7,0),99)*10+IF(ISNUMBER(F204),1,IF(F204="",2,IF(UPPER(F204)="DNF",3,IF(UPPER(F204)="DNS",4,8)))))</f>
        <v>999</v>
      </c>
    </row>
    <row r="205" spans="2:12" x14ac:dyDescent="0.25">
      <c r="B205" t="str">
        <f>IF(A205="","",IFERROR(INDEX(tblReg[Field],MATCH(A205,tblReg[Bib],0)),""))</f>
        <v/>
      </c>
      <c r="C205" t="str">
        <f>IF(A205="","",IFERROR(INDEX(tblReg[FirstName],MATCH(A205,tblReg[Bib],0)),""))</f>
        <v/>
      </c>
      <c r="D205" t="str">
        <f>IF(A205="","",IFERROR(INDEX(tblReg[LastName],MATCH(A205,tblReg[Bib],0)),""))</f>
        <v/>
      </c>
      <c r="E205" t="str">
        <f>IF(A205="","",IFERROR(INDEX(tblReg[Team],MATCH(A205,tblReg[Bib],0)),""))</f>
        <v/>
      </c>
      <c r="F205" s="4" t="s">
        <v>103</v>
      </c>
      <c r="G205" t="str">
        <f t="shared" si="12"/>
        <v/>
      </c>
      <c r="H205" t="str">
        <f t="shared" si="13"/>
        <v/>
      </c>
      <c r="I205">
        <f>IF(H205="",0,IFERROR(INDEX(Config!$I$4:$I$6,MATCH(H205,Config!$H$4:$H$6,0)),0))</f>
        <v>0</v>
      </c>
      <c r="J205" t="str">
        <f t="shared" si="14"/>
        <v/>
      </c>
      <c r="K205" s="5" t="str">
        <f t="shared" si="15"/>
        <v/>
      </c>
      <c r="L205">
        <f>IF(A205="",999,IFERROR(MATCH(B205,Config!$A$4:$A$7,0),99)*10+IF(ISNUMBER(F205),1,IF(F205="",2,IF(UPPER(F205)="DNF",3,IF(UPPER(F205)="DNS",4,8)))))</f>
        <v>999</v>
      </c>
    </row>
    <row r="206" spans="2:12" x14ac:dyDescent="0.25">
      <c r="B206" t="str">
        <f>IF(A206="","",IFERROR(INDEX(tblReg[Field],MATCH(A206,tblReg[Bib],0)),""))</f>
        <v/>
      </c>
      <c r="C206" t="str">
        <f>IF(A206="","",IFERROR(INDEX(tblReg[FirstName],MATCH(A206,tblReg[Bib],0)),""))</f>
        <v/>
      </c>
      <c r="D206" t="str">
        <f>IF(A206="","",IFERROR(INDEX(tblReg[LastName],MATCH(A206,tblReg[Bib],0)),""))</f>
        <v/>
      </c>
      <c r="E206" t="str">
        <f>IF(A206="","",IFERROR(INDEX(tblReg[Team],MATCH(A206,tblReg[Bib],0)),""))</f>
        <v/>
      </c>
      <c r="F206" s="4" t="s">
        <v>103</v>
      </c>
      <c r="G206" t="str">
        <f t="shared" si="12"/>
        <v/>
      </c>
      <c r="H206" t="str">
        <f t="shared" si="13"/>
        <v/>
      </c>
      <c r="I206">
        <f>IF(H206="",0,IFERROR(INDEX(Config!$I$4:$I$6,MATCH(H206,Config!$H$4:$H$6,0)),0))</f>
        <v>0</v>
      </c>
      <c r="J206" t="str">
        <f t="shared" si="14"/>
        <v/>
      </c>
      <c r="K206" s="5" t="str">
        <f t="shared" si="15"/>
        <v/>
      </c>
      <c r="L206">
        <f>IF(A206="",999,IFERROR(MATCH(B206,Config!$A$4:$A$7,0),99)*10+IF(ISNUMBER(F206),1,IF(F206="",2,IF(UPPER(F206)="DNF",3,IF(UPPER(F206)="DNS",4,8)))))</f>
        <v>999</v>
      </c>
    </row>
    <row r="207" spans="2:12" x14ac:dyDescent="0.25">
      <c r="B207" t="str">
        <f>IF(A207="","",IFERROR(INDEX(tblReg[Field],MATCH(A207,tblReg[Bib],0)),""))</f>
        <v/>
      </c>
      <c r="C207" t="str">
        <f>IF(A207="","",IFERROR(INDEX(tblReg[FirstName],MATCH(A207,tblReg[Bib],0)),""))</f>
        <v/>
      </c>
      <c r="D207" t="str">
        <f>IF(A207="","",IFERROR(INDEX(tblReg[LastName],MATCH(A207,tblReg[Bib],0)),""))</f>
        <v/>
      </c>
      <c r="E207" t="str">
        <f>IF(A207="","",IFERROR(INDEX(tblReg[Team],MATCH(A207,tblReg[Bib],0)),""))</f>
        <v/>
      </c>
      <c r="F207" s="4" t="s">
        <v>103</v>
      </c>
      <c r="G207" t="str">
        <f t="shared" si="12"/>
        <v/>
      </c>
      <c r="H207" t="str">
        <f t="shared" si="13"/>
        <v/>
      </c>
      <c r="I207">
        <f>IF(H207="",0,IFERROR(INDEX(Config!$I$4:$I$6,MATCH(H207,Config!$H$4:$H$6,0)),0))</f>
        <v>0</v>
      </c>
      <c r="J207" t="str">
        <f t="shared" si="14"/>
        <v/>
      </c>
      <c r="K207" s="5" t="str">
        <f t="shared" si="15"/>
        <v/>
      </c>
      <c r="L207">
        <f>IF(A207="",999,IFERROR(MATCH(B207,Config!$A$4:$A$7,0),99)*10+IF(ISNUMBER(F207),1,IF(F207="",2,IF(UPPER(F207)="DNF",3,IF(UPPER(F207)="DNS",4,8)))))</f>
        <v>999</v>
      </c>
    </row>
    <row r="208" spans="2:12" x14ac:dyDescent="0.25">
      <c r="B208" t="str">
        <f>IF(A208="","",IFERROR(INDEX(tblReg[Field],MATCH(A208,tblReg[Bib],0)),""))</f>
        <v/>
      </c>
      <c r="C208" t="str">
        <f>IF(A208="","",IFERROR(INDEX(tblReg[FirstName],MATCH(A208,tblReg[Bib],0)),""))</f>
        <v/>
      </c>
      <c r="D208" t="str">
        <f>IF(A208="","",IFERROR(INDEX(tblReg[LastName],MATCH(A208,tblReg[Bib],0)),""))</f>
        <v/>
      </c>
      <c r="E208" t="str">
        <f>IF(A208="","",IFERROR(INDEX(tblReg[Team],MATCH(A208,tblReg[Bib],0)),""))</f>
        <v/>
      </c>
      <c r="F208" s="4" t="s">
        <v>103</v>
      </c>
      <c r="G208" t="str">
        <f t="shared" si="12"/>
        <v/>
      </c>
      <c r="H208" t="str">
        <f t="shared" si="13"/>
        <v/>
      </c>
      <c r="I208">
        <f>IF(H208="",0,IFERROR(INDEX(Config!$I$4:$I$6,MATCH(H208,Config!$H$4:$H$6,0)),0))</f>
        <v>0</v>
      </c>
      <c r="J208" t="str">
        <f t="shared" si="14"/>
        <v/>
      </c>
      <c r="K208" s="5" t="str">
        <f t="shared" si="15"/>
        <v/>
      </c>
      <c r="L208">
        <f>IF(A208="",999,IFERROR(MATCH(B208,Config!$A$4:$A$7,0),99)*10+IF(ISNUMBER(F208),1,IF(F208="",2,IF(UPPER(F208)="DNF",3,IF(UPPER(F208)="DNS",4,8)))))</f>
        <v>999</v>
      </c>
    </row>
    <row r="209" spans="2:12" x14ac:dyDescent="0.25">
      <c r="B209" t="str">
        <f>IF(A209="","",IFERROR(INDEX(tblReg[Field],MATCH(A209,tblReg[Bib],0)),""))</f>
        <v/>
      </c>
      <c r="C209" t="str">
        <f>IF(A209="","",IFERROR(INDEX(tblReg[FirstName],MATCH(A209,tblReg[Bib],0)),""))</f>
        <v/>
      </c>
      <c r="D209" t="str">
        <f>IF(A209="","",IFERROR(INDEX(tblReg[LastName],MATCH(A209,tblReg[Bib],0)),""))</f>
        <v/>
      </c>
      <c r="E209" t="str">
        <f>IF(A209="","",IFERROR(INDEX(tblReg[Team],MATCH(A209,tblReg[Bib],0)),""))</f>
        <v/>
      </c>
      <c r="F209" s="4" t="s">
        <v>103</v>
      </c>
      <c r="G209" t="str">
        <f t="shared" si="12"/>
        <v/>
      </c>
      <c r="H209" t="str">
        <f t="shared" si="13"/>
        <v/>
      </c>
      <c r="I209">
        <f>IF(H209="",0,IFERROR(INDEX(Config!$I$4:$I$6,MATCH(H209,Config!$H$4:$H$6,0)),0))</f>
        <v>0</v>
      </c>
      <c r="J209" t="str">
        <f t="shared" si="14"/>
        <v/>
      </c>
      <c r="K209" s="5" t="str">
        <f t="shared" si="15"/>
        <v/>
      </c>
      <c r="L209">
        <f>IF(A209="",999,IFERROR(MATCH(B209,Config!$A$4:$A$7,0),99)*10+IF(ISNUMBER(F209),1,IF(F209="",2,IF(UPPER(F209)="DNF",3,IF(UPPER(F209)="DNS",4,8)))))</f>
        <v>999</v>
      </c>
    </row>
    <row r="210" spans="2:12" x14ac:dyDescent="0.25">
      <c r="B210" t="str">
        <f>IF(A210="","",IFERROR(INDEX(tblReg[Field],MATCH(A210,tblReg[Bib],0)),""))</f>
        <v/>
      </c>
      <c r="C210" t="str">
        <f>IF(A210="","",IFERROR(INDEX(tblReg[FirstName],MATCH(A210,tblReg[Bib],0)),""))</f>
        <v/>
      </c>
      <c r="D210" t="str">
        <f>IF(A210="","",IFERROR(INDEX(tblReg[LastName],MATCH(A210,tblReg[Bib],0)),""))</f>
        <v/>
      </c>
      <c r="E210" t="str">
        <f>IF(A210="","",IFERROR(INDEX(tblReg[Team],MATCH(A210,tblReg[Bib],0)),""))</f>
        <v/>
      </c>
      <c r="F210" s="4" t="s">
        <v>103</v>
      </c>
      <c r="G210" t="str">
        <f t="shared" si="12"/>
        <v/>
      </c>
      <c r="H210" t="str">
        <f t="shared" si="13"/>
        <v/>
      </c>
      <c r="I210">
        <f>IF(H210="",0,IFERROR(INDEX(Config!$I$4:$I$6,MATCH(H210,Config!$H$4:$H$6,0)),0))</f>
        <v>0</v>
      </c>
      <c r="J210" t="str">
        <f t="shared" si="14"/>
        <v/>
      </c>
      <c r="K210" s="5" t="str">
        <f t="shared" si="15"/>
        <v/>
      </c>
      <c r="L210">
        <f>IF(A210="",999,IFERROR(MATCH(B210,Config!$A$4:$A$7,0),99)*10+IF(ISNUMBER(F210),1,IF(F210="",2,IF(UPPER(F210)="DNF",3,IF(UPPER(F210)="DNS",4,8)))))</f>
        <v>999</v>
      </c>
    </row>
    <row r="211" spans="2:12" x14ac:dyDescent="0.25">
      <c r="B211" t="str">
        <f>IF(A211="","",IFERROR(INDEX(tblReg[Field],MATCH(A211,tblReg[Bib],0)),""))</f>
        <v/>
      </c>
      <c r="C211" t="str">
        <f>IF(A211="","",IFERROR(INDEX(tblReg[FirstName],MATCH(A211,tblReg[Bib],0)),""))</f>
        <v/>
      </c>
      <c r="D211" t="str">
        <f>IF(A211="","",IFERROR(INDEX(tblReg[LastName],MATCH(A211,tblReg[Bib],0)),""))</f>
        <v/>
      </c>
      <c r="E211" t="str">
        <f>IF(A211="","",IFERROR(INDEX(tblReg[Team],MATCH(A211,tblReg[Bib],0)),""))</f>
        <v/>
      </c>
      <c r="F211" s="4" t="s">
        <v>103</v>
      </c>
      <c r="G211" t="str">
        <f t="shared" si="12"/>
        <v/>
      </c>
      <c r="H211" t="str">
        <f t="shared" si="13"/>
        <v/>
      </c>
      <c r="I211">
        <f>IF(H211="",0,IFERROR(INDEX(Config!$I$4:$I$6,MATCH(H211,Config!$H$4:$H$6,0)),0))</f>
        <v>0</v>
      </c>
      <c r="J211" t="str">
        <f t="shared" si="14"/>
        <v/>
      </c>
      <c r="K211" s="5" t="str">
        <f t="shared" si="15"/>
        <v/>
      </c>
      <c r="L211">
        <f>IF(A211="",999,IFERROR(MATCH(B211,Config!$A$4:$A$7,0),99)*10+IF(ISNUMBER(F211),1,IF(F211="",2,IF(UPPER(F211)="DNF",3,IF(UPPER(F211)="DNS",4,8)))))</f>
        <v>999</v>
      </c>
    </row>
    <row r="212" spans="2:12" x14ac:dyDescent="0.25">
      <c r="B212" t="str">
        <f>IF(A212="","",IFERROR(INDEX(tblReg[Field],MATCH(A212,tblReg[Bib],0)),""))</f>
        <v/>
      </c>
      <c r="C212" t="str">
        <f>IF(A212="","",IFERROR(INDEX(tblReg[FirstName],MATCH(A212,tblReg[Bib],0)),""))</f>
        <v/>
      </c>
      <c r="D212" t="str">
        <f>IF(A212="","",IFERROR(INDEX(tblReg[LastName],MATCH(A212,tblReg[Bib],0)),""))</f>
        <v/>
      </c>
      <c r="E212" t="str">
        <f>IF(A212="","",IFERROR(INDEX(tblReg[Team],MATCH(A212,tblReg[Bib],0)),""))</f>
        <v/>
      </c>
      <c r="F212" s="4" t="s">
        <v>103</v>
      </c>
      <c r="G212" t="str">
        <f t="shared" si="12"/>
        <v/>
      </c>
      <c r="H212" t="str">
        <f t="shared" si="13"/>
        <v/>
      </c>
      <c r="I212">
        <f>IF(H212="",0,IFERROR(INDEX(Config!$I$4:$I$6,MATCH(H212,Config!$H$4:$H$6,0)),0))</f>
        <v>0</v>
      </c>
      <c r="J212" t="str">
        <f t="shared" si="14"/>
        <v/>
      </c>
      <c r="K212" s="5" t="str">
        <f t="shared" si="15"/>
        <v/>
      </c>
      <c r="L212">
        <f>IF(A212="",999,IFERROR(MATCH(B212,Config!$A$4:$A$7,0),99)*10+IF(ISNUMBER(F212),1,IF(F212="",2,IF(UPPER(F212)="DNF",3,IF(UPPER(F212)="DNS",4,8)))))</f>
        <v>999</v>
      </c>
    </row>
    <row r="213" spans="2:12" x14ac:dyDescent="0.25">
      <c r="B213" t="str">
        <f>IF(A213="","",IFERROR(INDEX(tblReg[Field],MATCH(A213,tblReg[Bib],0)),""))</f>
        <v/>
      </c>
      <c r="C213" t="str">
        <f>IF(A213="","",IFERROR(INDEX(tblReg[FirstName],MATCH(A213,tblReg[Bib],0)),""))</f>
        <v/>
      </c>
      <c r="D213" t="str">
        <f>IF(A213="","",IFERROR(INDEX(tblReg[LastName],MATCH(A213,tblReg[Bib],0)),""))</f>
        <v/>
      </c>
      <c r="E213" t="str">
        <f>IF(A213="","",IFERROR(INDEX(tblReg[Team],MATCH(A213,tblReg[Bib],0)),""))</f>
        <v/>
      </c>
      <c r="F213" s="4" t="s">
        <v>103</v>
      </c>
      <c r="G213" t="str">
        <f t="shared" si="12"/>
        <v/>
      </c>
      <c r="H213" t="str">
        <f t="shared" si="13"/>
        <v/>
      </c>
      <c r="I213">
        <f>IF(H213="",0,IFERROR(INDEX(Config!$I$4:$I$6,MATCH(H213,Config!$H$4:$H$6,0)),0))</f>
        <v>0</v>
      </c>
      <c r="J213" t="str">
        <f t="shared" si="14"/>
        <v/>
      </c>
      <c r="K213" s="5" t="str">
        <f t="shared" si="15"/>
        <v/>
      </c>
      <c r="L213">
        <f>IF(A213="",999,IFERROR(MATCH(B213,Config!$A$4:$A$7,0),99)*10+IF(ISNUMBER(F213),1,IF(F213="",2,IF(UPPER(F213)="DNF",3,IF(UPPER(F213)="DNS",4,8)))))</f>
        <v>999</v>
      </c>
    </row>
    <row r="214" spans="2:12" x14ac:dyDescent="0.25">
      <c r="B214" t="str">
        <f>IF(A214="","",IFERROR(INDEX(tblReg[Field],MATCH(A214,tblReg[Bib],0)),""))</f>
        <v/>
      </c>
      <c r="C214" t="str">
        <f>IF(A214="","",IFERROR(INDEX(tblReg[FirstName],MATCH(A214,tblReg[Bib],0)),""))</f>
        <v/>
      </c>
      <c r="D214" t="str">
        <f>IF(A214="","",IFERROR(INDEX(tblReg[LastName],MATCH(A214,tblReg[Bib],0)),""))</f>
        <v/>
      </c>
      <c r="E214" t="str">
        <f>IF(A214="","",IFERROR(INDEX(tblReg[Team],MATCH(A214,tblReg[Bib],0)),""))</f>
        <v/>
      </c>
      <c r="F214" s="4" t="s">
        <v>103</v>
      </c>
      <c r="G214" t="str">
        <f t="shared" si="12"/>
        <v/>
      </c>
      <c r="H214" t="str">
        <f t="shared" si="13"/>
        <v/>
      </c>
      <c r="I214">
        <f>IF(H214="",0,IFERROR(INDEX(Config!$I$4:$I$6,MATCH(H214,Config!$H$4:$H$6,0)),0))</f>
        <v>0</v>
      </c>
      <c r="J214" t="str">
        <f t="shared" si="14"/>
        <v/>
      </c>
      <c r="K214" s="5" t="str">
        <f t="shared" si="15"/>
        <v/>
      </c>
      <c r="L214">
        <f>IF(A214="",999,IFERROR(MATCH(B214,Config!$A$4:$A$7,0),99)*10+IF(ISNUMBER(F214),1,IF(F214="",2,IF(UPPER(F214)="DNF",3,IF(UPPER(F214)="DNS",4,8)))))</f>
        <v>999</v>
      </c>
    </row>
    <row r="215" spans="2:12" x14ac:dyDescent="0.25">
      <c r="B215" t="str">
        <f>IF(A215="","",IFERROR(INDEX(tblReg[Field],MATCH(A215,tblReg[Bib],0)),""))</f>
        <v/>
      </c>
      <c r="C215" t="str">
        <f>IF(A215="","",IFERROR(INDEX(tblReg[FirstName],MATCH(A215,tblReg[Bib],0)),""))</f>
        <v/>
      </c>
      <c r="D215" t="str">
        <f>IF(A215="","",IFERROR(INDEX(tblReg[LastName],MATCH(A215,tblReg[Bib],0)),""))</f>
        <v/>
      </c>
      <c r="E215" t="str">
        <f>IF(A215="","",IFERROR(INDEX(tblReg[Team],MATCH(A215,tblReg[Bib],0)),""))</f>
        <v/>
      </c>
      <c r="F215" s="4" t="s">
        <v>103</v>
      </c>
      <c r="G215" t="str">
        <f t="shared" si="12"/>
        <v/>
      </c>
      <c r="H215" t="str">
        <f t="shared" si="13"/>
        <v/>
      </c>
      <c r="I215">
        <f>IF(H215="",0,IFERROR(INDEX(Config!$I$4:$I$6,MATCH(H215,Config!$H$4:$H$6,0)),0))</f>
        <v>0</v>
      </c>
      <c r="J215" t="str">
        <f t="shared" si="14"/>
        <v/>
      </c>
      <c r="K215" s="5" t="str">
        <f t="shared" si="15"/>
        <v/>
      </c>
      <c r="L215">
        <f>IF(A215="",999,IFERROR(MATCH(B215,Config!$A$4:$A$7,0),99)*10+IF(ISNUMBER(F215),1,IF(F215="",2,IF(UPPER(F215)="DNF",3,IF(UPPER(F215)="DNS",4,8)))))</f>
        <v>999</v>
      </c>
    </row>
    <row r="216" spans="2:12" x14ac:dyDescent="0.25">
      <c r="B216" t="str">
        <f>IF(A216="","",IFERROR(INDEX(tblReg[Field],MATCH(A216,tblReg[Bib],0)),""))</f>
        <v/>
      </c>
      <c r="C216" t="str">
        <f>IF(A216="","",IFERROR(INDEX(tblReg[FirstName],MATCH(A216,tblReg[Bib],0)),""))</f>
        <v/>
      </c>
      <c r="D216" t="str">
        <f>IF(A216="","",IFERROR(INDEX(tblReg[LastName],MATCH(A216,tblReg[Bib],0)),""))</f>
        <v/>
      </c>
      <c r="E216" t="str">
        <f>IF(A216="","",IFERROR(INDEX(tblReg[Team],MATCH(A216,tblReg[Bib],0)),""))</f>
        <v/>
      </c>
      <c r="F216" s="4" t="s">
        <v>103</v>
      </c>
      <c r="G216" t="str">
        <f t="shared" si="12"/>
        <v/>
      </c>
      <c r="H216" t="str">
        <f t="shared" si="13"/>
        <v/>
      </c>
      <c r="I216">
        <f>IF(H216="",0,IFERROR(INDEX(Config!$I$4:$I$6,MATCH(H216,Config!$H$4:$H$6,0)),0))</f>
        <v>0</v>
      </c>
      <c r="J216" t="str">
        <f t="shared" si="14"/>
        <v/>
      </c>
      <c r="K216" s="5" t="str">
        <f t="shared" si="15"/>
        <v/>
      </c>
      <c r="L216">
        <f>IF(A216="",999,IFERROR(MATCH(B216,Config!$A$4:$A$7,0),99)*10+IF(ISNUMBER(F216),1,IF(F216="",2,IF(UPPER(F216)="DNF",3,IF(UPPER(F216)="DNS",4,8)))))</f>
        <v>999</v>
      </c>
    </row>
    <row r="217" spans="2:12" x14ac:dyDescent="0.25">
      <c r="B217" t="str">
        <f>IF(A217="","",IFERROR(INDEX(tblReg[Field],MATCH(A217,tblReg[Bib],0)),""))</f>
        <v/>
      </c>
      <c r="C217" t="str">
        <f>IF(A217="","",IFERROR(INDEX(tblReg[FirstName],MATCH(A217,tblReg[Bib],0)),""))</f>
        <v/>
      </c>
      <c r="D217" t="str">
        <f>IF(A217="","",IFERROR(INDEX(tblReg[LastName],MATCH(A217,tblReg[Bib],0)),""))</f>
        <v/>
      </c>
      <c r="E217" t="str">
        <f>IF(A217="","",IFERROR(INDEX(tblReg[Team],MATCH(A217,tblReg[Bib],0)),""))</f>
        <v/>
      </c>
      <c r="F217" s="4" t="s">
        <v>103</v>
      </c>
      <c r="G217" t="str">
        <f t="shared" si="12"/>
        <v/>
      </c>
      <c r="H217" t="str">
        <f t="shared" si="13"/>
        <v/>
      </c>
      <c r="I217">
        <f>IF(H217="",0,IFERROR(INDEX(Config!$I$4:$I$6,MATCH(H217,Config!$H$4:$H$6,0)),0))</f>
        <v>0</v>
      </c>
      <c r="J217" t="str">
        <f t="shared" si="14"/>
        <v/>
      </c>
      <c r="K217" s="5" t="str">
        <f t="shared" si="15"/>
        <v/>
      </c>
      <c r="L217">
        <f>IF(A217="",999,IFERROR(MATCH(B217,Config!$A$4:$A$7,0),99)*10+IF(ISNUMBER(F217),1,IF(F217="",2,IF(UPPER(F217)="DNF",3,IF(UPPER(F217)="DNS",4,8)))))</f>
        <v>999</v>
      </c>
    </row>
    <row r="218" spans="2:12" x14ac:dyDescent="0.25">
      <c r="B218" t="str">
        <f>IF(A218="","",IFERROR(INDEX(tblReg[Field],MATCH(A218,tblReg[Bib],0)),""))</f>
        <v/>
      </c>
      <c r="C218" t="str">
        <f>IF(A218="","",IFERROR(INDEX(tblReg[FirstName],MATCH(A218,tblReg[Bib],0)),""))</f>
        <v/>
      </c>
      <c r="D218" t="str">
        <f>IF(A218="","",IFERROR(INDEX(tblReg[LastName],MATCH(A218,tblReg[Bib],0)),""))</f>
        <v/>
      </c>
      <c r="E218" t="str">
        <f>IF(A218="","",IFERROR(INDEX(tblReg[Team],MATCH(A218,tblReg[Bib],0)),""))</f>
        <v/>
      </c>
      <c r="F218" s="4" t="s">
        <v>103</v>
      </c>
      <c r="G218" t="str">
        <f t="shared" si="12"/>
        <v/>
      </c>
      <c r="H218" t="str">
        <f t="shared" si="13"/>
        <v/>
      </c>
      <c r="I218">
        <f>IF(H218="",0,IFERROR(INDEX(Config!$I$4:$I$6,MATCH(H218,Config!$H$4:$H$6,0)),0))</f>
        <v>0</v>
      </c>
      <c r="J218" t="str">
        <f t="shared" si="14"/>
        <v/>
      </c>
      <c r="K218" s="5" t="str">
        <f t="shared" si="15"/>
        <v/>
      </c>
      <c r="L218">
        <f>IF(A218="",999,IFERROR(MATCH(B218,Config!$A$4:$A$7,0),99)*10+IF(ISNUMBER(F218),1,IF(F218="",2,IF(UPPER(F218)="DNF",3,IF(UPPER(F218)="DNS",4,8)))))</f>
        <v>999</v>
      </c>
    </row>
    <row r="219" spans="2:12" x14ac:dyDescent="0.25">
      <c r="B219" t="str">
        <f>IF(A219="","",IFERROR(INDEX(tblReg[Field],MATCH(A219,tblReg[Bib],0)),""))</f>
        <v/>
      </c>
      <c r="C219" t="str">
        <f>IF(A219="","",IFERROR(INDEX(tblReg[FirstName],MATCH(A219,tblReg[Bib],0)),""))</f>
        <v/>
      </c>
      <c r="D219" t="str">
        <f>IF(A219="","",IFERROR(INDEX(tblReg[LastName],MATCH(A219,tblReg[Bib],0)),""))</f>
        <v/>
      </c>
      <c r="E219" t="str">
        <f>IF(A219="","",IFERROR(INDEX(tblReg[Team],MATCH(A219,tblReg[Bib],0)),""))</f>
        <v/>
      </c>
      <c r="F219" s="4" t="s">
        <v>103</v>
      </c>
      <c r="G219" t="str">
        <f t="shared" si="12"/>
        <v/>
      </c>
      <c r="H219" t="str">
        <f t="shared" si="13"/>
        <v/>
      </c>
      <c r="I219">
        <f>IF(H219="",0,IFERROR(INDEX(Config!$I$4:$I$6,MATCH(H219,Config!$H$4:$H$6,0)),0))</f>
        <v>0</v>
      </c>
      <c r="J219" t="str">
        <f t="shared" si="14"/>
        <v/>
      </c>
      <c r="K219" s="5" t="str">
        <f t="shared" si="15"/>
        <v/>
      </c>
      <c r="L219">
        <f>IF(A219="",999,IFERROR(MATCH(B219,Config!$A$4:$A$7,0),99)*10+IF(ISNUMBER(F219),1,IF(F219="",2,IF(UPPER(F219)="DNF",3,IF(UPPER(F219)="DNS",4,8)))))</f>
        <v>999</v>
      </c>
    </row>
    <row r="220" spans="2:12" x14ac:dyDescent="0.25">
      <c r="B220" t="str">
        <f>IF(A220="","",IFERROR(INDEX(tblReg[Field],MATCH(A220,tblReg[Bib],0)),""))</f>
        <v/>
      </c>
      <c r="C220" t="str">
        <f>IF(A220="","",IFERROR(INDEX(tblReg[FirstName],MATCH(A220,tblReg[Bib],0)),""))</f>
        <v/>
      </c>
      <c r="D220" t="str">
        <f>IF(A220="","",IFERROR(INDEX(tblReg[LastName],MATCH(A220,tblReg[Bib],0)),""))</f>
        <v/>
      </c>
      <c r="E220" t="str">
        <f>IF(A220="","",IFERROR(INDEX(tblReg[Team],MATCH(A220,tblReg[Bib],0)),""))</f>
        <v/>
      </c>
      <c r="F220" s="4" t="s">
        <v>103</v>
      </c>
      <c r="G220" t="str">
        <f t="shared" si="12"/>
        <v/>
      </c>
      <c r="H220" t="str">
        <f t="shared" si="13"/>
        <v/>
      </c>
      <c r="I220">
        <f>IF(H220="",0,IFERROR(INDEX(Config!$I$4:$I$6,MATCH(H220,Config!$H$4:$H$6,0)),0))</f>
        <v>0</v>
      </c>
      <c r="J220" t="str">
        <f t="shared" si="14"/>
        <v/>
      </c>
      <c r="K220" s="5" t="str">
        <f t="shared" si="15"/>
        <v/>
      </c>
      <c r="L220">
        <f>IF(A220="",999,IFERROR(MATCH(B220,Config!$A$4:$A$7,0),99)*10+IF(ISNUMBER(F220),1,IF(F220="",2,IF(UPPER(F220)="DNF",3,IF(UPPER(F220)="DNS",4,8)))))</f>
        <v>999</v>
      </c>
    </row>
    <row r="221" spans="2:12" x14ac:dyDescent="0.25">
      <c r="B221" t="str">
        <f>IF(A221="","",IFERROR(INDEX(tblReg[Field],MATCH(A221,tblReg[Bib],0)),""))</f>
        <v/>
      </c>
      <c r="C221" t="str">
        <f>IF(A221="","",IFERROR(INDEX(tblReg[FirstName],MATCH(A221,tblReg[Bib],0)),""))</f>
        <v/>
      </c>
      <c r="D221" t="str">
        <f>IF(A221="","",IFERROR(INDEX(tblReg[LastName],MATCH(A221,tblReg[Bib],0)),""))</f>
        <v/>
      </c>
      <c r="E221" t="str">
        <f>IF(A221="","",IFERROR(INDEX(tblReg[Team],MATCH(A221,tblReg[Bib],0)),""))</f>
        <v/>
      </c>
      <c r="F221" s="4" t="s">
        <v>103</v>
      </c>
      <c r="G221" t="str">
        <f t="shared" si="12"/>
        <v/>
      </c>
      <c r="H221" t="str">
        <f t="shared" si="13"/>
        <v/>
      </c>
      <c r="I221">
        <f>IF(H221="",0,IFERROR(INDEX(Config!$I$4:$I$6,MATCH(H221,Config!$H$4:$H$6,0)),0))</f>
        <v>0</v>
      </c>
      <c r="J221" t="str">
        <f t="shared" si="14"/>
        <v/>
      </c>
      <c r="K221" s="5" t="str">
        <f t="shared" si="15"/>
        <v/>
      </c>
      <c r="L221">
        <f>IF(A221="",999,IFERROR(MATCH(B221,Config!$A$4:$A$7,0),99)*10+IF(ISNUMBER(F221),1,IF(F221="",2,IF(UPPER(F221)="DNF",3,IF(UPPER(F221)="DNS",4,8)))))</f>
        <v>999</v>
      </c>
    </row>
    <row r="222" spans="2:12" x14ac:dyDescent="0.25">
      <c r="B222" t="str">
        <f>IF(A222="","",IFERROR(INDEX(tblReg[Field],MATCH(A222,tblReg[Bib],0)),""))</f>
        <v/>
      </c>
      <c r="C222" t="str">
        <f>IF(A222="","",IFERROR(INDEX(tblReg[FirstName],MATCH(A222,tblReg[Bib],0)),""))</f>
        <v/>
      </c>
      <c r="D222" t="str">
        <f>IF(A222="","",IFERROR(INDEX(tblReg[LastName],MATCH(A222,tblReg[Bib],0)),""))</f>
        <v/>
      </c>
      <c r="E222" t="str">
        <f>IF(A222="","",IFERROR(INDEX(tblReg[Team],MATCH(A222,tblReg[Bib],0)),""))</f>
        <v/>
      </c>
      <c r="F222" s="4" t="s">
        <v>103</v>
      </c>
      <c r="G222" t="str">
        <f t="shared" si="12"/>
        <v/>
      </c>
      <c r="H222" t="str">
        <f t="shared" si="13"/>
        <v/>
      </c>
      <c r="I222">
        <f>IF(H222="",0,IFERROR(INDEX(Config!$I$4:$I$6,MATCH(H222,Config!$H$4:$H$6,0)),0))</f>
        <v>0</v>
      </c>
      <c r="J222" t="str">
        <f t="shared" si="14"/>
        <v/>
      </c>
      <c r="K222" s="5" t="str">
        <f t="shared" si="15"/>
        <v/>
      </c>
      <c r="L222">
        <f>IF(A222="",999,IFERROR(MATCH(B222,Config!$A$4:$A$7,0),99)*10+IF(ISNUMBER(F222),1,IF(F222="",2,IF(UPPER(F222)="DNF",3,IF(UPPER(F222)="DNS",4,8)))))</f>
        <v>999</v>
      </c>
    </row>
    <row r="223" spans="2:12" x14ac:dyDescent="0.25">
      <c r="B223" t="str">
        <f>IF(A223="","",IFERROR(INDEX(tblReg[Field],MATCH(A223,tblReg[Bib],0)),""))</f>
        <v/>
      </c>
      <c r="C223" t="str">
        <f>IF(A223="","",IFERROR(INDEX(tblReg[FirstName],MATCH(A223,tblReg[Bib],0)),""))</f>
        <v/>
      </c>
      <c r="D223" t="str">
        <f>IF(A223="","",IFERROR(INDEX(tblReg[LastName],MATCH(A223,tblReg[Bib],0)),""))</f>
        <v/>
      </c>
      <c r="E223" t="str">
        <f>IF(A223="","",IFERROR(INDEX(tblReg[Team],MATCH(A223,tblReg[Bib],0)),""))</f>
        <v/>
      </c>
      <c r="F223" s="4" t="s">
        <v>103</v>
      </c>
      <c r="G223" t="str">
        <f t="shared" si="12"/>
        <v/>
      </c>
      <c r="H223" t="str">
        <f t="shared" si="13"/>
        <v/>
      </c>
      <c r="I223">
        <f>IF(H223="",0,IFERROR(INDEX(Config!$I$4:$I$6,MATCH(H223,Config!$H$4:$H$6,0)),0))</f>
        <v>0</v>
      </c>
      <c r="J223" t="str">
        <f t="shared" si="14"/>
        <v/>
      </c>
      <c r="K223" s="5" t="str">
        <f t="shared" si="15"/>
        <v/>
      </c>
      <c r="L223">
        <f>IF(A223="",999,IFERROR(MATCH(B223,Config!$A$4:$A$7,0),99)*10+IF(ISNUMBER(F223),1,IF(F223="",2,IF(UPPER(F223)="DNF",3,IF(UPPER(F223)="DNS",4,8)))))</f>
        <v>999</v>
      </c>
    </row>
    <row r="224" spans="2:12" x14ac:dyDescent="0.25">
      <c r="B224" t="str">
        <f>IF(A224="","",IFERROR(INDEX(tblReg[Field],MATCH(A224,tblReg[Bib],0)),""))</f>
        <v/>
      </c>
      <c r="C224" t="str">
        <f>IF(A224="","",IFERROR(INDEX(tblReg[FirstName],MATCH(A224,tblReg[Bib],0)),""))</f>
        <v/>
      </c>
      <c r="D224" t="str">
        <f>IF(A224="","",IFERROR(INDEX(tblReg[LastName],MATCH(A224,tblReg[Bib],0)),""))</f>
        <v/>
      </c>
      <c r="E224" t="str">
        <f>IF(A224="","",IFERROR(INDEX(tblReg[Team],MATCH(A224,tblReg[Bib],0)),""))</f>
        <v/>
      </c>
      <c r="F224" s="4" t="s">
        <v>103</v>
      </c>
      <c r="G224" t="str">
        <f t="shared" si="12"/>
        <v/>
      </c>
      <c r="H224" t="str">
        <f t="shared" si="13"/>
        <v/>
      </c>
      <c r="I224">
        <f>IF(H224="",0,IFERROR(INDEX(Config!$I$4:$I$6,MATCH(H224,Config!$H$4:$H$6,0)),0))</f>
        <v>0</v>
      </c>
      <c r="J224" t="str">
        <f t="shared" si="14"/>
        <v/>
      </c>
      <c r="K224" s="5" t="str">
        <f t="shared" si="15"/>
        <v/>
      </c>
      <c r="L224">
        <f>IF(A224="",999,IFERROR(MATCH(B224,Config!$A$4:$A$7,0),99)*10+IF(ISNUMBER(F224),1,IF(F224="",2,IF(UPPER(F224)="DNF",3,IF(UPPER(F224)="DNS",4,8)))))</f>
        <v>999</v>
      </c>
    </row>
    <row r="225" spans="2:12" x14ac:dyDescent="0.25">
      <c r="B225" t="str">
        <f>IF(A225="","",IFERROR(INDEX(tblReg[Field],MATCH(A225,tblReg[Bib],0)),""))</f>
        <v/>
      </c>
      <c r="C225" t="str">
        <f>IF(A225="","",IFERROR(INDEX(tblReg[FirstName],MATCH(A225,tblReg[Bib],0)),""))</f>
        <v/>
      </c>
      <c r="D225" t="str">
        <f>IF(A225="","",IFERROR(INDEX(tblReg[LastName],MATCH(A225,tblReg[Bib],0)),""))</f>
        <v/>
      </c>
      <c r="E225" t="str">
        <f>IF(A225="","",IFERROR(INDEX(tblReg[Team],MATCH(A225,tblReg[Bib],0)),""))</f>
        <v/>
      </c>
      <c r="F225" s="4" t="s">
        <v>103</v>
      </c>
      <c r="G225" t="str">
        <f t="shared" si="12"/>
        <v/>
      </c>
      <c r="H225" t="str">
        <f t="shared" si="13"/>
        <v/>
      </c>
      <c r="I225">
        <f>IF(H225="",0,IFERROR(INDEX(Config!$I$4:$I$6,MATCH(H225,Config!$H$4:$H$6,0)),0))</f>
        <v>0</v>
      </c>
      <c r="J225" t="str">
        <f t="shared" si="14"/>
        <v/>
      </c>
      <c r="K225" s="5" t="str">
        <f t="shared" si="15"/>
        <v/>
      </c>
      <c r="L225">
        <f>IF(A225="",999,IFERROR(MATCH(B225,Config!$A$4:$A$7,0),99)*10+IF(ISNUMBER(F225),1,IF(F225="",2,IF(UPPER(F225)="DNF",3,IF(UPPER(F225)="DNS",4,8)))))</f>
        <v>999</v>
      </c>
    </row>
    <row r="226" spans="2:12" x14ac:dyDescent="0.25">
      <c r="B226" t="str">
        <f>IF(A226="","",IFERROR(INDEX(tblReg[Field],MATCH(A226,tblReg[Bib],0)),""))</f>
        <v/>
      </c>
      <c r="C226" t="str">
        <f>IF(A226="","",IFERROR(INDEX(tblReg[FirstName],MATCH(A226,tblReg[Bib],0)),""))</f>
        <v/>
      </c>
      <c r="D226" t="str">
        <f>IF(A226="","",IFERROR(INDEX(tblReg[LastName],MATCH(A226,tblReg[Bib],0)),""))</f>
        <v/>
      </c>
      <c r="E226" t="str">
        <f>IF(A226="","",IFERROR(INDEX(tblReg[Team],MATCH(A226,tblReg[Bib],0)),""))</f>
        <v/>
      </c>
      <c r="F226" s="4" t="s">
        <v>103</v>
      </c>
      <c r="G226" t="str">
        <f t="shared" si="12"/>
        <v/>
      </c>
      <c r="H226" t="str">
        <f t="shared" si="13"/>
        <v/>
      </c>
      <c r="I226">
        <f>IF(H226="",0,IFERROR(INDEX(Config!$I$4:$I$6,MATCH(H226,Config!$H$4:$H$6,0)),0))</f>
        <v>0</v>
      </c>
      <c r="J226" t="str">
        <f t="shared" si="14"/>
        <v/>
      </c>
      <c r="K226" s="5" t="str">
        <f t="shared" si="15"/>
        <v/>
      </c>
      <c r="L226">
        <f>IF(A226="",999,IFERROR(MATCH(B226,Config!$A$4:$A$7,0),99)*10+IF(ISNUMBER(F226),1,IF(F226="",2,IF(UPPER(F226)="DNF",3,IF(UPPER(F226)="DNS",4,8)))))</f>
        <v>999</v>
      </c>
    </row>
    <row r="227" spans="2:12" x14ac:dyDescent="0.25">
      <c r="B227" t="str">
        <f>IF(A227="","",IFERROR(INDEX(tblReg[Field],MATCH(A227,tblReg[Bib],0)),""))</f>
        <v/>
      </c>
      <c r="C227" t="str">
        <f>IF(A227="","",IFERROR(INDEX(tblReg[FirstName],MATCH(A227,tblReg[Bib],0)),""))</f>
        <v/>
      </c>
      <c r="D227" t="str">
        <f>IF(A227="","",IFERROR(INDEX(tblReg[LastName],MATCH(A227,tblReg[Bib],0)),""))</f>
        <v/>
      </c>
      <c r="E227" t="str">
        <f>IF(A227="","",IFERROR(INDEX(tblReg[Team],MATCH(A227,tblReg[Bib],0)),""))</f>
        <v/>
      </c>
      <c r="F227" s="4" t="s">
        <v>103</v>
      </c>
      <c r="G227" t="str">
        <f t="shared" si="12"/>
        <v/>
      </c>
      <c r="H227" t="str">
        <f t="shared" si="13"/>
        <v/>
      </c>
      <c r="I227">
        <f>IF(H227="",0,IFERROR(INDEX(Config!$I$4:$I$6,MATCH(H227,Config!$H$4:$H$6,0)),0))</f>
        <v>0</v>
      </c>
      <c r="J227" t="str">
        <f t="shared" si="14"/>
        <v/>
      </c>
      <c r="K227" s="5" t="str">
        <f t="shared" si="15"/>
        <v/>
      </c>
      <c r="L227">
        <f>IF(A227="",999,IFERROR(MATCH(B227,Config!$A$4:$A$7,0),99)*10+IF(ISNUMBER(F227),1,IF(F227="",2,IF(UPPER(F227)="DNF",3,IF(UPPER(F227)="DNS",4,8)))))</f>
        <v>999</v>
      </c>
    </row>
    <row r="228" spans="2:12" x14ac:dyDescent="0.25">
      <c r="B228" t="str">
        <f>IF(A228="","",IFERROR(INDEX(tblReg[Field],MATCH(A228,tblReg[Bib],0)),""))</f>
        <v/>
      </c>
      <c r="C228" t="str">
        <f>IF(A228="","",IFERROR(INDEX(tblReg[FirstName],MATCH(A228,tblReg[Bib],0)),""))</f>
        <v/>
      </c>
      <c r="D228" t="str">
        <f>IF(A228="","",IFERROR(INDEX(tblReg[LastName],MATCH(A228,tblReg[Bib],0)),""))</f>
        <v/>
      </c>
      <c r="E228" t="str">
        <f>IF(A228="","",IFERROR(INDEX(tblReg[Team],MATCH(A228,tblReg[Bib],0)),""))</f>
        <v/>
      </c>
      <c r="F228" s="4" t="s">
        <v>103</v>
      </c>
      <c r="G228" t="str">
        <f t="shared" si="12"/>
        <v/>
      </c>
      <c r="H228" t="str">
        <f t="shared" si="13"/>
        <v/>
      </c>
      <c r="I228">
        <f>IF(H228="",0,IFERROR(INDEX(Config!$I$4:$I$6,MATCH(H228,Config!$H$4:$H$6,0)),0))</f>
        <v>0</v>
      </c>
      <c r="J228" t="str">
        <f t="shared" si="14"/>
        <v/>
      </c>
      <c r="K228" s="5" t="str">
        <f t="shared" si="15"/>
        <v/>
      </c>
      <c r="L228">
        <f>IF(A228="",999,IFERROR(MATCH(B228,Config!$A$4:$A$7,0),99)*10+IF(ISNUMBER(F228),1,IF(F228="",2,IF(UPPER(F228)="DNF",3,IF(UPPER(F228)="DNS",4,8)))))</f>
        <v>999</v>
      </c>
    </row>
    <row r="229" spans="2:12" x14ac:dyDescent="0.25">
      <c r="B229" t="str">
        <f>IF(A229="","",IFERROR(INDEX(tblReg[Field],MATCH(A229,tblReg[Bib],0)),""))</f>
        <v/>
      </c>
      <c r="C229" t="str">
        <f>IF(A229="","",IFERROR(INDEX(tblReg[FirstName],MATCH(A229,tblReg[Bib],0)),""))</f>
        <v/>
      </c>
      <c r="D229" t="str">
        <f>IF(A229="","",IFERROR(INDEX(tblReg[LastName],MATCH(A229,tblReg[Bib],0)),""))</f>
        <v/>
      </c>
      <c r="E229" t="str">
        <f>IF(A229="","",IFERROR(INDEX(tblReg[Team],MATCH(A229,tblReg[Bib],0)),""))</f>
        <v/>
      </c>
      <c r="F229" s="4" t="s">
        <v>103</v>
      </c>
      <c r="G229" t="str">
        <f t="shared" si="12"/>
        <v/>
      </c>
      <c r="H229" t="str">
        <f t="shared" si="13"/>
        <v/>
      </c>
      <c r="I229">
        <f>IF(H229="",0,IFERROR(INDEX(Config!$I$4:$I$6,MATCH(H229,Config!$H$4:$H$6,0)),0))</f>
        <v>0</v>
      </c>
      <c r="J229" t="str">
        <f t="shared" si="14"/>
        <v/>
      </c>
      <c r="K229" s="5" t="str">
        <f t="shared" si="15"/>
        <v/>
      </c>
      <c r="L229">
        <f>IF(A229="",999,IFERROR(MATCH(B229,Config!$A$4:$A$7,0),99)*10+IF(ISNUMBER(F229),1,IF(F229="",2,IF(UPPER(F229)="DNF",3,IF(UPPER(F229)="DNS",4,8)))))</f>
        <v>999</v>
      </c>
    </row>
    <row r="230" spans="2:12" x14ac:dyDescent="0.25">
      <c r="B230" t="str">
        <f>IF(A230="","",IFERROR(INDEX(tblReg[Field],MATCH(A230,tblReg[Bib],0)),""))</f>
        <v/>
      </c>
      <c r="C230" t="str">
        <f>IF(A230="","",IFERROR(INDEX(tblReg[FirstName],MATCH(A230,tblReg[Bib],0)),""))</f>
        <v/>
      </c>
      <c r="D230" t="str">
        <f>IF(A230="","",IFERROR(INDEX(tblReg[LastName],MATCH(A230,tblReg[Bib],0)),""))</f>
        <v/>
      </c>
      <c r="E230" t="str">
        <f>IF(A230="","",IFERROR(INDEX(tblReg[Team],MATCH(A230,tblReg[Bib],0)),""))</f>
        <v/>
      </c>
      <c r="F230" s="4" t="s">
        <v>103</v>
      </c>
      <c r="G230" t="str">
        <f t="shared" si="12"/>
        <v/>
      </c>
      <c r="H230" t="str">
        <f t="shared" si="13"/>
        <v/>
      </c>
      <c r="I230">
        <f>IF(H230="",0,IFERROR(INDEX(Config!$I$4:$I$6,MATCH(H230,Config!$H$4:$H$6,0)),0))</f>
        <v>0</v>
      </c>
      <c r="J230" t="str">
        <f t="shared" si="14"/>
        <v/>
      </c>
      <c r="K230" s="5" t="str">
        <f t="shared" si="15"/>
        <v/>
      </c>
      <c r="L230">
        <f>IF(A230="",999,IFERROR(MATCH(B230,Config!$A$4:$A$7,0),99)*10+IF(ISNUMBER(F230),1,IF(F230="",2,IF(UPPER(F230)="DNF",3,IF(UPPER(F230)="DNS",4,8)))))</f>
        <v>999</v>
      </c>
    </row>
    <row r="231" spans="2:12" x14ac:dyDescent="0.25">
      <c r="B231" t="str">
        <f>IF(A231="","",IFERROR(INDEX(tblReg[Field],MATCH(A231,tblReg[Bib],0)),""))</f>
        <v/>
      </c>
      <c r="C231" t="str">
        <f>IF(A231="","",IFERROR(INDEX(tblReg[FirstName],MATCH(A231,tblReg[Bib],0)),""))</f>
        <v/>
      </c>
      <c r="D231" t="str">
        <f>IF(A231="","",IFERROR(INDEX(tblReg[LastName],MATCH(A231,tblReg[Bib],0)),""))</f>
        <v/>
      </c>
      <c r="E231" t="str">
        <f>IF(A231="","",IFERROR(INDEX(tblReg[Team],MATCH(A231,tblReg[Bib],0)),""))</f>
        <v/>
      </c>
      <c r="F231" s="4" t="s">
        <v>103</v>
      </c>
      <c r="G231" t="str">
        <f t="shared" si="12"/>
        <v/>
      </c>
      <c r="H231" t="str">
        <f t="shared" si="13"/>
        <v/>
      </c>
      <c r="I231">
        <f>IF(H231="",0,IFERROR(INDEX(Config!$I$4:$I$6,MATCH(H231,Config!$H$4:$H$6,0)),0))</f>
        <v>0</v>
      </c>
      <c r="J231" t="str">
        <f t="shared" si="14"/>
        <v/>
      </c>
      <c r="K231" s="5" t="str">
        <f t="shared" si="15"/>
        <v/>
      </c>
      <c r="L231">
        <f>IF(A231="",999,IFERROR(MATCH(B231,Config!$A$4:$A$7,0),99)*10+IF(ISNUMBER(F231),1,IF(F231="",2,IF(UPPER(F231)="DNF",3,IF(UPPER(F231)="DNS",4,8)))))</f>
        <v>999</v>
      </c>
    </row>
    <row r="232" spans="2:12" x14ac:dyDescent="0.25">
      <c r="B232" t="str">
        <f>IF(A232="","",IFERROR(INDEX(tblReg[Field],MATCH(A232,tblReg[Bib],0)),""))</f>
        <v/>
      </c>
      <c r="C232" t="str">
        <f>IF(A232="","",IFERROR(INDEX(tblReg[FirstName],MATCH(A232,tblReg[Bib],0)),""))</f>
        <v/>
      </c>
      <c r="D232" t="str">
        <f>IF(A232="","",IFERROR(INDEX(tblReg[LastName],MATCH(A232,tblReg[Bib],0)),""))</f>
        <v/>
      </c>
      <c r="E232" t="str">
        <f>IF(A232="","",IFERROR(INDEX(tblReg[Team],MATCH(A232,tblReg[Bib],0)),""))</f>
        <v/>
      </c>
      <c r="F232" s="4" t="s">
        <v>103</v>
      </c>
      <c r="G232" t="str">
        <f t="shared" si="12"/>
        <v/>
      </c>
      <c r="H232" t="str">
        <f t="shared" si="13"/>
        <v/>
      </c>
      <c r="I232">
        <f>IF(H232="",0,IFERROR(INDEX(Config!$I$4:$I$6,MATCH(H232,Config!$H$4:$H$6,0)),0))</f>
        <v>0</v>
      </c>
      <c r="J232" t="str">
        <f t="shared" si="14"/>
        <v/>
      </c>
      <c r="K232" s="5" t="str">
        <f t="shared" si="15"/>
        <v/>
      </c>
      <c r="L232">
        <f>IF(A232="",999,IFERROR(MATCH(B232,Config!$A$4:$A$7,0),99)*10+IF(ISNUMBER(F232),1,IF(F232="",2,IF(UPPER(F232)="DNF",3,IF(UPPER(F232)="DNS",4,8)))))</f>
        <v>999</v>
      </c>
    </row>
    <row r="233" spans="2:12" x14ac:dyDescent="0.25">
      <c r="B233" t="str">
        <f>IF(A233="","",IFERROR(INDEX(tblReg[Field],MATCH(A233,tblReg[Bib],0)),""))</f>
        <v/>
      </c>
      <c r="C233" t="str">
        <f>IF(A233="","",IFERROR(INDEX(tblReg[FirstName],MATCH(A233,tblReg[Bib],0)),""))</f>
        <v/>
      </c>
      <c r="D233" t="str">
        <f>IF(A233="","",IFERROR(INDEX(tblReg[LastName],MATCH(A233,tblReg[Bib],0)),""))</f>
        <v/>
      </c>
      <c r="E233" t="str">
        <f>IF(A233="","",IFERROR(INDEX(tblReg[Team],MATCH(A233,tblReg[Bib],0)),""))</f>
        <v/>
      </c>
      <c r="F233" s="4" t="s">
        <v>103</v>
      </c>
      <c r="G233" t="str">
        <f t="shared" si="12"/>
        <v/>
      </c>
      <c r="H233" t="str">
        <f t="shared" si="13"/>
        <v/>
      </c>
      <c r="I233">
        <f>IF(H233="",0,IFERROR(INDEX(Config!$I$4:$I$6,MATCH(H233,Config!$H$4:$H$6,0)),0))</f>
        <v>0</v>
      </c>
      <c r="J233" t="str">
        <f t="shared" si="14"/>
        <v/>
      </c>
      <c r="K233" s="5" t="str">
        <f t="shared" si="15"/>
        <v/>
      </c>
      <c r="L233">
        <f>IF(A233="",999,IFERROR(MATCH(B233,Config!$A$4:$A$7,0),99)*10+IF(ISNUMBER(F233),1,IF(F233="",2,IF(UPPER(F233)="DNF",3,IF(UPPER(F233)="DNS",4,8)))))</f>
        <v>999</v>
      </c>
    </row>
    <row r="234" spans="2:12" x14ac:dyDescent="0.25">
      <c r="B234" t="str">
        <f>IF(A234="","",IFERROR(INDEX(tblReg[Field],MATCH(A234,tblReg[Bib],0)),""))</f>
        <v/>
      </c>
      <c r="C234" t="str">
        <f>IF(A234="","",IFERROR(INDEX(tblReg[FirstName],MATCH(A234,tblReg[Bib],0)),""))</f>
        <v/>
      </c>
      <c r="D234" t="str">
        <f>IF(A234="","",IFERROR(INDEX(tblReg[LastName],MATCH(A234,tblReg[Bib],0)),""))</f>
        <v/>
      </c>
      <c r="E234" t="str">
        <f>IF(A234="","",IFERROR(INDEX(tblReg[Team],MATCH(A234,tblReg[Bib],0)),""))</f>
        <v/>
      </c>
      <c r="F234" s="4" t="s">
        <v>103</v>
      </c>
      <c r="G234" t="str">
        <f t="shared" si="12"/>
        <v/>
      </c>
      <c r="H234" t="str">
        <f t="shared" si="13"/>
        <v/>
      </c>
      <c r="I234">
        <f>IF(H234="",0,IFERROR(INDEX(Config!$I$4:$I$6,MATCH(H234,Config!$H$4:$H$6,0)),0))</f>
        <v>0</v>
      </c>
      <c r="J234" t="str">
        <f t="shared" si="14"/>
        <v/>
      </c>
      <c r="K234" s="5" t="str">
        <f t="shared" si="15"/>
        <v/>
      </c>
      <c r="L234">
        <f>IF(A234="",999,IFERROR(MATCH(B234,Config!$A$4:$A$7,0),99)*10+IF(ISNUMBER(F234),1,IF(F234="",2,IF(UPPER(F234)="DNF",3,IF(UPPER(F234)="DNS",4,8)))))</f>
        <v>999</v>
      </c>
    </row>
    <row r="235" spans="2:12" x14ac:dyDescent="0.25">
      <c r="B235" t="str">
        <f>IF(A235="","",IFERROR(INDEX(tblReg[Field],MATCH(A235,tblReg[Bib],0)),""))</f>
        <v/>
      </c>
      <c r="C235" t="str">
        <f>IF(A235="","",IFERROR(INDEX(tblReg[FirstName],MATCH(A235,tblReg[Bib],0)),""))</f>
        <v/>
      </c>
      <c r="D235" t="str">
        <f>IF(A235="","",IFERROR(INDEX(tblReg[LastName],MATCH(A235,tblReg[Bib],0)),""))</f>
        <v/>
      </c>
      <c r="E235" t="str">
        <f>IF(A235="","",IFERROR(INDEX(tblReg[Team],MATCH(A235,tblReg[Bib],0)),""))</f>
        <v/>
      </c>
      <c r="F235" s="4" t="s">
        <v>103</v>
      </c>
      <c r="G235" t="str">
        <f t="shared" si="12"/>
        <v/>
      </c>
      <c r="H235" t="str">
        <f t="shared" si="13"/>
        <v/>
      </c>
      <c r="I235">
        <f>IF(H235="",0,IFERROR(INDEX(Config!$I$4:$I$6,MATCH(H235,Config!$H$4:$H$6,0)),0))</f>
        <v>0</v>
      </c>
      <c r="J235" t="str">
        <f t="shared" si="14"/>
        <v/>
      </c>
      <c r="K235" s="5" t="str">
        <f t="shared" si="15"/>
        <v/>
      </c>
      <c r="L235">
        <f>IF(A235="",999,IFERROR(MATCH(B235,Config!$A$4:$A$7,0),99)*10+IF(ISNUMBER(F235),1,IF(F235="",2,IF(UPPER(F235)="DNF",3,IF(UPPER(F235)="DNS",4,8)))))</f>
        <v>999</v>
      </c>
    </row>
    <row r="236" spans="2:12" x14ac:dyDescent="0.25">
      <c r="B236" t="str">
        <f>IF(A236="","",IFERROR(INDEX(tblReg[Field],MATCH(A236,tblReg[Bib],0)),""))</f>
        <v/>
      </c>
      <c r="C236" t="str">
        <f>IF(A236="","",IFERROR(INDEX(tblReg[FirstName],MATCH(A236,tblReg[Bib],0)),""))</f>
        <v/>
      </c>
      <c r="D236" t="str">
        <f>IF(A236="","",IFERROR(INDEX(tblReg[LastName],MATCH(A236,tblReg[Bib],0)),""))</f>
        <v/>
      </c>
      <c r="E236" t="str">
        <f>IF(A236="","",IFERROR(INDEX(tblReg[Team],MATCH(A236,tblReg[Bib],0)),""))</f>
        <v/>
      </c>
      <c r="F236" s="4" t="s">
        <v>103</v>
      </c>
      <c r="G236" t="str">
        <f t="shared" si="12"/>
        <v/>
      </c>
      <c r="H236" t="str">
        <f t="shared" si="13"/>
        <v/>
      </c>
      <c r="I236">
        <f>IF(H236="",0,IFERROR(INDEX(Config!$I$4:$I$6,MATCH(H236,Config!$H$4:$H$6,0)),0))</f>
        <v>0</v>
      </c>
      <c r="J236" t="str">
        <f t="shared" si="14"/>
        <v/>
      </c>
      <c r="K236" s="5" t="str">
        <f t="shared" si="15"/>
        <v/>
      </c>
      <c r="L236">
        <f>IF(A236="",999,IFERROR(MATCH(B236,Config!$A$4:$A$7,0),99)*10+IF(ISNUMBER(F236),1,IF(F236="",2,IF(UPPER(F236)="DNF",3,IF(UPPER(F236)="DNS",4,8)))))</f>
        <v>999</v>
      </c>
    </row>
    <row r="237" spans="2:12" x14ac:dyDescent="0.25">
      <c r="B237" t="str">
        <f>IF(A237="","",IFERROR(INDEX(tblReg[Field],MATCH(A237,tblReg[Bib],0)),""))</f>
        <v/>
      </c>
      <c r="C237" t="str">
        <f>IF(A237="","",IFERROR(INDEX(tblReg[FirstName],MATCH(A237,tblReg[Bib],0)),""))</f>
        <v/>
      </c>
      <c r="D237" t="str">
        <f>IF(A237="","",IFERROR(INDEX(tblReg[LastName],MATCH(A237,tblReg[Bib],0)),""))</f>
        <v/>
      </c>
      <c r="E237" t="str">
        <f>IF(A237="","",IFERROR(INDEX(tblReg[Team],MATCH(A237,tblReg[Bib],0)),""))</f>
        <v/>
      </c>
      <c r="F237" s="4" t="s">
        <v>103</v>
      </c>
      <c r="G237" t="str">
        <f t="shared" si="12"/>
        <v/>
      </c>
      <c r="H237" t="str">
        <f t="shared" si="13"/>
        <v/>
      </c>
      <c r="I237">
        <f>IF(H237="",0,IFERROR(INDEX(Config!$I$4:$I$6,MATCH(H237,Config!$H$4:$H$6,0)),0))</f>
        <v>0</v>
      </c>
      <c r="J237" t="str">
        <f t="shared" si="14"/>
        <v/>
      </c>
      <c r="K237" s="5" t="str">
        <f t="shared" si="15"/>
        <v/>
      </c>
      <c r="L237">
        <f>IF(A237="",999,IFERROR(MATCH(B237,Config!$A$4:$A$7,0),99)*10+IF(ISNUMBER(F237),1,IF(F237="",2,IF(UPPER(F237)="DNF",3,IF(UPPER(F237)="DNS",4,8)))))</f>
        <v>999</v>
      </c>
    </row>
    <row r="238" spans="2:12" x14ac:dyDescent="0.25">
      <c r="B238" t="str">
        <f>IF(A238="","",IFERROR(INDEX(tblReg[Field],MATCH(A238,tblReg[Bib],0)),""))</f>
        <v/>
      </c>
      <c r="C238" t="str">
        <f>IF(A238="","",IFERROR(INDEX(tblReg[FirstName],MATCH(A238,tblReg[Bib],0)),""))</f>
        <v/>
      </c>
      <c r="D238" t="str">
        <f>IF(A238="","",IFERROR(INDEX(tblReg[LastName],MATCH(A238,tblReg[Bib],0)),""))</f>
        <v/>
      </c>
      <c r="E238" t="str">
        <f>IF(A238="","",IFERROR(INDEX(tblReg[Team],MATCH(A238,tblReg[Bib],0)),""))</f>
        <v/>
      </c>
      <c r="F238" s="4" t="s">
        <v>103</v>
      </c>
      <c r="G238" t="str">
        <f t="shared" si="12"/>
        <v/>
      </c>
      <c r="H238" t="str">
        <f t="shared" si="13"/>
        <v/>
      </c>
      <c r="I238">
        <f>IF(H238="",0,IFERROR(INDEX(Config!$I$4:$I$6,MATCH(H238,Config!$H$4:$H$6,0)),0))</f>
        <v>0</v>
      </c>
      <c r="J238" t="str">
        <f t="shared" si="14"/>
        <v/>
      </c>
      <c r="K238" s="5" t="str">
        <f t="shared" si="15"/>
        <v/>
      </c>
      <c r="L238">
        <f>IF(A238="",999,IFERROR(MATCH(B238,Config!$A$4:$A$7,0),99)*10+IF(ISNUMBER(F238),1,IF(F238="",2,IF(UPPER(F238)="DNF",3,IF(UPPER(F238)="DNS",4,8)))))</f>
        <v>999</v>
      </c>
    </row>
    <row r="239" spans="2:12" x14ac:dyDescent="0.25">
      <c r="B239" t="str">
        <f>IF(A239="","",IFERROR(INDEX(tblReg[Field],MATCH(A239,tblReg[Bib],0)),""))</f>
        <v/>
      </c>
      <c r="C239" t="str">
        <f>IF(A239="","",IFERROR(INDEX(tblReg[FirstName],MATCH(A239,tblReg[Bib],0)),""))</f>
        <v/>
      </c>
      <c r="D239" t="str">
        <f>IF(A239="","",IFERROR(INDEX(tblReg[LastName],MATCH(A239,tblReg[Bib],0)),""))</f>
        <v/>
      </c>
      <c r="E239" t="str">
        <f>IF(A239="","",IFERROR(INDEX(tblReg[Team],MATCH(A239,tblReg[Bib],0)),""))</f>
        <v/>
      </c>
      <c r="F239" s="4" t="s">
        <v>103</v>
      </c>
      <c r="G239" t="str">
        <f t="shared" si="12"/>
        <v/>
      </c>
      <c r="H239" t="str">
        <f t="shared" si="13"/>
        <v/>
      </c>
      <c r="I239">
        <f>IF(H239="",0,IFERROR(INDEX(Config!$I$4:$I$6,MATCH(H239,Config!$H$4:$H$6,0)),0))</f>
        <v>0</v>
      </c>
      <c r="J239" t="str">
        <f t="shared" si="14"/>
        <v/>
      </c>
      <c r="K239" s="5" t="str">
        <f t="shared" si="15"/>
        <v/>
      </c>
      <c r="L239">
        <f>IF(A239="",999,IFERROR(MATCH(B239,Config!$A$4:$A$7,0),99)*10+IF(ISNUMBER(F239),1,IF(F239="",2,IF(UPPER(F239)="DNF",3,IF(UPPER(F239)="DNS",4,8)))))</f>
        <v>999</v>
      </c>
    </row>
    <row r="240" spans="2:12" x14ac:dyDescent="0.25">
      <c r="B240" t="str">
        <f>IF(A240="","",IFERROR(INDEX(tblReg[Field],MATCH(A240,tblReg[Bib],0)),""))</f>
        <v/>
      </c>
      <c r="C240" t="str">
        <f>IF(A240="","",IFERROR(INDEX(tblReg[FirstName],MATCH(A240,tblReg[Bib],0)),""))</f>
        <v/>
      </c>
      <c r="D240" t="str">
        <f>IF(A240="","",IFERROR(INDEX(tblReg[LastName],MATCH(A240,tblReg[Bib],0)),""))</f>
        <v/>
      </c>
      <c r="E240" t="str">
        <f>IF(A240="","",IFERROR(INDEX(tblReg[Team],MATCH(A240,tblReg[Bib],0)),""))</f>
        <v/>
      </c>
      <c r="F240" s="4" t="s">
        <v>103</v>
      </c>
      <c r="G240" t="str">
        <f t="shared" si="12"/>
        <v/>
      </c>
      <c r="H240" t="str">
        <f t="shared" si="13"/>
        <v/>
      </c>
      <c r="I240">
        <f>IF(H240="",0,IFERROR(INDEX(Config!$I$4:$I$6,MATCH(H240,Config!$H$4:$H$6,0)),0))</f>
        <v>0</v>
      </c>
      <c r="J240" t="str">
        <f t="shared" si="14"/>
        <v/>
      </c>
      <c r="K240" s="5" t="str">
        <f t="shared" si="15"/>
        <v/>
      </c>
      <c r="L240">
        <f>IF(A240="",999,IFERROR(MATCH(B240,Config!$A$4:$A$7,0),99)*10+IF(ISNUMBER(F240),1,IF(F240="",2,IF(UPPER(F240)="DNF",3,IF(UPPER(F240)="DNS",4,8)))))</f>
        <v>999</v>
      </c>
    </row>
    <row r="241" spans="2:12" x14ac:dyDescent="0.25">
      <c r="B241" t="str">
        <f>IF(A241="","",IFERROR(INDEX(tblReg[Field],MATCH(A241,tblReg[Bib],0)),""))</f>
        <v/>
      </c>
      <c r="C241" t="str">
        <f>IF(A241="","",IFERROR(INDEX(tblReg[FirstName],MATCH(A241,tblReg[Bib],0)),""))</f>
        <v/>
      </c>
      <c r="D241" t="str">
        <f>IF(A241="","",IFERROR(INDEX(tblReg[LastName],MATCH(A241,tblReg[Bib],0)),""))</f>
        <v/>
      </c>
      <c r="E241" t="str">
        <f>IF(A241="","",IFERROR(INDEX(tblReg[Team],MATCH(A241,tblReg[Bib],0)),""))</f>
        <v/>
      </c>
      <c r="F241" s="4" t="s">
        <v>103</v>
      </c>
      <c r="G241" t="str">
        <f t="shared" si="12"/>
        <v/>
      </c>
      <c r="H241" t="str">
        <f t="shared" si="13"/>
        <v/>
      </c>
      <c r="I241">
        <f>IF(H241="",0,IFERROR(INDEX(Config!$I$4:$I$6,MATCH(H241,Config!$H$4:$H$6,0)),0))</f>
        <v>0</v>
      </c>
      <c r="J241" t="str">
        <f t="shared" si="14"/>
        <v/>
      </c>
      <c r="K241" s="5" t="str">
        <f t="shared" si="15"/>
        <v/>
      </c>
      <c r="L241">
        <f>IF(A241="",999,IFERROR(MATCH(B241,Config!$A$4:$A$7,0),99)*10+IF(ISNUMBER(F241),1,IF(F241="",2,IF(UPPER(F241)="DNF",3,IF(UPPER(F241)="DNS",4,8)))))</f>
        <v>999</v>
      </c>
    </row>
    <row r="242" spans="2:12" x14ac:dyDescent="0.25">
      <c r="B242" t="str">
        <f>IF(A242="","",IFERROR(INDEX(tblReg[Field],MATCH(A242,tblReg[Bib],0)),""))</f>
        <v/>
      </c>
      <c r="C242" t="str">
        <f>IF(A242="","",IFERROR(INDEX(tblReg[FirstName],MATCH(A242,tblReg[Bib],0)),""))</f>
        <v/>
      </c>
      <c r="D242" t="str">
        <f>IF(A242="","",IFERROR(INDEX(tblReg[LastName],MATCH(A242,tblReg[Bib],0)),""))</f>
        <v/>
      </c>
      <c r="E242" t="str">
        <f>IF(A242="","",IFERROR(INDEX(tblReg[Team],MATCH(A242,tblReg[Bib],0)),""))</f>
        <v/>
      </c>
      <c r="F242" s="4" t="s">
        <v>103</v>
      </c>
      <c r="G242" t="str">
        <f t="shared" si="12"/>
        <v/>
      </c>
      <c r="H242" t="str">
        <f t="shared" si="13"/>
        <v/>
      </c>
      <c r="I242">
        <f>IF(H242="",0,IFERROR(INDEX(Config!$I$4:$I$6,MATCH(H242,Config!$H$4:$H$6,0)),0))</f>
        <v>0</v>
      </c>
      <c r="J242" t="str">
        <f t="shared" si="14"/>
        <v/>
      </c>
      <c r="K242" s="5" t="str">
        <f t="shared" si="15"/>
        <v/>
      </c>
      <c r="L242">
        <f>IF(A242="",999,IFERROR(MATCH(B242,Config!$A$4:$A$7,0),99)*10+IF(ISNUMBER(F242),1,IF(F242="",2,IF(UPPER(F242)="DNF",3,IF(UPPER(F242)="DNS",4,8)))))</f>
        <v>999</v>
      </c>
    </row>
    <row r="243" spans="2:12" x14ac:dyDescent="0.25">
      <c r="B243" t="str">
        <f>IF(A243="","",IFERROR(INDEX(tblReg[Field],MATCH(A243,tblReg[Bib],0)),""))</f>
        <v/>
      </c>
      <c r="C243" t="str">
        <f>IF(A243="","",IFERROR(INDEX(tblReg[FirstName],MATCH(A243,tblReg[Bib],0)),""))</f>
        <v/>
      </c>
      <c r="D243" t="str">
        <f>IF(A243="","",IFERROR(INDEX(tblReg[LastName],MATCH(A243,tblReg[Bib],0)),""))</f>
        <v/>
      </c>
      <c r="E243" t="str">
        <f>IF(A243="","",IFERROR(INDEX(tblReg[Team],MATCH(A243,tblReg[Bib],0)),""))</f>
        <v/>
      </c>
      <c r="F243" s="4" t="s">
        <v>103</v>
      </c>
      <c r="G243" t="str">
        <f t="shared" si="12"/>
        <v/>
      </c>
      <c r="H243" t="str">
        <f t="shared" si="13"/>
        <v/>
      </c>
      <c r="I243">
        <f>IF(H243="",0,IFERROR(INDEX(Config!$I$4:$I$6,MATCH(H243,Config!$H$4:$H$6,0)),0))</f>
        <v>0</v>
      </c>
      <c r="J243" t="str">
        <f t="shared" si="14"/>
        <v/>
      </c>
      <c r="K243" s="5" t="str">
        <f t="shared" si="15"/>
        <v/>
      </c>
      <c r="L243">
        <f>IF(A243="",999,IFERROR(MATCH(B243,Config!$A$4:$A$7,0),99)*10+IF(ISNUMBER(F243),1,IF(F243="",2,IF(UPPER(F243)="DNF",3,IF(UPPER(F243)="DNS",4,8)))))</f>
        <v>999</v>
      </c>
    </row>
    <row r="244" spans="2:12" x14ac:dyDescent="0.25">
      <c r="B244" t="str">
        <f>IF(A244="","",IFERROR(INDEX(tblReg[Field],MATCH(A244,tblReg[Bib],0)),""))</f>
        <v/>
      </c>
      <c r="C244" t="str">
        <f>IF(A244="","",IFERROR(INDEX(tblReg[FirstName],MATCH(A244,tblReg[Bib],0)),""))</f>
        <v/>
      </c>
      <c r="D244" t="str">
        <f>IF(A244="","",IFERROR(INDEX(tblReg[LastName],MATCH(A244,tblReg[Bib],0)),""))</f>
        <v/>
      </c>
      <c r="E244" t="str">
        <f>IF(A244="","",IFERROR(INDEX(tblReg[Team],MATCH(A244,tblReg[Bib],0)),""))</f>
        <v/>
      </c>
      <c r="F244" s="4" t="s">
        <v>103</v>
      </c>
      <c r="G244" t="str">
        <f t="shared" si="12"/>
        <v/>
      </c>
      <c r="H244" t="str">
        <f t="shared" si="13"/>
        <v/>
      </c>
      <c r="I244">
        <f>IF(H244="",0,IFERROR(INDEX(Config!$I$4:$I$6,MATCH(H244,Config!$H$4:$H$6,0)),0))</f>
        <v>0</v>
      </c>
      <c r="J244" t="str">
        <f t="shared" si="14"/>
        <v/>
      </c>
      <c r="K244" s="5" t="str">
        <f t="shared" si="15"/>
        <v/>
      </c>
      <c r="L244">
        <f>IF(A244="",999,IFERROR(MATCH(B244,Config!$A$4:$A$7,0),99)*10+IF(ISNUMBER(F244),1,IF(F244="",2,IF(UPPER(F244)="DNF",3,IF(UPPER(F244)="DNS",4,8)))))</f>
        <v>999</v>
      </c>
    </row>
    <row r="245" spans="2:12" x14ac:dyDescent="0.25">
      <c r="B245" t="str">
        <f>IF(A245="","",IFERROR(INDEX(tblReg[Field],MATCH(A245,tblReg[Bib],0)),""))</f>
        <v/>
      </c>
      <c r="C245" t="str">
        <f>IF(A245="","",IFERROR(INDEX(tblReg[FirstName],MATCH(A245,tblReg[Bib],0)),""))</f>
        <v/>
      </c>
      <c r="D245" t="str">
        <f>IF(A245="","",IFERROR(INDEX(tblReg[LastName],MATCH(A245,tblReg[Bib],0)),""))</f>
        <v/>
      </c>
      <c r="E245" t="str">
        <f>IF(A245="","",IFERROR(INDEX(tblReg[Team],MATCH(A245,tblReg[Bib],0)),""))</f>
        <v/>
      </c>
      <c r="F245" s="4" t="s">
        <v>103</v>
      </c>
      <c r="G245" t="str">
        <f t="shared" si="12"/>
        <v/>
      </c>
      <c r="H245" t="str">
        <f t="shared" si="13"/>
        <v/>
      </c>
      <c r="I245">
        <f>IF(H245="",0,IFERROR(INDEX(Config!$I$4:$I$6,MATCH(H245,Config!$H$4:$H$6,0)),0))</f>
        <v>0</v>
      </c>
      <c r="J245" t="str">
        <f t="shared" si="14"/>
        <v/>
      </c>
      <c r="K245" s="5" t="str">
        <f t="shared" si="15"/>
        <v/>
      </c>
      <c r="L245">
        <f>IF(A245="",999,IFERROR(MATCH(B245,Config!$A$4:$A$7,0),99)*10+IF(ISNUMBER(F245),1,IF(F245="",2,IF(UPPER(F245)="DNF",3,IF(UPPER(F245)="DNS",4,8)))))</f>
        <v>999</v>
      </c>
    </row>
    <row r="246" spans="2:12" x14ac:dyDescent="0.25">
      <c r="B246" t="str">
        <f>IF(A246="","",IFERROR(INDEX(tblReg[Field],MATCH(A246,tblReg[Bib],0)),""))</f>
        <v/>
      </c>
      <c r="C246" t="str">
        <f>IF(A246="","",IFERROR(INDEX(tblReg[FirstName],MATCH(A246,tblReg[Bib],0)),""))</f>
        <v/>
      </c>
      <c r="D246" t="str">
        <f>IF(A246="","",IFERROR(INDEX(tblReg[LastName],MATCH(A246,tblReg[Bib],0)),""))</f>
        <v/>
      </c>
      <c r="E246" t="str">
        <f>IF(A246="","",IFERROR(INDEX(tblReg[Team],MATCH(A246,tblReg[Bib],0)),""))</f>
        <v/>
      </c>
      <c r="F246" s="4" t="s">
        <v>103</v>
      </c>
      <c r="G246" t="str">
        <f t="shared" si="12"/>
        <v/>
      </c>
      <c r="H246" t="str">
        <f t="shared" si="13"/>
        <v/>
      </c>
      <c r="I246">
        <f>IF(H246="",0,IFERROR(INDEX(Config!$I$4:$I$6,MATCH(H246,Config!$H$4:$H$6,0)),0))</f>
        <v>0</v>
      </c>
      <c r="J246" t="str">
        <f t="shared" si="14"/>
        <v/>
      </c>
      <c r="K246" s="5" t="str">
        <f t="shared" si="15"/>
        <v/>
      </c>
      <c r="L246">
        <f>IF(A246="",999,IFERROR(MATCH(B246,Config!$A$4:$A$7,0),99)*10+IF(ISNUMBER(F246),1,IF(F246="",2,IF(UPPER(F246)="DNF",3,IF(UPPER(F246)="DNS",4,8)))))</f>
        <v>999</v>
      </c>
    </row>
    <row r="247" spans="2:12" x14ac:dyDescent="0.25">
      <c r="B247" t="str">
        <f>IF(A247="","",IFERROR(INDEX(tblReg[Field],MATCH(A247,tblReg[Bib],0)),""))</f>
        <v/>
      </c>
      <c r="C247" t="str">
        <f>IF(A247="","",IFERROR(INDEX(tblReg[FirstName],MATCH(A247,tblReg[Bib],0)),""))</f>
        <v/>
      </c>
      <c r="D247" t="str">
        <f>IF(A247="","",IFERROR(INDEX(tblReg[LastName],MATCH(A247,tblReg[Bib],0)),""))</f>
        <v/>
      </c>
      <c r="E247" t="str">
        <f>IF(A247="","",IFERROR(INDEX(tblReg[Team],MATCH(A247,tblReg[Bib],0)),""))</f>
        <v/>
      </c>
      <c r="F247" s="4" t="s">
        <v>103</v>
      </c>
      <c r="G247" t="str">
        <f t="shared" si="12"/>
        <v/>
      </c>
      <c r="H247" t="str">
        <f t="shared" si="13"/>
        <v/>
      </c>
      <c r="I247">
        <f>IF(H247="",0,IFERROR(INDEX(Config!$I$4:$I$6,MATCH(H247,Config!$H$4:$H$6,0)),0))</f>
        <v>0</v>
      </c>
      <c r="J247" t="str">
        <f t="shared" si="14"/>
        <v/>
      </c>
      <c r="K247" s="5" t="str">
        <f t="shared" si="15"/>
        <v/>
      </c>
      <c r="L247">
        <f>IF(A247="",999,IFERROR(MATCH(B247,Config!$A$4:$A$7,0),99)*10+IF(ISNUMBER(F247),1,IF(F247="",2,IF(UPPER(F247)="DNF",3,IF(UPPER(F247)="DNS",4,8)))))</f>
        <v>999</v>
      </c>
    </row>
    <row r="248" spans="2:12" x14ac:dyDescent="0.25">
      <c r="B248" t="str">
        <f>IF(A248="","",IFERROR(INDEX(tblReg[Field],MATCH(A248,tblReg[Bib],0)),""))</f>
        <v/>
      </c>
      <c r="C248" t="str">
        <f>IF(A248="","",IFERROR(INDEX(tblReg[FirstName],MATCH(A248,tblReg[Bib],0)),""))</f>
        <v/>
      </c>
      <c r="D248" t="str">
        <f>IF(A248="","",IFERROR(INDEX(tblReg[LastName],MATCH(A248,tblReg[Bib],0)),""))</f>
        <v/>
      </c>
      <c r="E248" t="str">
        <f>IF(A248="","",IFERROR(INDEX(tblReg[Team],MATCH(A248,tblReg[Bib],0)),""))</f>
        <v/>
      </c>
      <c r="F248" s="4" t="s">
        <v>103</v>
      </c>
      <c r="G248" t="str">
        <f t="shared" si="12"/>
        <v/>
      </c>
      <c r="H248" t="str">
        <f t="shared" si="13"/>
        <v/>
      </c>
      <c r="I248">
        <f>IF(H248="",0,IFERROR(INDEX(Config!$I$4:$I$6,MATCH(H248,Config!$H$4:$H$6,0)),0))</f>
        <v>0</v>
      </c>
      <c r="J248" t="str">
        <f t="shared" si="14"/>
        <v/>
      </c>
      <c r="K248" s="5" t="str">
        <f t="shared" si="15"/>
        <v/>
      </c>
      <c r="L248">
        <f>IF(A248="",999,IFERROR(MATCH(B248,Config!$A$4:$A$7,0),99)*10+IF(ISNUMBER(F248),1,IF(F248="",2,IF(UPPER(F248)="DNF",3,IF(UPPER(F248)="DNS",4,8)))))</f>
        <v>999</v>
      </c>
    </row>
    <row r="249" spans="2:12" x14ac:dyDescent="0.25">
      <c r="B249" t="str">
        <f>IF(A249="","",IFERROR(INDEX(tblReg[Field],MATCH(A249,tblReg[Bib],0)),""))</f>
        <v/>
      </c>
      <c r="C249" t="str">
        <f>IF(A249="","",IFERROR(INDEX(tblReg[FirstName],MATCH(A249,tblReg[Bib],0)),""))</f>
        <v/>
      </c>
      <c r="D249" t="str">
        <f>IF(A249="","",IFERROR(INDEX(tblReg[LastName],MATCH(A249,tblReg[Bib],0)),""))</f>
        <v/>
      </c>
      <c r="E249" t="str">
        <f>IF(A249="","",IFERROR(INDEX(tblReg[Team],MATCH(A249,tblReg[Bib],0)),""))</f>
        <v/>
      </c>
      <c r="F249" s="4" t="s">
        <v>103</v>
      </c>
      <c r="G249" t="str">
        <f t="shared" si="12"/>
        <v/>
      </c>
      <c r="H249" t="str">
        <f t="shared" si="13"/>
        <v/>
      </c>
      <c r="I249">
        <f>IF(H249="",0,IFERROR(INDEX(Config!$I$4:$I$6,MATCH(H249,Config!$H$4:$H$6,0)),0))</f>
        <v>0</v>
      </c>
      <c r="J249" t="str">
        <f t="shared" si="14"/>
        <v/>
      </c>
      <c r="K249" s="5" t="str">
        <f t="shared" si="15"/>
        <v/>
      </c>
      <c r="L249">
        <f>IF(A249="",999,IFERROR(MATCH(B249,Config!$A$4:$A$7,0),99)*10+IF(ISNUMBER(F249),1,IF(F249="",2,IF(UPPER(F249)="DNF",3,IF(UPPER(F249)="DNS",4,8)))))</f>
        <v>999</v>
      </c>
    </row>
    <row r="250" spans="2:12" x14ac:dyDescent="0.25">
      <c r="B250" t="str">
        <f>IF(A250="","",IFERROR(INDEX(tblReg[Field],MATCH(A250,tblReg[Bib],0)),""))</f>
        <v/>
      </c>
      <c r="C250" t="str">
        <f>IF(A250="","",IFERROR(INDEX(tblReg[FirstName],MATCH(A250,tblReg[Bib],0)),""))</f>
        <v/>
      </c>
      <c r="D250" t="str">
        <f>IF(A250="","",IFERROR(INDEX(tblReg[LastName],MATCH(A250,tblReg[Bib],0)),""))</f>
        <v/>
      </c>
      <c r="E250" t="str">
        <f>IF(A250="","",IFERROR(INDEX(tblReg[Team],MATCH(A250,tblReg[Bib],0)),""))</f>
        <v/>
      </c>
      <c r="F250" s="4" t="s">
        <v>103</v>
      </c>
      <c r="G250" t="str">
        <f t="shared" si="12"/>
        <v/>
      </c>
      <c r="H250" t="str">
        <f t="shared" si="13"/>
        <v/>
      </c>
      <c r="I250">
        <f>IF(H250="",0,IFERROR(INDEX(Config!$I$4:$I$6,MATCH(H250,Config!$H$4:$H$6,0)),0))</f>
        <v>0</v>
      </c>
      <c r="J250" t="str">
        <f t="shared" si="14"/>
        <v/>
      </c>
      <c r="K250" s="5" t="str">
        <f t="shared" si="15"/>
        <v/>
      </c>
      <c r="L250">
        <f>IF(A250="",999,IFERROR(MATCH(B250,Config!$A$4:$A$7,0),99)*10+IF(ISNUMBER(F250),1,IF(F250="",2,IF(UPPER(F250)="DNF",3,IF(UPPER(F250)="DNS",4,8)))))</f>
        <v>999</v>
      </c>
    </row>
    <row r="251" spans="2:12" x14ac:dyDescent="0.25">
      <c r="B251" t="str">
        <f>IF(A251="","",IFERROR(INDEX(tblReg[Field],MATCH(A251,tblReg[Bib],0)),""))</f>
        <v/>
      </c>
      <c r="C251" t="str">
        <f>IF(A251="","",IFERROR(INDEX(tblReg[FirstName],MATCH(A251,tblReg[Bib],0)),""))</f>
        <v/>
      </c>
      <c r="D251" t="str">
        <f>IF(A251="","",IFERROR(INDEX(tblReg[LastName],MATCH(A251,tblReg[Bib],0)),""))</f>
        <v/>
      </c>
      <c r="E251" t="str">
        <f>IF(A251="","",IFERROR(INDEX(tblReg[Team],MATCH(A251,tblReg[Bib],0)),""))</f>
        <v/>
      </c>
      <c r="F251" s="4" t="s">
        <v>103</v>
      </c>
      <c r="G251" t="str">
        <f t="shared" si="12"/>
        <v/>
      </c>
      <c r="H251" t="str">
        <f t="shared" si="13"/>
        <v/>
      </c>
      <c r="I251">
        <f>IF(H251="",0,IFERROR(INDEX(Config!$I$4:$I$6,MATCH(H251,Config!$H$4:$H$6,0)),0))</f>
        <v>0</v>
      </c>
      <c r="J251" t="str">
        <f t="shared" si="14"/>
        <v/>
      </c>
      <c r="K251" s="5" t="str">
        <f t="shared" si="15"/>
        <v/>
      </c>
      <c r="L251">
        <f>IF(A251="",999,IFERROR(MATCH(B251,Config!$A$4:$A$7,0),99)*10+IF(ISNUMBER(F251),1,IF(F251="",2,IF(UPPER(F251)="DNF",3,IF(UPPER(F251)="DNS",4,8)))))</f>
        <v>999</v>
      </c>
    </row>
  </sheetData>
  <sheetProtection algorithmName="SHA-512" hashValue="txQcpiQfhsbaeVHtA+R1WzSMnv3637u5Ok2Gf4/4+oSv2D+vxap+Zzdyum+XpaQNLJQWehYteBGe2wAk3FOtUw==" saltValue="iqK/9j+WcjbqYGYJ9gRsKg==" spinCount="100000" sheet="1" objects="1" scenarios="1" formatCells="0" selectLockedCells="1"/>
  <mergeCells count="2">
    <mergeCell ref="M1:O1"/>
    <mergeCell ref="M3:O3"/>
  </mergeCells>
  <dataValidations count="2">
    <dataValidation type="custom" allowBlank="1" showErrorMessage="1" errorTitle="Invalid Stage Entry" error="Enter a valid time or use DNF/DNS." sqref="F10:F251" xr:uid="{00000000-0002-0000-0200-000002000000}">
      <formula1>OR(F2="",UPPER(F2)="DNF",UPPER(F2)="DNS",ISNUMBER(F2))</formula1>
    </dataValidation>
    <dataValidation type="custom" allowBlank="1" showErrorMessage="1" errorTitle="Invalid Stage Entry" error="Enter a valid time or use DNF/DNS." sqref="F2:F251" xr:uid="{00000000-0002-0000-0200-000003000000}">
      <formula1>OR(F2="",UPPER(F2)="DNF",UPPER(F2)="DNS",ISNUMBER(F2))</formula1>
    </dataValidation>
  </dataValidations>
  <pageMargins left="0.7" right="0.7" top="0.75" bottom="0.75" header="0.3" footer="0.3"/>
  <pageSetup orientation="portrait" useFirstPageNumber="1" horizontalDpi="4294967295" verticalDpi="4294967295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00000000-0002-0000-0200-000000000000}">
          <x14:formula1>
            <xm:f>Registration!$A$2:$A$201</xm:f>
          </x14:formula1>
          <xm:sqref>A2:A251</xm:sqref>
        </x14:dataValidation>
        <x14:dataValidation type="list" xr:uid="{00000000-0002-0000-0200-000004000000}">
          <x14:formula1>
            <xm:f>Config!$A$4:$A$7</xm:f>
          </x14:formula1>
          <xm:sqref>N2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O251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cols>
    <col min="1" max="4" width="14" customWidth="1"/>
    <col min="5" max="5" width="18" customWidth="1"/>
    <col min="6" max="11" width="14" customWidth="1"/>
    <col min="12" max="12" width="14" hidden="1" customWidth="1"/>
    <col min="13" max="13" width="14" customWidth="1"/>
  </cols>
  <sheetData>
    <row r="1" spans="1:15" x14ac:dyDescent="0.25">
      <c r="A1" s="2" t="s">
        <v>15</v>
      </c>
      <c r="B1" s="2" t="s">
        <v>18</v>
      </c>
      <c r="C1" s="2" t="s">
        <v>16</v>
      </c>
      <c r="D1" s="2" t="s">
        <v>17</v>
      </c>
      <c r="E1" s="2" t="s">
        <v>19</v>
      </c>
      <c r="F1" s="2" t="s">
        <v>104</v>
      </c>
      <c r="G1" s="2" t="s">
        <v>105</v>
      </c>
      <c r="H1" s="2" t="s">
        <v>106</v>
      </c>
      <c r="I1" s="2" t="s">
        <v>107</v>
      </c>
      <c r="J1" s="2" t="s">
        <v>108</v>
      </c>
      <c r="K1" s="2" t="s">
        <v>109</v>
      </c>
      <c r="L1" s="2" t="s">
        <v>110</v>
      </c>
      <c r="M1" s="9" t="s">
        <v>111</v>
      </c>
      <c r="N1" s="9"/>
      <c r="O1" s="9"/>
    </row>
    <row r="2" spans="1:15" x14ac:dyDescent="0.25">
      <c r="A2">
        <v>1</v>
      </c>
      <c r="B2" t="str">
        <f>IF(A2="","",IFERROR(INDEX(tblReg[Field],MATCH(A2,tblReg[Bib],0)),""))</f>
        <v>Men Under 40</v>
      </c>
      <c r="C2" t="str">
        <f>IF(A2="","",IFERROR(INDEX(tblReg[FirstName],MATCH(A2,tblReg[Bib],0)),""))</f>
        <v>Nora</v>
      </c>
      <c r="D2" t="str">
        <f>IF(A2="","",IFERROR(INDEX(tblReg[LastName],MATCH(A2,tblReg[Bib],0)),""))</f>
        <v>Lopez</v>
      </c>
      <c r="E2" t="str">
        <f>IF(A2="","",IFERROR(INDEX(tblReg[Team],MATCH(A2,tblReg[Bib],0)),""))</f>
        <v>Apex Cycling</v>
      </c>
      <c r="F2" s="4" t="s">
        <v>114</v>
      </c>
      <c r="G2" t="str">
        <f t="shared" ref="G2:G65" si="0">IF(OR(F2="",UPPER(F2)="DNF",UPPER(F2)="DNS"),"",HOUR(F2)*3600 + MINUTE(F2)*60 + SECOND(F2))</f>
        <v/>
      </c>
      <c r="H2" t="str">
        <f t="shared" ref="H2:H65" si="1">IF(OR(A2="",B2=""),"",IF(ISNUMBER(G2),1+COUNTIFS($B$2:$B$251,B2,$G$2:$G$251,"&lt;"&amp;G2),IF(F2="",COUNTIFS($B$2:$B$251,B2,$G$2:$G$251,"&gt;=0")+COUNTIFS($B$2:$B$251,B2,$F$2:$F$251,"",$A$2:$A$251,"&lt;"&amp;A2)+1,"")))</f>
        <v/>
      </c>
      <c r="I2">
        <f>IF(H2="",0,IFERROR(INDEX(Config!$J$4:$J$6,MATCH(H2,Config!$H$4:$H$6,0)),0))</f>
        <v>0</v>
      </c>
      <c r="J2" t="str">
        <f t="shared" ref="J2:J65" si="2">IF(G2="","",G2-I2)</f>
        <v/>
      </c>
      <c r="K2" s="5" t="str">
        <f t="shared" ref="K2:K65" si="3">IF(J2="","",J2/86400)</f>
        <v/>
      </c>
      <c r="L2">
        <f>IF(A2="",999,IFERROR(MATCH(B2,Config!$A$4:$A$7,0),99)*10+IF(ISNUMBER(F2),1,IF(F2="",2,IF(UPPER(F2)="DNF",3,IF(UPPER(F2)="DNS",4,8)))))</f>
        <v>13</v>
      </c>
      <c r="M2" t="s">
        <v>18</v>
      </c>
      <c r="N2" t="s">
        <v>8</v>
      </c>
    </row>
    <row r="3" spans="1:15" x14ac:dyDescent="0.25">
      <c r="A3">
        <v>2</v>
      </c>
      <c r="B3" t="str">
        <f>IF(A3="","",IFERROR(INDEX(tblReg[Field],MATCH(A3,tblReg[Bib],0)),""))</f>
        <v>Men Under 40</v>
      </c>
      <c r="C3" t="str">
        <f>IF(A3="","",IFERROR(INDEX(tblReg[FirstName],MATCH(A3,tblReg[Bib],0)),""))</f>
        <v>Ruby</v>
      </c>
      <c r="D3" t="str">
        <f>IF(A3="","",IFERROR(INDEX(tblReg[LastName],MATCH(A3,tblReg[Bib],0)),""))</f>
        <v>Garcia</v>
      </c>
      <c r="E3" t="str">
        <f>IF(A3="","",IFERROR(INDEX(tblReg[Team],MATCH(A3,tblReg[Bib],0)),""))</f>
        <v>Rapid Chain</v>
      </c>
      <c r="F3" s="4">
        <v>7.3124999999999996E-2</v>
      </c>
      <c r="G3">
        <f t="shared" si="0"/>
        <v>6318</v>
      </c>
      <c r="H3">
        <f t="shared" si="1"/>
        <v>4</v>
      </c>
      <c r="I3">
        <f>IF(H3="",0,IFERROR(INDEX(Config!$J$4:$J$6,MATCH(H3,Config!$H$4:$H$6,0)),0))</f>
        <v>0</v>
      </c>
      <c r="J3">
        <f t="shared" si="2"/>
        <v>6318</v>
      </c>
      <c r="K3" s="5">
        <f t="shared" si="3"/>
        <v>7.3124999999999996E-2</v>
      </c>
      <c r="L3">
        <f>IF(A3="",999,IFERROR(MATCH(B3,Config!$A$4:$A$7,0),99)*10+IF(ISNUMBER(F3),1,IF(F3="",2,IF(UPPER(F3)="DNF",3,IF(UPPER(F3)="DNS",4,8)))))</f>
        <v>11</v>
      </c>
      <c r="M3" s="9" t="s">
        <v>112</v>
      </c>
      <c r="N3" s="9"/>
      <c r="O3" s="9"/>
    </row>
    <row r="4" spans="1:15" x14ac:dyDescent="0.25">
      <c r="A4">
        <v>3</v>
      </c>
      <c r="B4" t="str">
        <f>IF(A4="","",IFERROR(INDEX(tblReg[Field],MATCH(A4,tblReg[Bib],0)),""))</f>
        <v>Men Under 40</v>
      </c>
      <c r="C4" t="str">
        <f>IF(A4="","",IFERROR(INDEX(tblReg[FirstName],MATCH(A4,tblReg[Bib],0)),""))</f>
        <v>Ivy</v>
      </c>
      <c r="D4" t="str">
        <f>IF(A4="","",IFERROR(INDEX(tblReg[LastName],MATCH(A4,tblReg[Bib],0)),""))</f>
        <v>Harris</v>
      </c>
      <c r="E4" t="str">
        <f>IF(A4="","",IFERROR(INDEX(tblReg[Team],MATCH(A4,tblReg[Bib],0)),""))</f>
        <v>City Sprint</v>
      </c>
      <c r="F4" s="4">
        <v>6.94212962962963E-2</v>
      </c>
      <c r="G4">
        <f t="shared" si="0"/>
        <v>5998</v>
      </c>
      <c r="H4">
        <f t="shared" si="1"/>
        <v>2</v>
      </c>
      <c r="I4">
        <f>IF(H4="",0,IFERROR(INDEX(Config!$J$4:$J$6,MATCH(H4,Config!$H$4:$H$6,0)),0))</f>
        <v>6</v>
      </c>
      <c r="J4">
        <f t="shared" si="2"/>
        <v>5992</v>
      </c>
      <c r="K4" s="5">
        <f t="shared" si="3"/>
        <v>6.9351851851851845E-2</v>
      </c>
      <c r="L4">
        <f>IF(A4="",999,IFERROR(MATCH(B4,Config!$A$4:$A$7,0),99)*10+IF(ISNUMBER(F4),1,IF(F4="",2,IF(UPPER(F4)="DNF",3,IF(UPPER(F4)="DNS",4,8)))))</f>
        <v>11</v>
      </c>
      <c r="M4" t="s">
        <v>113</v>
      </c>
    </row>
    <row r="5" spans="1:15" x14ac:dyDescent="0.25">
      <c r="A5">
        <v>4</v>
      </c>
      <c r="B5" t="str">
        <f>IF(A5="","",IFERROR(INDEX(tblReg[Field],MATCH(A5,tblReg[Bib],0)),""))</f>
        <v>Men Under 40</v>
      </c>
      <c r="C5" t="str">
        <f>IF(A5="","",IFERROR(INDEX(tblReg[FirstName],MATCH(A5,tblReg[Bib],0)),""))</f>
        <v>Nora</v>
      </c>
      <c r="D5" t="str">
        <f>IF(A5="","",IFERROR(INDEX(tblReg[LastName],MATCH(A5,tblReg[Bib],0)),""))</f>
        <v>Moore</v>
      </c>
      <c r="E5" t="str">
        <f>IF(A5="","",IFERROR(INDEX(tblReg[Team],MATCH(A5,tblReg[Bib],0)),""))</f>
        <v>Northwind Velo</v>
      </c>
      <c r="F5" s="4" t="s">
        <v>115</v>
      </c>
      <c r="G5" t="str">
        <f t="shared" si="0"/>
        <v/>
      </c>
      <c r="H5" t="str">
        <f t="shared" si="1"/>
        <v/>
      </c>
      <c r="I5">
        <f>IF(H5="",0,IFERROR(INDEX(Config!$J$4:$J$6,MATCH(H5,Config!$H$4:$H$6,0)),0))</f>
        <v>0</v>
      </c>
      <c r="J5" t="str">
        <f t="shared" si="2"/>
        <v/>
      </c>
      <c r="K5" s="5" t="str">
        <f t="shared" si="3"/>
        <v/>
      </c>
      <c r="L5">
        <f>IF(A5="",999,IFERROR(MATCH(B5,Config!$A$4:$A$7,0),99)*10+IF(ISNUMBER(F5),1,IF(F5="",2,IF(UPPER(F5)="DNF",3,IF(UPPER(F5)="DNS",4,8)))))</f>
        <v>14</v>
      </c>
    </row>
    <row r="6" spans="1:15" x14ac:dyDescent="0.25">
      <c r="A6">
        <v>5</v>
      </c>
      <c r="B6" t="str">
        <f>IF(A6="","",IFERROR(INDEX(tblReg[Field],MATCH(A6,tblReg[Bib],0)),""))</f>
        <v>Men Under 40</v>
      </c>
      <c r="C6" t="str">
        <f>IF(A6="","",IFERROR(INDEX(tblReg[FirstName],MATCH(A6,tblReg[Bib],0)),""))</f>
        <v>Mila</v>
      </c>
      <c r="D6" t="str">
        <f>IF(A6="","",IFERROR(INDEX(tblReg[LastName],MATCH(A6,tblReg[Bib],0)),""))</f>
        <v>Harris</v>
      </c>
      <c r="E6" t="str">
        <f>IF(A6="","",IFERROR(INDEX(tblReg[Team],MATCH(A6,tblReg[Bib],0)),""))</f>
        <v>Summit Wheels</v>
      </c>
      <c r="F6" s="4">
        <v>6.9791666666666669E-2</v>
      </c>
      <c r="G6">
        <f t="shared" si="0"/>
        <v>6030</v>
      </c>
      <c r="H6">
        <f t="shared" si="1"/>
        <v>3</v>
      </c>
      <c r="I6">
        <f>IF(H6="",0,IFERROR(INDEX(Config!$J$4:$J$6,MATCH(H6,Config!$H$4:$H$6,0)),0))</f>
        <v>4</v>
      </c>
      <c r="J6">
        <f t="shared" si="2"/>
        <v>6026</v>
      </c>
      <c r="K6" s="5">
        <f t="shared" si="3"/>
        <v>6.9745370370370374E-2</v>
      </c>
      <c r="L6">
        <f>IF(A6="",999,IFERROR(MATCH(B6,Config!$A$4:$A$7,0),99)*10+IF(ISNUMBER(F6),1,IF(F6="",2,IF(UPPER(F6)="DNF",3,IF(UPPER(F6)="DNS",4,8)))))</f>
        <v>11</v>
      </c>
    </row>
    <row r="7" spans="1:15" x14ac:dyDescent="0.25">
      <c r="A7">
        <v>6</v>
      </c>
      <c r="B7" t="str">
        <f>IF(A7="","",IFERROR(INDEX(tblReg[Field],MATCH(A7,tblReg[Bib],0)),""))</f>
        <v>Men Under 40</v>
      </c>
      <c r="C7" t="str">
        <f>IF(A7="","",IFERROR(INDEX(tblReg[FirstName],MATCH(A7,tblReg[Bib],0)),""))</f>
        <v>Jude</v>
      </c>
      <c r="D7" t="str">
        <f>IF(A7="","",IFERROR(INDEX(tblReg[LastName],MATCH(A7,tblReg[Bib],0)),""))</f>
        <v>Johnson</v>
      </c>
      <c r="E7" t="str">
        <f>IF(A7="","",IFERROR(INDEX(tblReg[Team],MATCH(A7,tblReg[Bib],0)),""))</f>
        <v>Summit Wheels</v>
      </c>
      <c r="F7" s="4">
        <v>6.7048611111111114E-2</v>
      </c>
      <c r="G7">
        <f t="shared" si="0"/>
        <v>5793</v>
      </c>
      <c r="H7">
        <f t="shared" si="1"/>
        <v>1</v>
      </c>
      <c r="I7">
        <f>IF(H7="",0,IFERROR(INDEX(Config!$J$4:$J$6,MATCH(H7,Config!$H$4:$H$6,0)),0))</f>
        <v>10</v>
      </c>
      <c r="J7">
        <f t="shared" si="2"/>
        <v>5783</v>
      </c>
      <c r="K7" s="5">
        <f t="shared" si="3"/>
        <v>6.6932870370370365E-2</v>
      </c>
      <c r="L7">
        <f>IF(A7="",999,IFERROR(MATCH(B7,Config!$A$4:$A$7,0),99)*10+IF(ISNUMBER(F7),1,IF(F7="",2,IF(UPPER(F7)="DNF",3,IF(UPPER(F7)="DNS",4,8)))))</f>
        <v>11</v>
      </c>
    </row>
    <row r="8" spans="1:15" x14ac:dyDescent="0.25">
      <c r="A8">
        <v>7</v>
      </c>
      <c r="B8" t="str">
        <f>IF(A8="","",IFERROR(INDEX(tblReg[Field],MATCH(A8,tblReg[Bib],0)),""))</f>
        <v>Men Under 40</v>
      </c>
      <c r="C8" t="str">
        <f>IF(A8="","",IFERROR(INDEX(tblReg[FirstName],MATCH(A8,tblReg[Bib],0)),""))</f>
        <v>Ivy</v>
      </c>
      <c r="D8" t="str">
        <f>IF(A8="","",IFERROR(INDEX(tblReg[LastName],MATCH(A8,tblReg[Bib],0)),""))</f>
        <v>Garcia</v>
      </c>
      <c r="E8" t="str">
        <f>IF(A8="","",IFERROR(INDEX(tblReg[Team],MATCH(A8,tblReg[Bib],0)),""))</f>
        <v>Apex Cycling</v>
      </c>
      <c r="F8" s="4">
        <v>7.4930555555555556E-2</v>
      </c>
      <c r="G8">
        <f t="shared" si="0"/>
        <v>6474</v>
      </c>
      <c r="H8">
        <f t="shared" si="1"/>
        <v>6</v>
      </c>
      <c r="I8">
        <f>IF(H8="",0,IFERROR(INDEX(Config!$J$4:$J$6,MATCH(H8,Config!$H$4:$H$6,0)),0))</f>
        <v>0</v>
      </c>
      <c r="J8">
        <f t="shared" si="2"/>
        <v>6474</v>
      </c>
      <c r="K8" s="5">
        <f t="shared" si="3"/>
        <v>7.4930555555555556E-2</v>
      </c>
      <c r="L8">
        <f>IF(A8="",999,IFERROR(MATCH(B8,Config!$A$4:$A$7,0),99)*10+IF(ISNUMBER(F8),1,IF(F8="",2,IF(UPPER(F8)="DNF",3,IF(UPPER(F8)="DNS",4,8)))))</f>
        <v>11</v>
      </c>
    </row>
    <row r="9" spans="1:15" x14ac:dyDescent="0.25">
      <c r="A9">
        <v>8</v>
      </c>
      <c r="B9" t="str">
        <f>IF(A9="","",IFERROR(INDEX(tblReg[Field],MATCH(A9,tblReg[Bib],0)),""))</f>
        <v>Men Under 40</v>
      </c>
      <c r="C9" t="str">
        <f>IF(A9="","",IFERROR(INDEX(tblReg[FirstName],MATCH(A9,tblReg[Bib],0)),""))</f>
        <v>Aria</v>
      </c>
      <c r="D9" t="str">
        <f>IF(A9="","",IFERROR(INDEX(tblReg[LastName],MATCH(A9,tblReg[Bib],0)),""))</f>
        <v>Moore</v>
      </c>
      <c r="E9" t="str">
        <f>IF(A9="","",IFERROR(INDEX(tblReg[Team],MATCH(A9,tblReg[Bib],0)),""))</f>
        <v>Nomad CC</v>
      </c>
      <c r="F9" s="4">
        <v>7.7152777777777778E-2</v>
      </c>
      <c r="G9">
        <f t="shared" si="0"/>
        <v>6666</v>
      </c>
      <c r="H9">
        <f t="shared" si="1"/>
        <v>7</v>
      </c>
      <c r="I9">
        <f>IF(H9="",0,IFERROR(INDEX(Config!$J$4:$J$6,MATCH(H9,Config!$H$4:$H$6,0)),0))</f>
        <v>0</v>
      </c>
      <c r="J9">
        <f t="shared" si="2"/>
        <v>6666</v>
      </c>
      <c r="K9" s="5">
        <f t="shared" si="3"/>
        <v>7.7152777777777778E-2</v>
      </c>
      <c r="L9">
        <f>IF(A9="",999,IFERROR(MATCH(B9,Config!$A$4:$A$7,0),99)*10+IF(ISNUMBER(F9),1,IF(F9="",2,IF(UPPER(F9)="DNF",3,IF(UPPER(F9)="DNS",4,8)))))</f>
        <v>11</v>
      </c>
    </row>
    <row r="10" spans="1:15" x14ac:dyDescent="0.25">
      <c r="A10">
        <v>9</v>
      </c>
      <c r="B10" t="str">
        <f>IF(A10="","",IFERROR(INDEX(tblReg[Field],MATCH(A10,tblReg[Bib],0)),""))</f>
        <v>Men Under 40</v>
      </c>
      <c r="C10" t="str">
        <f>IF(A10="","",IFERROR(INDEX(tblReg[FirstName],MATCH(A10,tblReg[Bib],0)),""))</f>
        <v>Aria</v>
      </c>
      <c r="D10" t="str">
        <f>IF(A10="","",IFERROR(INDEX(tblReg[LastName],MATCH(A10,tblReg[Bib],0)),""))</f>
        <v>Wilson</v>
      </c>
      <c r="E10" t="str">
        <f>IF(A10="","",IFERROR(INDEX(tblReg[Team],MATCH(A10,tblReg[Bib],0)),""))</f>
        <v>Summit Wheels</v>
      </c>
      <c r="F10" s="4">
        <v>7.3576388888888886E-2</v>
      </c>
      <c r="G10">
        <f t="shared" si="0"/>
        <v>6357</v>
      </c>
      <c r="H10">
        <f t="shared" si="1"/>
        <v>5</v>
      </c>
      <c r="I10">
        <f>IF(H10="",0,IFERROR(INDEX(Config!$J$4:$J$6,MATCH(H10,Config!$H$4:$H$6,0)),0))</f>
        <v>0</v>
      </c>
      <c r="J10">
        <f t="shared" si="2"/>
        <v>6357</v>
      </c>
      <c r="K10" s="5">
        <f t="shared" si="3"/>
        <v>7.3576388888888886E-2</v>
      </c>
      <c r="L10">
        <f>IF(A10="",999,IFERROR(MATCH(B10,Config!$A$4:$A$7,0),99)*10+IF(ISNUMBER(F10),1,IF(F10="",2,IF(UPPER(F10)="DNF",3,IF(UPPER(F10)="DNS",4,8)))))</f>
        <v>11</v>
      </c>
    </row>
    <row r="11" spans="1:15" x14ac:dyDescent="0.25">
      <c r="A11">
        <v>10</v>
      </c>
      <c r="B11" t="str">
        <f>IF(A11="","",IFERROR(INDEX(tblReg[Field],MATCH(A11,tblReg[Bib],0)),""))</f>
        <v>Men Under 40</v>
      </c>
      <c r="C11" t="str">
        <f>IF(A11="","",IFERROR(INDEX(tblReg[FirstName],MATCH(A11,tblReg[Bib],0)),""))</f>
        <v>Ivy</v>
      </c>
      <c r="D11" t="str">
        <f>IF(A11="","",IFERROR(INDEX(tblReg[LastName],MATCH(A11,tblReg[Bib],0)),""))</f>
        <v>Park</v>
      </c>
      <c r="E11" t="str">
        <f>IF(A11="","",IFERROR(INDEX(tblReg[Team],MATCH(A11,tblReg[Bib],0)),""))</f>
        <v>Apex Cycling</v>
      </c>
      <c r="F11" s="4">
        <v>7.8194444444444441E-2</v>
      </c>
      <c r="G11">
        <f t="shared" si="0"/>
        <v>6756</v>
      </c>
      <c r="H11">
        <f t="shared" si="1"/>
        <v>8</v>
      </c>
      <c r="I11">
        <f>IF(H11="",0,IFERROR(INDEX(Config!$J$4:$J$6,MATCH(H11,Config!$H$4:$H$6,0)),0))</f>
        <v>0</v>
      </c>
      <c r="J11">
        <f t="shared" si="2"/>
        <v>6756</v>
      </c>
      <c r="K11" s="5">
        <f t="shared" si="3"/>
        <v>7.8194444444444441E-2</v>
      </c>
      <c r="L11">
        <f>IF(A11="",999,IFERROR(MATCH(B11,Config!$A$4:$A$7,0),99)*10+IF(ISNUMBER(F11),1,IF(F11="",2,IF(UPPER(F11)="DNF",3,IF(UPPER(F11)="DNS",4,8)))))</f>
        <v>11</v>
      </c>
    </row>
    <row r="12" spans="1:15" x14ac:dyDescent="0.25">
      <c r="A12">
        <v>51</v>
      </c>
      <c r="B12" t="str">
        <f>IF(A12="","",IFERROR(INDEX(tblReg[Field],MATCH(A12,tblReg[Bib],0)),""))</f>
        <v>Men 40+</v>
      </c>
      <c r="C12" t="str">
        <f>IF(A12="","",IFERROR(INDEX(tblReg[FirstName],MATCH(A12,tblReg[Bib],0)),""))</f>
        <v>Mila</v>
      </c>
      <c r="D12" t="str">
        <f>IF(A12="","",IFERROR(INDEX(tblReg[LastName],MATCH(A12,tblReg[Bib],0)),""))</f>
        <v>Harris</v>
      </c>
      <c r="E12" t="str">
        <f>IF(A12="","",IFERROR(INDEX(tblReg[Team],MATCH(A12,tblReg[Bib],0)),""))</f>
        <v>Nomad CC</v>
      </c>
      <c r="F12" s="4">
        <v>6.8703703703703697E-2</v>
      </c>
      <c r="G12">
        <f t="shared" si="0"/>
        <v>5936</v>
      </c>
      <c r="H12">
        <f t="shared" si="1"/>
        <v>5</v>
      </c>
      <c r="I12">
        <f>IF(H12="",0,IFERROR(INDEX(Config!$J$4:$J$6,MATCH(H12,Config!$H$4:$H$6,0)),0))</f>
        <v>0</v>
      </c>
      <c r="J12">
        <f t="shared" si="2"/>
        <v>5936</v>
      </c>
      <c r="K12" s="5">
        <f t="shared" si="3"/>
        <v>6.8703703703703697E-2</v>
      </c>
      <c r="L12">
        <f>IF(A12="",999,IFERROR(MATCH(B12,Config!$A$4:$A$7,0),99)*10+IF(ISNUMBER(F12),1,IF(F12="",2,IF(UPPER(F12)="DNF",3,IF(UPPER(F12)="DNS",4,8)))))</f>
        <v>21</v>
      </c>
    </row>
    <row r="13" spans="1:15" x14ac:dyDescent="0.25">
      <c r="A13">
        <v>52</v>
      </c>
      <c r="B13" t="str">
        <f>IF(A13="","",IFERROR(INDEX(tblReg[Field],MATCH(A13,tblReg[Bib],0)),""))</f>
        <v>Men 40+</v>
      </c>
      <c r="C13" t="str">
        <f>IF(A13="","",IFERROR(INDEX(tblReg[FirstName],MATCH(A13,tblReg[Bib],0)),""))</f>
        <v>Aria</v>
      </c>
      <c r="D13" t="str">
        <f>IF(A13="","",IFERROR(INDEX(tblReg[LastName],MATCH(A13,tblReg[Bib],0)),""))</f>
        <v>Thomas</v>
      </c>
      <c r="E13" t="str">
        <f>IF(A13="","",IFERROR(INDEX(tblReg[Team],MATCH(A13,tblReg[Bib],0)),""))</f>
        <v>Nomad CC</v>
      </c>
      <c r="F13" s="4">
        <v>6.8101851851851858E-2</v>
      </c>
      <c r="G13">
        <f t="shared" si="0"/>
        <v>5884</v>
      </c>
      <c r="H13">
        <f t="shared" si="1"/>
        <v>2</v>
      </c>
      <c r="I13">
        <f>IF(H13="",0,IFERROR(INDEX(Config!$J$4:$J$6,MATCH(H13,Config!$H$4:$H$6,0)),0))</f>
        <v>6</v>
      </c>
      <c r="J13">
        <f t="shared" si="2"/>
        <v>5878</v>
      </c>
      <c r="K13" s="5">
        <f t="shared" si="3"/>
        <v>6.8032407407407403E-2</v>
      </c>
      <c r="L13">
        <f>IF(A13="",999,IFERROR(MATCH(B13,Config!$A$4:$A$7,0),99)*10+IF(ISNUMBER(F13),1,IF(F13="",2,IF(UPPER(F13)="DNF",3,IF(UPPER(F13)="DNS",4,8)))))</f>
        <v>21</v>
      </c>
    </row>
    <row r="14" spans="1:15" x14ac:dyDescent="0.25">
      <c r="A14">
        <v>53</v>
      </c>
      <c r="B14" t="str">
        <f>IF(A14="","",IFERROR(INDEX(tblReg[Field],MATCH(A14,tblReg[Bib],0)),""))</f>
        <v>Men 40+</v>
      </c>
      <c r="C14" t="str">
        <f>IF(A14="","",IFERROR(INDEX(tblReg[FirstName],MATCH(A14,tblReg[Bib],0)),""))</f>
        <v>Ethan</v>
      </c>
      <c r="D14" t="str">
        <f>IF(A14="","",IFERROR(INDEX(tblReg[LastName],MATCH(A14,tblReg[Bib],0)),""))</f>
        <v>Moore</v>
      </c>
      <c r="E14" t="str">
        <f>IF(A14="","",IFERROR(INDEX(tblReg[Team],MATCH(A14,tblReg[Bib],0)),""))</f>
        <v>Northwind Velo</v>
      </c>
      <c r="F14" s="4" t="s">
        <v>115</v>
      </c>
      <c r="G14" t="str">
        <f t="shared" si="0"/>
        <v/>
      </c>
      <c r="H14" t="str">
        <f t="shared" si="1"/>
        <v/>
      </c>
      <c r="I14">
        <f>IF(H14="",0,IFERROR(INDEX(Config!$J$4:$J$6,MATCH(H14,Config!$H$4:$H$6,0)),0))</f>
        <v>0</v>
      </c>
      <c r="J14" t="str">
        <f t="shared" si="2"/>
        <v/>
      </c>
      <c r="K14" s="5" t="str">
        <f t="shared" si="3"/>
        <v/>
      </c>
      <c r="L14">
        <f>IF(A14="",999,IFERROR(MATCH(B14,Config!$A$4:$A$7,0),99)*10+IF(ISNUMBER(F14),1,IF(F14="",2,IF(UPPER(F14)="DNF",3,IF(UPPER(F14)="DNS",4,8)))))</f>
        <v>24</v>
      </c>
    </row>
    <row r="15" spans="1:15" x14ac:dyDescent="0.25">
      <c r="A15">
        <v>54</v>
      </c>
      <c r="B15" t="str">
        <f>IF(A15="","",IFERROR(INDEX(tblReg[Field],MATCH(A15,tblReg[Bib],0)),""))</f>
        <v>Men 40+</v>
      </c>
      <c r="C15" t="str">
        <f>IF(A15="","",IFERROR(INDEX(tblReg[FirstName],MATCH(A15,tblReg[Bib],0)),""))</f>
        <v>Lena</v>
      </c>
      <c r="D15" t="str">
        <f>IF(A15="","",IFERROR(INDEX(tblReg[LastName],MATCH(A15,tblReg[Bib],0)),""))</f>
        <v>Anderson</v>
      </c>
      <c r="E15" t="str">
        <f>IF(A15="","",IFERROR(INDEX(tblReg[Team],MATCH(A15,tblReg[Bib],0)),""))</f>
        <v>Nomad CC</v>
      </c>
      <c r="F15" s="4">
        <v>7.8032407407407411E-2</v>
      </c>
      <c r="G15">
        <f t="shared" si="0"/>
        <v>6742</v>
      </c>
      <c r="H15">
        <f t="shared" si="1"/>
        <v>9</v>
      </c>
      <c r="I15">
        <f>IF(H15="",0,IFERROR(INDEX(Config!$J$4:$J$6,MATCH(H15,Config!$H$4:$H$6,0)),0))</f>
        <v>0</v>
      </c>
      <c r="J15">
        <f t="shared" si="2"/>
        <v>6742</v>
      </c>
      <c r="K15" s="5">
        <f t="shared" si="3"/>
        <v>7.8032407407407411E-2</v>
      </c>
      <c r="L15">
        <f>IF(A15="",999,IFERROR(MATCH(B15,Config!$A$4:$A$7,0),99)*10+IF(ISNUMBER(F15),1,IF(F15="",2,IF(UPPER(F15)="DNF",3,IF(UPPER(F15)="DNS",4,8)))))</f>
        <v>21</v>
      </c>
    </row>
    <row r="16" spans="1:15" x14ac:dyDescent="0.25">
      <c r="A16">
        <v>55</v>
      </c>
      <c r="B16" t="str">
        <f>IF(A16="","",IFERROR(INDEX(tblReg[Field],MATCH(A16,tblReg[Bib],0)),""))</f>
        <v>Men 40+</v>
      </c>
      <c r="C16" t="str">
        <f>IF(A16="","",IFERROR(INDEX(tblReg[FirstName],MATCH(A16,tblReg[Bib],0)),""))</f>
        <v>Noah</v>
      </c>
      <c r="D16" t="str">
        <f>IF(A16="","",IFERROR(INDEX(tblReg[LastName],MATCH(A16,tblReg[Bib],0)),""))</f>
        <v>Martinez</v>
      </c>
      <c r="E16" t="str">
        <f>IF(A16="","",IFERROR(INDEX(tblReg[Team],MATCH(A16,tblReg[Bib],0)),""))</f>
        <v>City Sprint</v>
      </c>
      <c r="F16" s="4">
        <v>6.8125000000000005E-2</v>
      </c>
      <c r="G16">
        <f t="shared" si="0"/>
        <v>5886</v>
      </c>
      <c r="H16">
        <f t="shared" si="1"/>
        <v>3</v>
      </c>
      <c r="I16">
        <f>IF(H16="",0,IFERROR(INDEX(Config!$J$4:$J$6,MATCH(H16,Config!$H$4:$H$6,0)),0))</f>
        <v>4</v>
      </c>
      <c r="J16">
        <f t="shared" si="2"/>
        <v>5882</v>
      </c>
      <c r="K16" s="5">
        <f t="shared" si="3"/>
        <v>6.8078703703703697E-2</v>
      </c>
      <c r="L16">
        <f>IF(A16="",999,IFERROR(MATCH(B16,Config!$A$4:$A$7,0),99)*10+IF(ISNUMBER(F16),1,IF(F16="",2,IF(UPPER(F16)="DNF",3,IF(UPPER(F16)="DNS",4,8)))))</f>
        <v>21</v>
      </c>
    </row>
    <row r="17" spans="1:12" x14ac:dyDescent="0.25">
      <c r="A17">
        <v>56</v>
      </c>
      <c r="B17" t="str">
        <f>IF(A17="","",IFERROR(INDEX(tblReg[Field],MATCH(A17,tblReg[Bib],0)),""))</f>
        <v>Men 40+</v>
      </c>
      <c r="C17" t="str">
        <f>IF(A17="","",IFERROR(INDEX(tblReg[FirstName],MATCH(A17,tblReg[Bib],0)),""))</f>
        <v>Noah</v>
      </c>
      <c r="D17" t="str">
        <f>IF(A17="","",IFERROR(INDEX(tblReg[LastName],MATCH(A17,tblReg[Bib],0)),""))</f>
        <v>Thomas</v>
      </c>
      <c r="E17" t="str">
        <f>IF(A17="","",IFERROR(INDEX(tblReg[Team],MATCH(A17,tblReg[Bib],0)),""))</f>
        <v>Apex Cycling</v>
      </c>
      <c r="F17" s="4">
        <v>7.4618055555555562E-2</v>
      </c>
      <c r="G17">
        <f t="shared" si="0"/>
        <v>6447</v>
      </c>
      <c r="H17">
        <f t="shared" si="1"/>
        <v>7</v>
      </c>
      <c r="I17">
        <f>IF(H17="",0,IFERROR(INDEX(Config!$J$4:$J$6,MATCH(H17,Config!$H$4:$H$6,0)),0))</f>
        <v>0</v>
      </c>
      <c r="J17">
        <f t="shared" si="2"/>
        <v>6447</v>
      </c>
      <c r="K17" s="5">
        <f t="shared" si="3"/>
        <v>7.4618055555555562E-2</v>
      </c>
      <c r="L17">
        <f>IF(A17="",999,IFERROR(MATCH(B17,Config!$A$4:$A$7,0),99)*10+IF(ISNUMBER(F17),1,IF(F17="",2,IF(UPPER(F17)="DNF",3,IF(UPPER(F17)="DNS",4,8)))))</f>
        <v>21</v>
      </c>
    </row>
    <row r="18" spans="1:12" x14ac:dyDescent="0.25">
      <c r="A18">
        <v>57</v>
      </c>
      <c r="B18" t="str">
        <f>IF(A18="","",IFERROR(INDEX(tblReg[Field],MATCH(A18,tblReg[Bib],0)),""))</f>
        <v>Men 40+</v>
      </c>
      <c r="C18" t="str">
        <f>IF(A18="","",IFERROR(INDEX(tblReg[FirstName],MATCH(A18,tblReg[Bib],0)),""))</f>
        <v>Liam</v>
      </c>
      <c r="D18" t="str">
        <f>IF(A18="","",IFERROR(INDEX(tblReg[LastName],MATCH(A18,tblReg[Bib],0)),""))</f>
        <v>Moore</v>
      </c>
      <c r="E18" t="str">
        <f>IF(A18="","",IFERROR(INDEX(tblReg[Team],MATCH(A18,tblReg[Bib],0)),""))</f>
        <v>Nomad CC</v>
      </c>
      <c r="F18" s="4">
        <v>6.7858796296296292E-2</v>
      </c>
      <c r="G18">
        <f t="shared" si="0"/>
        <v>5863</v>
      </c>
      <c r="H18">
        <f t="shared" si="1"/>
        <v>1</v>
      </c>
      <c r="I18">
        <f>IF(H18="",0,IFERROR(INDEX(Config!$J$4:$J$6,MATCH(H18,Config!$H$4:$H$6,0)),0))</f>
        <v>10</v>
      </c>
      <c r="J18">
        <f t="shared" si="2"/>
        <v>5853</v>
      </c>
      <c r="K18" s="5">
        <f t="shared" si="3"/>
        <v>6.7743055555555556E-2</v>
      </c>
      <c r="L18">
        <f>IF(A18="",999,IFERROR(MATCH(B18,Config!$A$4:$A$7,0),99)*10+IF(ISNUMBER(F18),1,IF(F18="",2,IF(UPPER(F18)="DNF",3,IF(UPPER(F18)="DNS",4,8)))))</f>
        <v>21</v>
      </c>
    </row>
    <row r="19" spans="1:12" x14ac:dyDescent="0.25">
      <c r="A19">
        <v>58</v>
      </c>
      <c r="B19" t="str">
        <f>IF(A19="","",IFERROR(INDEX(tblReg[Field],MATCH(A19,tblReg[Bib],0)),""))</f>
        <v>Men 40+</v>
      </c>
      <c r="C19" t="str">
        <f>IF(A19="","",IFERROR(INDEX(tblReg[FirstName],MATCH(A19,tblReg[Bib],0)),""))</f>
        <v>Ava</v>
      </c>
      <c r="D19" t="str">
        <f>IF(A19="","",IFERROR(INDEX(tblReg[LastName],MATCH(A19,tblReg[Bib],0)),""))</f>
        <v>Kim</v>
      </c>
      <c r="E19" t="str">
        <f>IF(A19="","",IFERROR(INDEX(tblReg[Team],MATCH(A19,tblReg[Bib],0)),""))</f>
        <v>Northwind Velo</v>
      </c>
      <c r="F19" s="4">
        <v>6.8136574074074072E-2</v>
      </c>
      <c r="G19">
        <f t="shared" si="0"/>
        <v>5887</v>
      </c>
      <c r="H19">
        <f t="shared" si="1"/>
        <v>4</v>
      </c>
      <c r="I19">
        <f>IF(H19="",0,IFERROR(INDEX(Config!$J$4:$J$6,MATCH(H19,Config!$H$4:$H$6,0)),0))</f>
        <v>0</v>
      </c>
      <c r="J19">
        <f t="shared" si="2"/>
        <v>5887</v>
      </c>
      <c r="K19" s="5">
        <f t="shared" si="3"/>
        <v>6.8136574074074072E-2</v>
      </c>
      <c r="L19">
        <f>IF(A19="",999,IFERROR(MATCH(B19,Config!$A$4:$A$7,0),99)*10+IF(ISNUMBER(F19),1,IF(F19="",2,IF(UPPER(F19)="DNF",3,IF(UPPER(F19)="DNS",4,8)))))</f>
        <v>21</v>
      </c>
    </row>
    <row r="20" spans="1:12" x14ac:dyDescent="0.25">
      <c r="A20">
        <v>59</v>
      </c>
      <c r="B20" t="str">
        <f>IF(A20="","",IFERROR(INDEX(tblReg[Field],MATCH(A20,tblReg[Bib],0)),""))</f>
        <v>Men 40+</v>
      </c>
      <c r="C20" t="str">
        <f>IF(A20="","",IFERROR(INDEX(tblReg[FirstName],MATCH(A20,tblReg[Bib],0)),""))</f>
        <v>Leo</v>
      </c>
      <c r="D20" t="str">
        <f>IF(A20="","",IFERROR(INDEX(tblReg[LastName],MATCH(A20,tblReg[Bib],0)),""))</f>
        <v>Kim</v>
      </c>
      <c r="E20" t="str">
        <f>IF(A20="","",IFERROR(INDEX(tblReg[Team],MATCH(A20,tblReg[Bib],0)),""))</f>
        <v>Summit Wheels</v>
      </c>
      <c r="F20" s="4">
        <v>7.6747685185185183E-2</v>
      </c>
      <c r="G20">
        <f t="shared" si="0"/>
        <v>6631</v>
      </c>
      <c r="H20">
        <f t="shared" si="1"/>
        <v>8</v>
      </c>
      <c r="I20">
        <f>IF(H20="",0,IFERROR(INDEX(Config!$J$4:$J$6,MATCH(H20,Config!$H$4:$H$6,0)),0))</f>
        <v>0</v>
      </c>
      <c r="J20">
        <f t="shared" si="2"/>
        <v>6631</v>
      </c>
      <c r="K20" s="5">
        <f t="shared" si="3"/>
        <v>7.6747685185185183E-2</v>
      </c>
      <c r="L20">
        <f>IF(A20="",999,IFERROR(MATCH(B20,Config!$A$4:$A$7,0),99)*10+IF(ISNUMBER(F20),1,IF(F20="",2,IF(UPPER(F20)="DNF",3,IF(UPPER(F20)="DNS",4,8)))))</f>
        <v>21</v>
      </c>
    </row>
    <row r="21" spans="1:12" x14ac:dyDescent="0.25">
      <c r="A21">
        <v>60</v>
      </c>
      <c r="B21" t="str">
        <f>IF(A21="","",IFERROR(INDEX(tblReg[Field],MATCH(A21,tblReg[Bib],0)),""))</f>
        <v>Men 40+</v>
      </c>
      <c r="C21" t="str">
        <f>IF(A21="","",IFERROR(INDEX(tblReg[FirstName],MATCH(A21,tblReg[Bib],0)),""))</f>
        <v>Ruby</v>
      </c>
      <c r="D21" t="str">
        <f>IF(A21="","",IFERROR(INDEX(tblReg[LastName],MATCH(A21,tblReg[Bib],0)),""))</f>
        <v>Miller</v>
      </c>
      <c r="E21" t="str">
        <f>IF(A21="","",IFERROR(INDEX(tblReg[Team],MATCH(A21,tblReg[Bib],0)),""))</f>
        <v>Northwind Velo</v>
      </c>
      <c r="F21" s="4">
        <v>6.9803240740740735E-2</v>
      </c>
      <c r="G21">
        <f t="shared" si="0"/>
        <v>6031</v>
      </c>
      <c r="H21">
        <f t="shared" si="1"/>
        <v>6</v>
      </c>
      <c r="I21">
        <f>IF(H21="",0,IFERROR(INDEX(Config!$J$4:$J$6,MATCH(H21,Config!$H$4:$H$6,0)),0))</f>
        <v>0</v>
      </c>
      <c r="J21">
        <f t="shared" si="2"/>
        <v>6031</v>
      </c>
      <c r="K21" s="5">
        <f t="shared" si="3"/>
        <v>6.9803240740740735E-2</v>
      </c>
      <c r="L21">
        <f>IF(A21="",999,IFERROR(MATCH(B21,Config!$A$4:$A$7,0),99)*10+IF(ISNUMBER(F21),1,IF(F21="",2,IF(UPPER(F21)="DNF",3,IF(UPPER(F21)="DNS",4,8)))))</f>
        <v>21</v>
      </c>
    </row>
    <row r="22" spans="1:12" x14ac:dyDescent="0.25">
      <c r="A22">
        <v>101</v>
      </c>
      <c r="B22" t="str">
        <f>IF(A22="","",IFERROR(INDEX(tblReg[Field],MATCH(A22,tblReg[Bib],0)),""))</f>
        <v>Men 50+</v>
      </c>
      <c r="C22" t="str">
        <f>IF(A22="","",IFERROR(INDEX(tblReg[FirstName],MATCH(A22,tblReg[Bib],0)),""))</f>
        <v>Alex</v>
      </c>
      <c r="D22" t="str">
        <f>IF(A22="","",IFERROR(INDEX(tblReg[LastName],MATCH(A22,tblReg[Bib],0)),""))</f>
        <v>Taylor</v>
      </c>
      <c r="E22" t="str">
        <f>IF(A22="","",IFERROR(INDEX(tblReg[Team],MATCH(A22,tblReg[Bib],0)),""))</f>
        <v>Northwind Velo</v>
      </c>
      <c r="F22" s="4">
        <v>7.8877314814814817E-2</v>
      </c>
      <c r="G22">
        <f t="shared" si="0"/>
        <v>6815</v>
      </c>
      <c r="H22">
        <f t="shared" si="1"/>
        <v>8</v>
      </c>
      <c r="I22">
        <f>IF(H22="",0,IFERROR(INDEX(Config!$J$4:$J$6,MATCH(H22,Config!$H$4:$H$6,0)),0))</f>
        <v>0</v>
      </c>
      <c r="J22">
        <f t="shared" si="2"/>
        <v>6815</v>
      </c>
      <c r="K22" s="5">
        <f t="shared" si="3"/>
        <v>7.8877314814814817E-2</v>
      </c>
      <c r="L22">
        <f>IF(A22="",999,IFERROR(MATCH(B22,Config!$A$4:$A$7,0),99)*10+IF(ISNUMBER(F22),1,IF(F22="",2,IF(UPPER(F22)="DNF",3,IF(UPPER(F22)="DNS",4,8)))))</f>
        <v>31</v>
      </c>
    </row>
    <row r="23" spans="1:12" x14ac:dyDescent="0.25">
      <c r="A23">
        <v>102</v>
      </c>
      <c r="B23" t="str">
        <f>IF(A23="","",IFERROR(INDEX(tblReg[Field],MATCH(A23,tblReg[Bib],0)),""))</f>
        <v>Men 50+</v>
      </c>
      <c r="C23" t="str">
        <f>IF(A23="","",IFERROR(INDEX(tblReg[FirstName],MATCH(A23,tblReg[Bib],0)),""))</f>
        <v>Ivy</v>
      </c>
      <c r="D23" t="str">
        <f>IF(A23="","",IFERROR(INDEX(tblReg[LastName],MATCH(A23,tblReg[Bib],0)),""))</f>
        <v>Johnson</v>
      </c>
      <c r="E23" t="str">
        <f>IF(A23="","",IFERROR(INDEX(tblReg[Team],MATCH(A23,tblReg[Bib],0)),""))</f>
        <v>City Sprint</v>
      </c>
      <c r="F23" s="4">
        <v>8.0254629629629634E-2</v>
      </c>
      <c r="G23">
        <f t="shared" si="0"/>
        <v>6934</v>
      </c>
      <c r="H23">
        <f t="shared" si="1"/>
        <v>9</v>
      </c>
      <c r="I23">
        <f>IF(H23="",0,IFERROR(INDEX(Config!$J$4:$J$6,MATCH(H23,Config!$H$4:$H$6,0)),0))</f>
        <v>0</v>
      </c>
      <c r="J23">
        <f t="shared" si="2"/>
        <v>6934</v>
      </c>
      <c r="K23" s="5">
        <f t="shared" si="3"/>
        <v>8.0254629629629634E-2</v>
      </c>
      <c r="L23">
        <f>IF(A23="",999,IFERROR(MATCH(B23,Config!$A$4:$A$7,0),99)*10+IF(ISNUMBER(F23),1,IF(F23="",2,IF(UPPER(F23)="DNF",3,IF(UPPER(F23)="DNS",4,8)))))</f>
        <v>31</v>
      </c>
    </row>
    <row r="24" spans="1:12" x14ac:dyDescent="0.25">
      <c r="A24">
        <v>103</v>
      </c>
      <c r="B24" t="str">
        <f>IF(A24="","",IFERROR(INDEX(tblReg[Field],MATCH(A24,tblReg[Bib],0)),""))</f>
        <v>Men 50+</v>
      </c>
      <c r="C24" t="str">
        <f>IF(A24="","",IFERROR(INDEX(tblReg[FirstName],MATCH(A24,tblReg[Bib],0)),""))</f>
        <v>Ethan</v>
      </c>
      <c r="D24" t="str">
        <f>IF(A24="","",IFERROR(INDEX(tblReg[LastName],MATCH(A24,tblReg[Bib],0)),""))</f>
        <v>Lewis</v>
      </c>
      <c r="E24" t="str">
        <f>IF(A24="","",IFERROR(INDEX(tblReg[Team],MATCH(A24,tblReg[Bib],0)),""))</f>
        <v>Apex Cycling</v>
      </c>
      <c r="F24" s="4">
        <v>7.7268518518518514E-2</v>
      </c>
      <c r="G24">
        <f t="shared" si="0"/>
        <v>6676</v>
      </c>
      <c r="H24">
        <f t="shared" si="1"/>
        <v>5</v>
      </c>
      <c r="I24">
        <f>IF(H24="",0,IFERROR(INDEX(Config!$J$4:$J$6,MATCH(H24,Config!$H$4:$H$6,0)),0))</f>
        <v>0</v>
      </c>
      <c r="J24">
        <f t="shared" si="2"/>
        <v>6676</v>
      </c>
      <c r="K24" s="5">
        <f t="shared" si="3"/>
        <v>7.7268518518518514E-2</v>
      </c>
      <c r="L24">
        <f>IF(A24="",999,IFERROR(MATCH(B24,Config!$A$4:$A$7,0),99)*10+IF(ISNUMBER(F24),1,IF(F24="",2,IF(UPPER(F24)="DNF",3,IF(UPPER(F24)="DNS",4,8)))))</f>
        <v>31</v>
      </c>
    </row>
    <row r="25" spans="1:12" x14ac:dyDescent="0.25">
      <c r="A25">
        <v>104</v>
      </c>
      <c r="B25" t="str">
        <f>IF(A25="","",IFERROR(INDEX(tblReg[Field],MATCH(A25,tblReg[Bib],0)),""))</f>
        <v>Men 50+</v>
      </c>
      <c r="C25" t="str">
        <f>IF(A25="","",IFERROR(INDEX(tblReg[FirstName],MATCH(A25,tblReg[Bib],0)),""))</f>
        <v>Noah</v>
      </c>
      <c r="D25" t="str">
        <f>IF(A25="","",IFERROR(INDEX(tblReg[LastName],MATCH(A25,tblReg[Bib],0)),""))</f>
        <v>Smith</v>
      </c>
      <c r="E25" t="str">
        <f>IF(A25="","",IFERROR(INDEX(tblReg[Team],MATCH(A25,tblReg[Bib],0)),""))</f>
        <v>Northwind Velo</v>
      </c>
      <c r="F25" s="4">
        <v>6.9918981481481485E-2</v>
      </c>
      <c r="G25">
        <f t="shared" si="0"/>
        <v>6041</v>
      </c>
      <c r="H25">
        <f t="shared" si="1"/>
        <v>2</v>
      </c>
      <c r="I25">
        <f>IF(H25="",0,IFERROR(INDEX(Config!$J$4:$J$6,MATCH(H25,Config!$H$4:$H$6,0)),0))</f>
        <v>6</v>
      </c>
      <c r="J25">
        <f t="shared" si="2"/>
        <v>6035</v>
      </c>
      <c r="K25" s="5">
        <f t="shared" si="3"/>
        <v>6.9849537037037043E-2</v>
      </c>
      <c r="L25">
        <f>IF(A25="",999,IFERROR(MATCH(B25,Config!$A$4:$A$7,0),99)*10+IF(ISNUMBER(F25),1,IF(F25="",2,IF(UPPER(F25)="DNF",3,IF(UPPER(F25)="DNS",4,8)))))</f>
        <v>31</v>
      </c>
    </row>
    <row r="26" spans="1:12" x14ac:dyDescent="0.25">
      <c r="A26">
        <v>105</v>
      </c>
      <c r="B26" t="str">
        <f>IF(A26="","",IFERROR(INDEX(tblReg[Field],MATCH(A26,tblReg[Bib],0)),""))</f>
        <v>Men 50+</v>
      </c>
      <c r="C26" t="str">
        <f>IF(A26="","",IFERROR(INDEX(tblReg[FirstName],MATCH(A26,tblReg[Bib],0)),""))</f>
        <v>Ruby</v>
      </c>
      <c r="D26" t="str">
        <f>IF(A26="","",IFERROR(INDEX(tblReg[LastName],MATCH(A26,tblReg[Bib],0)),""))</f>
        <v>Moore</v>
      </c>
      <c r="E26" t="str">
        <f>IF(A26="","",IFERROR(INDEX(tblReg[Team],MATCH(A26,tblReg[Bib],0)),""))</f>
        <v>Northwind Velo</v>
      </c>
      <c r="F26" s="4">
        <v>7.346064814814815E-2</v>
      </c>
      <c r="G26">
        <f t="shared" si="0"/>
        <v>6347</v>
      </c>
      <c r="H26">
        <f t="shared" si="1"/>
        <v>4</v>
      </c>
      <c r="I26">
        <f>IF(H26="",0,IFERROR(INDEX(Config!$J$4:$J$6,MATCH(H26,Config!$H$4:$H$6,0)),0))</f>
        <v>0</v>
      </c>
      <c r="J26">
        <f t="shared" si="2"/>
        <v>6347</v>
      </c>
      <c r="K26" s="5">
        <f t="shared" si="3"/>
        <v>7.346064814814815E-2</v>
      </c>
      <c r="L26">
        <f>IF(A26="",999,IFERROR(MATCH(B26,Config!$A$4:$A$7,0),99)*10+IF(ISNUMBER(F26),1,IF(F26="",2,IF(UPPER(F26)="DNF",3,IF(UPPER(F26)="DNS",4,8)))))</f>
        <v>31</v>
      </c>
    </row>
    <row r="27" spans="1:12" x14ac:dyDescent="0.25">
      <c r="A27">
        <v>106</v>
      </c>
      <c r="B27" t="str">
        <f>IF(A27="","",IFERROR(INDEX(tblReg[Field],MATCH(A27,tblReg[Bib],0)),""))</f>
        <v>Men 50+</v>
      </c>
      <c r="C27" t="str">
        <f>IF(A27="","",IFERROR(INDEX(tblReg[FirstName],MATCH(A27,tblReg[Bib],0)),""))</f>
        <v>Owen</v>
      </c>
      <c r="D27" t="str">
        <f>IF(A27="","",IFERROR(INDEX(tblReg[LastName],MATCH(A27,tblReg[Bib],0)),""))</f>
        <v>Martinez</v>
      </c>
      <c r="E27" t="str">
        <f>IF(A27="","",IFERROR(INDEX(tblReg[Team],MATCH(A27,tblReg[Bib],0)),""))</f>
        <v>Rapid Chain</v>
      </c>
      <c r="F27" s="4">
        <v>6.7488425925925924E-2</v>
      </c>
      <c r="G27">
        <f t="shared" si="0"/>
        <v>5831</v>
      </c>
      <c r="H27">
        <f t="shared" si="1"/>
        <v>1</v>
      </c>
      <c r="I27">
        <f>IF(H27="",0,IFERROR(INDEX(Config!$J$4:$J$6,MATCH(H27,Config!$H$4:$H$6,0)),0))</f>
        <v>10</v>
      </c>
      <c r="J27">
        <f t="shared" si="2"/>
        <v>5821</v>
      </c>
      <c r="K27" s="5">
        <f t="shared" si="3"/>
        <v>6.7372685185185188E-2</v>
      </c>
      <c r="L27">
        <f>IF(A27="",999,IFERROR(MATCH(B27,Config!$A$4:$A$7,0),99)*10+IF(ISNUMBER(F27),1,IF(F27="",2,IF(UPPER(F27)="DNF",3,IF(UPPER(F27)="DNS",4,8)))))</f>
        <v>31</v>
      </c>
    </row>
    <row r="28" spans="1:12" x14ac:dyDescent="0.25">
      <c r="A28">
        <v>107</v>
      </c>
      <c r="B28" t="str">
        <f>IF(A28="","",IFERROR(INDEX(tblReg[Field],MATCH(A28,tblReg[Bib],0)),""))</f>
        <v>Men 50+</v>
      </c>
      <c r="C28" t="str">
        <f>IF(A28="","",IFERROR(INDEX(tblReg[FirstName],MATCH(A28,tblReg[Bib],0)),""))</f>
        <v>Jude</v>
      </c>
      <c r="D28" t="str">
        <f>IF(A28="","",IFERROR(INDEX(tblReg[LastName],MATCH(A28,tblReg[Bib],0)),""))</f>
        <v>Clark</v>
      </c>
      <c r="E28" t="str">
        <f>IF(A28="","",IFERROR(INDEX(tblReg[Team],MATCH(A28,tblReg[Bib],0)),""))</f>
        <v>Northwind Velo</v>
      </c>
      <c r="F28" s="4">
        <v>7.1180555555555552E-2</v>
      </c>
      <c r="G28">
        <f t="shared" si="0"/>
        <v>6150</v>
      </c>
      <c r="H28">
        <f t="shared" si="1"/>
        <v>3</v>
      </c>
      <c r="I28">
        <f>IF(H28="",0,IFERROR(INDEX(Config!$J$4:$J$6,MATCH(H28,Config!$H$4:$H$6,0)),0))</f>
        <v>4</v>
      </c>
      <c r="J28">
        <f t="shared" si="2"/>
        <v>6146</v>
      </c>
      <c r="K28" s="5">
        <f t="shared" si="3"/>
        <v>7.1134259259259258E-2</v>
      </c>
      <c r="L28">
        <f>IF(A28="",999,IFERROR(MATCH(B28,Config!$A$4:$A$7,0),99)*10+IF(ISNUMBER(F28),1,IF(F28="",2,IF(UPPER(F28)="DNF",3,IF(UPPER(F28)="DNS",4,8)))))</f>
        <v>31</v>
      </c>
    </row>
    <row r="29" spans="1:12" x14ac:dyDescent="0.25">
      <c r="A29">
        <v>108</v>
      </c>
      <c r="B29" t="str">
        <f>IF(A29="","",IFERROR(INDEX(tblReg[Field],MATCH(A29,tblReg[Bib],0)),""))</f>
        <v>Men 50+</v>
      </c>
      <c r="C29" t="str">
        <f>IF(A29="","",IFERROR(INDEX(tblReg[FirstName],MATCH(A29,tblReg[Bib],0)),""))</f>
        <v>Ruby</v>
      </c>
      <c r="D29" t="str">
        <f>IF(A29="","",IFERROR(INDEX(tblReg[LastName],MATCH(A29,tblReg[Bib],0)),""))</f>
        <v>Anderson</v>
      </c>
      <c r="E29" t="str">
        <f>IF(A29="","",IFERROR(INDEX(tblReg[Team],MATCH(A29,tblReg[Bib],0)),""))</f>
        <v>Rapid Chain</v>
      </c>
      <c r="F29" s="4" t="s">
        <v>114</v>
      </c>
      <c r="G29" t="str">
        <f t="shared" si="0"/>
        <v/>
      </c>
      <c r="H29" t="str">
        <f t="shared" si="1"/>
        <v/>
      </c>
      <c r="I29">
        <f>IF(H29="",0,IFERROR(INDEX(Config!$J$4:$J$6,MATCH(H29,Config!$H$4:$H$6,0)),0))</f>
        <v>0</v>
      </c>
      <c r="J29" t="str">
        <f t="shared" si="2"/>
        <v/>
      </c>
      <c r="K29" s="5" t="str">
        <f t="shared" si="3"/>
        <v/>
      </c>
      <c r="L29">
        <f>IF(A29="",999,IFERROR(MATCH(B29,Config!$A$4:$A$7,0),99)*10+IF(ISNUMBER(F29),1,IF(F29="",2,IF(UPPER(F29)="DNF",3,IF(UPPER(F29)="DNS",4,8)))))</f>
        <v>33</v>
      </c>
    </row>
    <row r="30" spans="1:12" x14ac:dyDescent="0.25">
      <c r="A30">
        <v>109</v>
      </c>
      <c r="B30" t="str">
        <f>IF(A30="","",IFERROR(INDEX(tblReg[Field],MATCH(A30,tblReg[Bib],0)),""))</f>
        <v>Men 50+</v>
      </c>
      <c r="C30" t="str">
        <f>IF(A30="","",IFERROR(INDEX(tblReg[FirstName],MATCH(A30,tblReg[Bib],0)),""))</f>
        <v>Sofia</v>
      </c>
      <c r="D30" t="str">
        <f>IF(A30="","",IFERROR(INDEX(tblReg[LastName],MATCH(A30,tblReg[Bib],0)),""))</f>
        <v>Brown</v>
      </c>
      <c r="E30" t="str">
        <f>IF(A30="","",IFERROR(INDEX(tblReg[Team],MATCH(A30,tblReg[Bib],0)),""))</f>
        <v>Apex Cycling</v>
      </c>
      <c r="F30" s="4">
        <v>7.8043981481481478E-2</v>
      </c>
      <c r="G30">
        <f t="shared" si="0"/>
        <v>6743</v>
      </c>
      <c r="H30">
        <f t="shared" si="1"/>
        <v>7</v>
      </c>
      <c r="I30">
        <f>IF(H30="",0,IFERROR(INDEX(Config!$J$4:$J$6,MATCH(H30,Config!$H$4:$H$6,0)),0))</f>
        <v>0</v>
      </c>
      <c r="J30">
        <f t="shared" si="2"/>
        <v>6743</v>
      </c>
      <c r="K30" s="5">
        <f t="shared" si="3"/>
        <v>7.8043981481481478E-2</v>
      </c>
      <c r="L30">
        <f>IF(A30="",999,IFERROR(MATCH(B30,Config!$A$4:$A$7,0),99)*10+IF(ISNUMBER(F30),1,IF(F30="",2,IF(UPPER(F30)="DNF",3,IF(UPPER(F30)="DNS",4,8)))))</f>
        <v>31</v>
      </c>
    </row>
    <row r="31" spans="1:12" x14ac:dyDescent="0.25">
      <c r="A31">
        <v>110</v>
      </c>
      <c r="B31" t="str">
        <f>IF(A31="","",IFERROR(INDEX(tblReg[Field],MATCH(A31,tblReg[Bib],0)),""))</f>
        <v>Men 50+</v>
      </c>
      <c r="C31" t="str">
        <f>IF(A31="","",IFERROR(INDEX(tblReg[FirstName],MATCH(A31,tblReg[Bib],0)),""))</f>
        <v>Emma</v>
      </c>
      <c r="D31" t="str">
        <f>IF(A31="","",IFERROR(INDEX(tblReg[LastName],MATCH(A31,tblReg[Bib],0)),""))</f>
        <v>Moore</v>
      </c>
      <c r="E31" t="str">
        <f>IF(A31="","",IFERROR(INDEX(tblReg[Team],MATCH(A31,tblReg[Bib],0)),""))</f>
        <v>Summit Wheels</v>
      </c>
      <c r="F31" s="4">
        <v>7.784722222222222E-2</v>
      </c>
      <c r="G31">
        <f t="shared" si="0"/>
        <v>6726</v>
      </c>
      <c r="H31">
        <f t="shared" si="1"/>
        <v>6</v>
      </c>
      <c r="I31">
        <f>IF(H31="",0,IFERROR(INDEX(Config!$J$4:$J$6,MATCH(H31,Config!$H$4:$H$6,0)),0))</f>
        <v>0</v>
      </c>
      <c r="J31">
        <f t="shared" si="2"/>
        <v>6726</v>
      </c>
      <c r="K31" s="5">
        <f t="shared" si="3"/>
        <v>7.784722222222222E-2</v>
      </c>
      <c r="L31">
        <f>IF(A31="",999,IFERROR(MATCH(B31,Config!$A$4:$A$7,0),99)*10+IF(ISNUMBER(F31),1,IF(F31="",2,IF(UPPER(F31)="DNF",3,IF(UPPER(F31)="DNS",4,8)))))</f>
        <v>31</v>
      </c>
    </row>
    <row r="32" spans="1:12" x14ac:dyDescent="0.25">
      <c r="A32">
        <v>151</v>
      </c>
      <c r="B32" t="str">
        <f>IF(A32="","",IFERROR(INDEX(tblReg[Field],MATCH(A32,tblReg[Bib],0)),""))</f>
        <v>Women</v>
      </c>
      <c r="C32" t="str">
        <f>IF(A32="","",IFERROR(INDEX(tblReg[FirstName],MATCH(A32,tblReg[Bib],0)),""))</f>
        <v>Ruby</v>
      </c>
      <c r="D32" t="str">
        <f>IF(A32="","",IFERROR(INDEX(tblReg[LastName],MATCH(A32,tblReg[Bib],0)),""))</f>
        <v>Nguyen</v>
      </c>
      <c r="E32" t="str">
        <f>IF(A32="","",IFERROR(INDEX(tblReg[Team],MATCH(A32,tblReg[Bib],0)),""))</f>
        <v>City Sprint</v>
      </c>
      <c r="F32" s="4">
        <v>7.2893518518518524E-2</v>
      </c>
      <c r="G32">
        <f t="shared" si="0"/>
        <v>6298</v>
      </c>
      <c r="H32">
        <f t="shared" si="1"/>
        <v>4</v>
      </c>
      <c r="I32">
        <f>IF(H32="",0,IFERROR(INDEX(Config!$J$4:$J$6,MATCH(H32,Config!$H$4:$H$6,0)),0))</f>
        <v>0</v>
      </c>
      <c r="J32">
        <f t="shared" si="2"/>
        <v>6298</v>
      </c>
      <c r="K32" s="5">
        <f t="shared" si="3"/>
        <v>7.2893518518518524E-2</v>
      </c>
      <c r="L32">
        <f>IF(A32="",999,IFERROR(MATCH(B32,Config!$A$4:$A$7,0),99)*10+IF(ISNUMBER(F32),1,IF(F32="",2,IF(UPPER(F32)="DNF",3,IF(UPPER(F32)="DNS",4,8)))))</f>
        <v>41</v>
      </c>
    </row>
    <row r="33" spans="1:12" x14ac:dyDescent="0.25">
      <c r="A33">
        <v>152</v>
      </c>
      <c r="B33" t="str">
        <f>IF(A33="","",IFERROR(INDEX(tblReg[Field],MATCH(A33,tblReg[Bib],0)),""))</f>
        <v>Women</v>
      </c>
      <c r="C33" t="str">
        <f>IF(A33="","",IFERROR(INDEX(tblReg[FirstName],MATCH(A33,tblReg[Bib],0)),""))</f>
        <v>Ivy</v>
      </c>
      <c r="D33" t="str">
        <f>IF(A33="","",IFERROR(INDEX(tblReg[LastName],MATCH(A33,tblReg[Bib],0)),""))</f>
        <v>Lewis</v>
      </c>
      <c r="E33" t="str">
        <f>IF(A33="","",IFERROR(INDEX(tblReg[Team],MATCH(A33,tblReg[Bib],0)),""))</f>
        <v>Summit Wheels</v>
      </c>
      <c r="F33" s="4" t="s">
        <v>114</v>
      </c>
      <c r="G33" t="str">
        <f t="shared" si="0"/>
        <v/>
      </c>
      <c r="H33" t="str">
        <f t="shared" si="1"/>
        <v/>
      </c>
      <c r="I33">
        <f>IF(H33="",0,IFERROR(INDEX(Config!$J$4:$J$6,MATCH(H33,Config!$H$4:$H$6,0)),0))</f>
        <v>0</v>
      </c>
      <c r="J33" t="str">
        <f t="shared" si="2"/>
        <v/>
      </c>
      <c r="K33" s="5" t="str">
        <f t="shared" si="3"/>
        <v/>
      </c>
      <c r="L33">
        <f>IF(A33="",999,IFERROR(MATCH(B33,Config!$A$4:$A$7,0),99)*10+IF(ISNUMBER(F33),1,IF(F33="",2,IF(UPPER(F33)="DNF",3,IF(UPPER(F33)="DNS",4,8)))))</f>
        <v>43</v>
      </c>
    </row>
    <row r="34" spans="1:12" x14ac:dyDescent="0.25">
      <c r="A34">
        <v>153</v>
      </c>
      <c r="B34" t="str">
        <f>IF(A34="","",IFERROR(INDEX(tblReg[Field],MATCH(A34,tblReg[Bib],0)),""))</f>
        <v>Women</v>
      </c>
      <c r="C34" t="str">
        <f>IF(A34="","",IFERROR(INDEX(tblReg[FirstName],MATCH(A34,tblReg[Bib],0)),""))</f>
        <v>Kai</v>
      </c>
      <c r="D34" t="str">
        <f>IF(A34="","",IFERROR(INDEX(tblReg[LastName],MATCH(A34,tblReg[Bib],0)),""))</f>
        <v>Taylor</v>
      </c>
      <c r="E34" t="str">
        <f>IF(A34="","",IFERROR(INDEX(tblReg[Team],MATCH(A34,tblReg[Bib],0)),""))</f>
        <v>Northwind Velo</v>
      </c>
      <c r="F34" s="4" t="s">
        <v>115</v>
      </c>
      <c r="G34" t="str">
        <f t="shared" si="0"/>
        <v/>
      </c>
      <c r="H34" t="str">
        <f t="shared" si="1"/>
        <v/>
      </c>
      <c r="I34">
        <f>IF(H34="",0,IFERROR(INDEX(Config!$J$4:$J$6,MATCH(H34,Config!$H$4:$H$6,0)),0))</f>
        <v>0</v>
      </c>
      <c r="J34" t="str">
        <f t="shared" si="2"/>
        <v/>
      </c>
      <c r="K34" s="5" t="str">
        <f t="shared" si="3"/>
        <v/>
      </c>
      <c r="L34">
        <f>IF(A34="",999,IFERROR(MATCH(B34,Config!$A$4:$A$7,0),99)*10+IF(ISNUMBER(F34),1,IF(F34="",2,IF(UPPER(F34)="DNF",3,IF(UPPER(F34)="DNS",4,8)))))</f>
        <v>44</v>
      </c>
    </row>
    <row r="35" spans="1:12" x14ac:dyDescent="0.25">
      <c r="A35">
        <v>154</v>
      </c>
      <c r="B35" t="str">
        <f>IF(A35="","",IFERROR(INDEX(tblReg[Field],MATCH(A35,tblReg[Bib],0)),""))</f>
        <v>Women</v>
      </c>
      <c r="C35" t="str">
        <f>IF(A35="","",IFERROR(INDEX(tblReg[FirstName],MATCH(A35,tblReg[Bib],0)),""))</f>
        <v>Aria</v>
      </c>
      <c r="D35" t="str">
        <f>IF(A35="","",IFERROR(INDEX(tblReg[LastName],MATCH(A35,tblReg[Bib],0)),""))</f>
        <v>Lopez</v>
      </c>
      <c r="E35" t="str">
        <f>IF(A35="","",IFERROR(INDEX(tblReg[Team],MATCH(A35,tblReg[Bib],0)),""))</f>
        <v>Rapid Chain</v>
      </c>
      <c r="F35" s="4">
        <v>7.0254629629629625E-2</v>
      </c>
      <c r="G35">
        <f t="shared" si="0"/>
        <v>6070</v>
      </c>
      <c r="H35">
        <f t="shared" si="1"/>
        <v>3</v>
      </c>
      <c r="I35">
        <f>IF(H35="",0,IFERROR(INDEX(Config!$J$4:$J$6,MATCH(H35,Config!$H$4:$H$6,0)),0))</f>
        <v>4</v>
      </c>
      <c r="J35">
        <f t="shared" si="2"/>
        <v>6066</v>
      </c>
      <c r="K35" s="5">
        <f t="shared" si="3"/>
        <v>7.0208333333333331E-2</v>
      </c>
      <c r="L35">
        <f>IF(A35="",999,IFERROR(MATCH(B35,Config!$A$4:$A$7,0),99)*10+IF(ISNUMBER(F35),1,IF(F35="",2,IF(UPPER(F35)="DNF",3,IF(UPPER(F35)="DNS",4,8)))))</f>
        <v>41</v>
      </c>
    </row>
    <row r="36" spans="1:12" x14ac:dyDescent="0.25">
      <c r="A36">
        <v>155</v>
      </c>
      <c r="B36" t="str">
        <f>IF(A36="","",IFERROR(INDEX(tblReg[Field],MATCH(A36,tblReg[Bib],0)),""))</f>
        <v>Women</v>
      </c>
      <c r="C36" t="str">
        <f>IF(A36="","",IFERROR(INDEX(tblReg[FirstName],MATCH(A36,tblReg[Bib],0)),""))</f>
        <v>Jude</v>
      </c>
      <c r="D36" t="str">
        <f>IF(A36="","",IFERROR(INDEX(tblReg[LastName],MATCH(A36,tblReg[Bib],0)),""))</f>
        <v>Martinez</v>
      </c>
      <c r="E36" t="str">
        <f>IF(A36="","",IFERROR(INDEX(tblReg[Team],MATCH(A36,tblReg[Bib],0)),""))</f>
        <v>Rapid Chain</v>
      </c>
      <c r="F36" s="4">
        <v>6.9479166666666661E-2</v>
      </c>
      <c r="G36">
        <f t="shared" si="0"/>
        <v>6003</v>
      </c>
      <c r="H36">
        <f t="shared" si="1"/>
        <v>1</v>
      </c>
      <c r="I36">
        <f>IF(H36="",0,IFERROR(INDEX(Config!$J$4:$J$6,MATCH(H36,Config!$H$4:$H$6,0)),0))</f>
        <v>10</v>
      </c>
      <c r="J36">
        <f t="shared" si="2"/>
        <v>5993</v>
      </c>
      <c r="K36" s="5">
        <f t="shared" si="3"/>
        <v>6.9363425925925926E-2</v>
      </c>
      <c r="L36">
        <f>IF(A36="",999,IFERROR(MATCH(B36,Config!$A$4:$A$7,0),99)*10+IF(ISNUMBER(F36),1,IF(F36="",2,IF(UPPER(F36)="DNF",3,IF(UPPER(F36)="DNS",4,8)))))</f>
        <v>41</v>
      </c>
    </row>
    <row r="37" spans="1:12" x14ac:dyDescent="0.25">
      <c r="A37">
        <v>156</v>
      </c>
      <c r="B37" t="str">
        <f>IF(A37="","",IFERROR(INDEX(tblReg[Field],MATCH(A37,tblReg[Bib],0)),""))</f>
        <v>Women</v>
      </c>
      <c r="C37" t="str">
        <f>IF(A37="","",IFERROR(INDEX(tblReg[FirstName],MATCH(A37,tblReg[Bib],0)),""))</f>
        <v>Ruby</v>
      </c>
      <c r="D37" t="str">
        <f>IF(A37="","",IFERROR(INDEX(tblReg[LastName],MATCH(A37,tblReg[Bib],0)),""))</f>
        <v>Brown</v>
      </c>
      <c r="E37" t="str">
        <f>IF(A37="","",IFERROR(INDEX(tblReg[Team],MATCH(A37,tblReg[Bib],0)),""))</f>
        <v>Rapid Chain</v>
      </c>
      <c r="F37" s="4" t="s">
        <v>114</v>
      </c>
      <c r="G37" t="str">
        <f t="shared" si="0"/>
        <v/>
      </c>
      <c r="H37" t="str">
        <f t="shared" si="1"/>
        <v/>
      </c>
      <c r="I37">
        <f>IF(H37="",0,IFERROR(INDEX(Config!$J$4:$J$6,MATCH(H37,Config!$H$4:$H$6,0)),0))</f>
        <v>0</v>
      </c>
      <c r="J37" t="str">
        <f t="shared" si="2"/>
        <v/>
      </c>
      <c r="K37" s="5" t="str">
        <f t="shared" si="3"/>
        <v/>
      </c>
      <c r="L37">
        <f>IF(A37="",999,IFERROR(MATCH(B37,Config!$A$4:$A$7,0),99)*10+IF(ISNUMBER(F37),1,IF(F37="",2,IF(UPPER(F37)="DNF",3,IF(UPPER(F37)="DNS",4,8)))))</f>
        <v>43</v>
      </c>
    </row>
    <row r="38" spans="1:12" x14ac:dyDescent="0.25">
      <c r="A38">
        <v>157</v>
      </c>
      <c r="B38" t="str">
        <f>IF(A38="","",IFERROR(INDEX(tblReg[Field],MATCH(A38,tblReg[Bib],0)),""))</f>
        <v>Women</v>
      </c>
      <c r="C38" t="str">
        <f>IF(A38="","",IFERROR(INDEX(tblReg[FirstName],MATCH(A38,tblReg[Bib],0)),""))</f>
        <v>Ethan</v>
      </c>
      <c r="D38" t="str">
        <f>IF(A38="","",IFERROR(INDEX(tblReg[LastName],MATCH(A38,tblReg[Bib],0)),""))</f>
        <v>Park</v>
      </c>
      <c r="E38" t="str">
        <f>IF(A38="","",IFERROR(INDEX(tblReg[Team],MATCH(A38,tblReg[Bib],0)),""))</f>
        <v>City Sprint</v>
      </c>
      <c r="F38" s="4" t="s">
        <v>115</v>
      </c>
      <c r="G38" t="str">
        <f t="shared" si="0"/>
        <v/>
      </c>
      <c r="H38" t="str">
        <f t="shared" si="1"/>
        <v/>
      </c>
      <c r="I38">
        <f>IF(H38="",0,IFERROR(INDEX(Config!$J$4:$J$6,MATCH(H38,Config!$H$4:$H$6,0)),0))</f>
        <v>0</v>
      </c>
      <c r="J38" t="str">
        <f t="shared" si="2"/>
        <v/>
      </c>
      <c r="K38" s="5" t="str">
        <f t="shared" si="3"/>
        <v/>
      </c>
      <c r="L38">
        <f>IF(A38="",999,IFERROR(MATCH(B38,Config!$A$4:$A$7,0),99)*10+IF(ISNUMBER(F38),1,IF(F38="",2,IF(UPPER(F38)="DNF",3,IF(UPPER(F38)="DNS",4,8)))))</f>
        <v>44</v>
      </c>
    </row>
    <row r="39" spans="1:12" x14ac:dyDescent="0.25">
      <c r="A39">
        <v>158</v>
      </c>
      <c r="B39" t="str">
        <f>IF(A39="","",IFERROR(INDEX(tblReg[Field],MATCH(A39,tblReg[Bib],0)),""))</f>
        <v>Women</v>
      </c>
      <c r="C39" t="str">
        <f>IF(A39="","",IFERROR(INDEX(tblReg[FirstName],MATCH(A39,tblReg[Bib],0)),""))</f>
        <v>Mila</v>
      </c>
      <c r="D39" t="str">
        <f>IF(A39="","",IFERROR(INDEX(tblReg[LastName],MATCH(A39,tblReg[Bib],0)),""))</f>
        <v>Kim</v>
      </c>
      <c r="E39" t="str">
        <f>IF(A39="","",IFERROR(INDEX(tblReg[Team],MATCH(A39,tblReg[Bib],0)),""))</f>
        <v>City Sprint</v>
      </c>
      <c r="F39" s="4">
        <v>7.5925925925925924E-2</v>
      </c>
      <c r="G39">
        <f t="shared" si="0"/>
        <v>6560</v>
      </c>
      <c r="H39">
        <f t="shared" si="1"/>
        <v>6</v>
      </c>
      <c r="I39">
        <f>IF(H39="",0,IFERROR(INDEX(Config!$J$4:$J$6,MATCH(H39,Config!$H$4:$H$6,0)),0))</f>
        <v>0</v>
      </c>
      <c r="J39">
        <f t="shared" si="2"/>
        <v>6560</v>
      </c>
      <c r="K39" s="5">
        <f t="shared" si="3"/>
        <v>7.5925925925925924E-2</v>
      </c>
      <c r="L39">
        <f>IF(A39="",999,IFERROR(MATCH(B39,Config!$A$4:$A$7,0),99)*10+IF(ISNUMBER(F39),1,IF(F39="",2,IF(UPPER(F39)="DNF",3,IF(UPPER(F39)="DNS",4,8)))))</f>
        <v>41</v>
      </c>
    </row>
    <row r="40" spans="1:12" x14ac:dyDescent="0.25">
      <c r="A40">
        <v>159</v>
      </c>
      <c r="B40" t="str">
        <f>IF(A40="","",IFERROR(INDEX(tblReg[Field],MATCH(A40,tblReg[Bib],0)),""))</f>
        <v>Women</v>
      </c>
      <c r="C40" t="str">
        <f>IF(A40="","",IFERROR(INDEX(tblReg[FirstName],MATCH(A40,tblReg[Bib],0)),""))</f>
        <v>Emma</v>
      </c>
      <c r="D40" t="str">
        <f>IF(A40="","",IFERROR(INDEX(tblReg[LastName],MATCH(A40,tblReg[Bib],0)),""))</f>
        <v>Brown</v>
      </c>
      <c r="E40" t="str">
        <f>IF(A40="","",IFERROR(INDEX(tblReg[Team],MATCH(A40,tblReg[Bib],0)),""))</f>
        <v>Rapid Chain</v>
      </c>
      <c r="F40" s="4">
        <v>7.4259259259259261E-2</v>
      </c>
      <c r="G40">
        <f t="shared" si="0"/>
        <v>6416</v>
      </c>
      <c r="H40">
        <f t="shared" si="1"/>
        <v>5</v>
      </c>
      <c r="I40">
        <f>IF(H40="",0,IFERROR(INDEX(Config!$J$4:$J$6,MATCH(H40,Config!$H$4:$H$6,0)),0))</f>
        <v>0</v>
      </c>
      <c r="J40">
        <f t="shared" si="2"/>
        <v>6416</v>
      </c>
      <c r="K40" s="5">
        <f t="shared" si="3"/>
        <v>7.4259259259259261E-2</v>
      </c>
      <c r="L40">
        <f>IF(A40="",999,IFERROR(MATCH(B40,Config!$A$4:$A$7,0),99)*10+IF(ISNUMBER(F40),1,IF(F40="",2,IF(UPPER(F40)="DNF",3,IF(UPPER(F40)="DNS",4,8)))))</f>
        <v>41</v>
      </c>
    </row>
    <row r="41" spans="1:12" x14ac:dyDescent="0.25">
      <c r="A41">
        <v>160</v>
      </c>
      <c r="B41" t="str">
        <f>IF(A41="","",IFERROR(INDEX(tblReg[Field],MATCH(A41,tblReg[Bib],0)),""))</f>
        <v>Women</v>
      </c>
      <c r="C41" t="str">
        <f>IF(A41="","",IFERROR(INDEX(tblReg[FirstName],MATCH(A41,tblReg[Bib],0)),""))</f>
        <v>Noah</v>
      </c>
      <c r="D41" t="str">
        <f>IF(A41="","",IFERROR(INDEX(tblReg[LastName],MATCH(A41,tblReg[Bib],0)),""))</f>
        <v>Davis</v>
      </c>
      <c r="E41" t="str">
        <f>IF(A41="","",IFERROR(INDEX(tblReg[Team],MATCH(A41,tblReg[Bib],0)),""))</f>
        <v>Rapid Chain</v>
      </c>
      <c r="F41" s="4">
        <v>6.9918981481481485E-2</v>
      </c>
      <c r="G41">
        <f t="shared" si="0"/>
        <v>6041</v>
      </c>
      <c r="H41">
        <f t="shared" si="1"/>
        <v>2</v>
      </c>
      <c r="I41">
        <f>IF(H41="",0,IFERROR(INDEX(Config!$J$4:$J$6,MATCH(H41,Config!$H$4:$H$6,0)),0))</f>
        <v>6</v>
      </c>
      <c r="J41">
        <f t="shared" si="2"/>
        <v>6035</v>
      </c>
      <c r="K41" s="5">
        <f t="shared" si="3"/>
        <v>6.9849537037037043E-2</v>
      </c>
      <c r="L41">
        <f>IF(A41="",999,IFERROR(MATCH(B41,Config!$A$4:$A$7,0),99)*10+IF(ISNUMBER(F41),1,IF(F41="",2,IF(UPPER(F41)="DNF",3,IF(UPPER(F41)="DNS",4,8)))))</f>
        <v>41</v>
      </c>
    </row>
    <row r="42" spans="1:12" x14ac:dyDescent="0.25">
      <c r="B42" t="str">
        <f>IF(A42="","",IFERROR(INDEX(tblReg[Field],MATCH(A42,tblReg[Bib],0)),""))</f>
        <v/>
      </c>
      <c r="C42" t="str">
        <f>IF(A42="","",IFERROR(INDEX(tblReg[FirstName],MATCH(A42,tblReg[Bib],0)),""))</f>
        <v/>
      </c>
      <c r="D42" t="str">
        <f>IF(A42="","",IFERROR(INDEX(tblReg[LastName],MATCH(A42,tblReg[Bib],0)),""))</f>
        <v/>
      </c>
      <c r="E42" t="str">
        <f>IF(A42="","",IFERROR(INDEX(tblReg[Team],MATCH(A42,tblReg[Bib],0)),""))</f>
        <v/>
      </c>
      <c r="F42" s="4" t="s">
        <v>103</v>
      </c>
      <c r="G42" t="str">
        <f t="shared" si="0"/>
        <v/>
      </c>
      <c r="H42" t="str">
        <f t="shared" si="1"/>
        <v/>
      </c>
      <c r="I42">
        <f>IF(H42="",0,IFERROR(INDEX(Config!$J$4:$J$6,MATCH(H42,Config!$H$4:$H$6,0)),0))</f>
        <v>0</v>
      </c>
      <c r="J42" t="str">
        <f t="shared" si="2"/>
        <v/>
      </c>
      <c r="K42" s="5" t="str">
        <f t="shared" si="3"/>
        <v/>
      </c>
      <c r="L42">
        <f>IF(A42="",999,IFERROR(MATCH(B42,Config!$A$4:$A$7,0),99)*10+IF(ISNUMBER(F42),1,IF(F42="",2,IF(UPPER(F42)="DNF",3,IF(UPPER(F42)="DNS",4,8)))))</f>
        <v>999</v>
      </c>
    </row>
    <row r="43" spans="1:12" x14ac:dyDescent="0.25">
      <c r="B43" t="str">
        <f>IF(A43="","",IFERROR(INDEX(tblReg[Field],MATCH(A43,tblReg[Bib],0)),""))</f>
        <v/>
      </c>
      <c r="C43" t="str">
        <f>IF(A43="","",IFERROR(INDEX(tblReg[FirstName],MATCH(A43,tblReg[Bib],0)),""))</f>
        <v/>
      </c>
      <c r="D43" t="str">
        <f>IF(A43="","",IFERROR(INDEX(tblReg[LastName],MATCH(A43,tblReg[Bib],0)),""))</f>
        <v/>
      </c>
      <c r="E43" t="str">
        <f>IF(A43="","",IFERROR(INDEX(tblReg[Team],MATCH(A43,tblReg[Bib],0)),""))</f>
        <v/>
      </c>
      <c r="F43" s="4" t="s">
        <v>103</v>
      </c>
      <c r="G43" t="str">
        <f t="shared" si="0"/>
        <v/>
      </c>
      <c r="H43" t="str">
        <f t="shared" si="1"/>
        <v/>
      </c>
      <c r="I43">
        <f>IF(H43="",0,IFERROR(INDEX(Config!$J$4:$J$6,MATCH(H43,Config!$H$4:$H$6,0)),0))</f>
        <v>0</v>
      </c>
      <c r="J43" t="str">
        <f t="shared" si="2"/>
        <v/>
      </c>
      <c r="K43" s="5" t="str">
        <f t="shared" si="3"/>
        <v/>
      </c>
      <c r="L43">
        <f>IF(A43="",999,IFERROR(MATCH(B43,Config!$A$4:$A$7,0),99)*10+IF(ISNUMBER(F43),1,IF(F43="",2,IF(UPPER(F43)="DNF",3,IF(UPPER(F43)="DNS",4,8)))))</f>
        <v>999</v>
      </c>
    </row>
    <row r="44" spans="1:12" x14ac:dyDescent="0.25">
      <c r="B44" t="str">
        <f>IF(A44="","",IFERROR(INDEX(tblReg[Field],MATCH(A44,tblReg[Bib],0)),""))</f>
        <v/>
      </c>
      <c r="C44" t="str">
        <f>IF(A44="","",IFERROR(INDEX(tblReg[FirstName],MATCH(A44,tblReg[Bib],0)),""))</f>
        <v/>
      </c>
      <c r="D44" t="str">
        <f>IF(A44="","",IFERROR(INDEX(tblReg[LastName],MATCH(A44,tblReg[Bib],0)),""))</f>
        <v/>
      </c>
      <c r="E44" t="str">
        <f>IF(A44="","",IFERROR(INDEX(tblReg[Team],MATCH(A44,tblReg[Bib],0)),""))</f>
        <v/>
      </c>
      <c r="F44" s="4" t="s">
        <v>103</v>
      </c>
      <c r="G44" t="str">
        <f t="shared" si="0"/>
        <v/>
      </c>
      <c r="H44" t="str">
        <f t="shared" si="1"/>
        <v/>
      </c>
      <c r="I44">
        <f>IF(H44="",0,IFERROR(INDEX(Config!$J$4:$J$6,MATCH(H44,Config!$H$4:$H$6,0)),0))</f>
        <v>0</v>
      </c>
      <c r="J44" t="str">
        <f t="shared" si="2"/>
        <v/>
      </c>
      <c r="K44" s="5" t="str">
        <f t="shared" si="3"/>
        <v/>
      </c>
      <c r="L44">
        <f>IF(A44="",999,IFERROR(MATCH(B44,Config!$A$4:$A$7,0),99)*10+IF(ISNUMBER(F44),1,IF(F44="",2,IF(UPPER(F44)="DNF",3,IF(UPPER(F44)="DNS",4,8)))))</f>
        <v>999</v>
      </c>
    </row>
    <row r="45" spans="1:12" x14ac:dyDescent="0.25">
      <c r="B45" t="str">
        <f>IF(A45="","",IFERROR(INDEX(tblReg[Field],MATCH(A45,tblReg[Bib],0)),""))</f>
        <v/>
      </c>
      <c r="C45" t="str">
        <f>IF(A45="","",IFERROR(INDEX(tblReg[FirstName],MATCH(A45,tblReg[Bib],0)),""))</f>
        <v/>
      </c>
      <c r="D45" t="str">
        <f>IF(A45="","",IFERROR(INDEX(tblReg[LastName],MATCH(A45,tblReg[Bib],0)),""))</f>
        <v/>
      </c>
      <c r="E45" t="str">
        <f>IF(A45="","",IFERROR(INDEX(tblReg[Team],MATCH(A45,tblReg[Bib],0)),""))</f>
        <v/>
      </c>
      <c r="F45" s="4" t="s">
        <v>103</v>
      </c>
      <c r="G45" t="str">
        <f t="shared" si="0"/>
        <v/>
      </c>
      <c r="H45" t="str">
        <f t="shared" si="1"/>
        <v/>
      </c>
      <c r="I45">
        <f>IF(H45="",0,IFERROR(INDEX(Config!$J$4:$J$6,MATCH(H45,Config!$H$4:$H$6,0)),0))</f>
        <v>0</v>
      </c>
      <c r="J45" t="str">
        <f t="shared" si="2"/>
        <v/>
      </c>
      <c r="K45" s="5" t="str">
        <f t="shared" si="3"/>
        <v/>
      </c>
      <c r="L45">
        <f>IF(A45="",999,IFERROR(MATCH(B45,Config!$A$4:$A$7,0),99)*10+IF(ISNUMBER(F45),1,IF(F45="",2,IF(UPPER(F45)="DNF",3,IF(UPPER(F45)="DNS",4,8)))))</f>
        <v>999</v>
      </c>
    </row>
    <row r="46" spans="1:12" x14ac:dyDescent="0.25">
      <c r="B46" t="str">
        <f>IF(A46="","",IFERROR(INDEX(tblReg[Field],MATCH(A46,tblReg[Bib],0)),""))</f>
        <v/>
      </c>
      <c r="C46" t="str">
        <f>IF(A46="","",IFERROR(INDEX(tblReg[FirstName],MATCH(A46,tblReg[Bib],0)),""))</f>
        <v/>
      </c>
      <c r="D46" t="str">
        <f>IF(A46="","",IFERROR(INDEX(tblReg[LastName],MATCH(A46,tblReg[Bib],0)),""))</f>
        <v/>
      </c>
      <c r="E46" t="str">
        <f>IF(A46="","",IFERROR(INDEX(tblReg[Team],MATCH(A46,tblReg[Bib],0)),""))</f>
        <v/>
      </c>
      <c r="F46" s="4" t="s">
        <v>103</v>
      </c>
      <c r="G46" t="str">
        <f t="shared" si="0"/>
        <v/>
      </c>
      <c r="H46" t="str">
        <f t="shared" si="1"/>
        <v/>
      </c>
      <c r="I46">
        <f>IF(H46="",0,IFERROR(INDEX(Config!$J$4:$J$6,MATCH(H46,Config!$H$4:$H$6,0)),0))</f>
        <v>0</v>
      </c>
      <c r="J46" t="str">
        <f t="shared" si="2"/>
        <v/>
      </c>
      <c r="K46" s="5" t="str">
        <f t="shared" si="3"/>
        <v/>
      </c>
      <c r="L46">
        <f>IF(A46="",999,IFERROR(MATCH(B46,Config!$A$4:$A$7,0),99)*10+IF(ISNUMBER(F46),1,IF(F46="",2,IF(UPPER(F46)="DNF",3,IF(UPPER(F46)="DNS",4,8)))))</f>
        <v>999</v>
      </c>
    </row>
    <row r="47" spans="1:12" x14ac:dyDescent="0.25">
      <c r="B47" t="str">
        <f>IF(A47="","",IFERROR(INDEX(tblReg[Field],MATCH(A47,tblReg[Bib],0)),""))</f>
        <v/>
      </c>
      <c r="C47" t="str">
        <f>IF(A47="","",IFERROR(INDEX(tblReg[FirstName],MATCH(A47,tblReg[Bib],0)),""))</f>
        <v/>
      </c>
      <c r="D47" t="str">
        <f>IF(A47="","",IFERROR(INDEX(tblReg[LastName],MATCH(A47,tblReg[Bib],0)),""))</f>
        <v/>
      </c>
      <c r="E47" t="str">
        <f>IF(A47="","",IFERROR(INDEX(tblReg[Team],MATCH(A47,tblReg[Bib],0)),""))</f>
        <v/>
      </c>
      <c r="F47" s="4" t="s">
        <v>103</v>
      </c>
      <c r="G47" t="str">
        <f t="shared" si="0"/>
        <v/>
      </c>
      <c r="H47" t="str">
        <f t="shared" si="1"/>
        <v/>
      </c>
      <c r="I47">
        <f>IF(H47="",0,IFERROR(INDEX(Config!$J$4:$J$6,MATCH(H47,Config!$H$4:$H$6,0)),0))</f>
        <v>0</v>
      </c>
      <c r="J47" t="str">
        <f t="shared" si="2"/>
        <v/>
      </c>
      <c r="K47" s="5" t="str">
        <f t="shared" si="3"/>
        <v/>
      </c>
      <c r="L47">
        <f>IF(A47="",999,IFERROR(MATCH(B47,Config!$A$4:$A$7,0),99)*10+IF(ISNUMBER(F47),1,IF(F47="",2,IF(UPPER(F47)="DNF",3,IF(UPPER(F47)="DNS",4,8)))))</f>
        <v>999</v>
      </c>
    </row>
    <row r="48" spans="1:12" x14ac:dyDescent="0.25">
      <c r="B48" t="str">
        <f>IF(A48="","",IFERROR(INDEX(tblReg[Field],MATCH(A48,tblReg[Bib],0)),""))</f>
        <v/>
      </c>
      <c r="C48" t="str">
        <f>IF(A48="","",IFERROR(INDEX(tblReg[FirstName],MATCH(A48,tblReg[Bib],0)),""))</f>
        <v/>
      </c>
      <c r="D48" t="str">
        <f>IF(A48="","",IFERROR(INDEX(tblReg[LastName],MATCH(A48,tblReg[Bib],0)),""))</f>
        <v/>
      </c>
      <c r="E48" t="str">
        <f>IF(A48="","",IFERROR(INDEX(tblReg[Team],MATCH(A48,tblReg[Bib],0)),""))</f>
        <v/>
      </c>
      <c r="F48" s="4" t="s">
        <v>103</v>
      </c>
      <c r="G48" t="str">
        <f t="shared" si="0"/>
        <v/>
      </c>
      <c r="H48" t="str">
        <f t="shared" si="1"/>
        <v/>
      </c>
      <c r="I48">
        <f>IF(H48="",0,IFERROR(INDEX(Config!$J$4:$J$6,MATCH(H48,Config!$H$4:$H$6,0)),0))</f>
        <v>0</v>
      </c>
      <c r="J48" t="str">
        <f t="shared" si="2"/>
        <v/>
      </c>
      <c r="K48" s="5" t="str">
        <f t="shared" si="3"/>
        <v/>
      </c>
      <c r="L48">
        <f>IF(A48="",999,IFERROR(MATCH(B48,Config!$A$4:$A$7,0),99)*10+IF(ISNUMBER(F48),1,IF(F48="",2,IF(UPPER(F48)="DNF",3,IF(UPPER(F48)="DNS",4,8)))))</f>
        <v>999</v>
      </c>
    </row>
    <row r="49" spans="2:12" x14ac:dyDescent="0.25">
      <c r="B49" t="str">
        <f>IF(A49="","",IFERROR(INDEX(tblReg[Field],MATCH(A49,tblReg[Bib],0)),""))</f>
        <v/>
      </c>
      <c r="C49" t="str">
        <f>IF(A49="","",IFERROR(INDEX(tblReg[FirstName],MATCH(A49,tblReg[Bib],0)),""))</f>
        <v/>
      </c>
      <c r="D49" t="str">
        <f>IF(A49="","",IFERROR(INDEX(tblReg[LastName],MATCH(A49,tblReg[Bib],0)),""))</f>
        <v/>
      </c>
      <c r="E49" t="str">
        <f>IF(A49="","",IFERROR(INDEX(tblReg[Team],MATCH(A49,tblReg[Bib],0)),""))</f>
        <v/>
      </c>
      <c r="F49" s="4" t="s">
        <v>103</v>
      </c>
      <c r="G49" t="str">
        <f t="shared" si="0"/>
        <v/>
      </c>
      <c r="H49" t="str">
        <f t="shared" si="1"/>
        <v/>
      </c>
      <c r="I49">
        <f>IF(H49="",0,IFERROR(INDEX(Config!$J$4:$J$6,MATCH(H49,Config!$H$4:$H$6,0)),0))</f>
        <v>0</v>
      </c>
      <c r="J49" t="str">
        <f t="shared" si="2"/>
        <v/>
      </c>
      <c r="K49" s="5" t="str">
        <f t="shared" si="3"/>
        <v/>
      </c>
      <c r="L49">
        <f>IF(A49="",999,IFERROR(MATCH(B49,Config!$A$4:$A$7,0),99)*10+IF(ISNUMBER(F49),1,IF(F49="",2,IF(UPPER(F49)="DNF",3,IF(UPPER(F49)="DNS",4,8)))))</f>
        <v>999</v>
      </c>
    </row>
    <row r="50" spans="2:12" x14ac:dyDescent="0.25">
      <c r="B50" t="str">
        <f>IF(A50="","",IFERROR(INDEX(tblReg[Field],MATCH(A50,tblReg[Bib],0)),""))</f>
        <v/>
      </c>
      <c r="C50" t="str">
        <f>IF(A50="","",IFERROR(INDEX(tblReg[FirstName],MATCH(A50,tblReg[Bib],0)),""))</f>
        <v/>
      </c>
      <c r="D50" t="str">
        <f>IF(A50="","",IFERROR(INDEX(tblReg[LastName],MATCH(A50,tblReg[Bib],0)),""))</f>
        <v/>
      </c>
      <c r="E50" t="str">
        <f>IF(A50="","",IFERROR(INDEX(tblReg[Team],MATCH(A50,tblReg[Bib],0)),""))</f>
        <v/>
      </c>
      <c r="F50" s="4" t="s">
        <v>103</v>
      </c>
      <c r="G50" t="str">
        <f t="shared" si="0"/>
        <v/>
      </c>
      <c r="H50" t="str">
        <f t="shared" si="1"/>
        <v/>
      </c>
      <c r="I50">
        <f>IF(H50="",0,IFERROR(INDEX(Config!$J$4:$J$6,MATCH(H50,Config!$H$4:$H$6,0)),0))</f>
        <v>0</v>
      </c>
      <c r="J50" t="str">
        <f t="shared" si="2"/>
        <v/>
      </c>
      <c r="K50" s="5" t="str">
        <f t="shared" si="3"/>
        <v/>
      </c>
      <c r="L50">
        <f>IF(A50="",999,IFERROR(MATCH(B50,Config!$A$4:$A$7,0),99)*10+IF(ISNUMBER(F50),1,IF(F50="",2,IF(UPPER(F50)="DNF",3,IF(UPPER(F50)="DNS",4,8)))))</f>
        <v>999</v>
      </c>
    </row>
    <row r="51" spans="2:12" x14ac:dyDescent="0.25">
      <c r="B51" t="str">
        <f>IF(A51="","",IFERROR(INDEX(tblReg[Field],MATCH(A51,tblReg[Bib],0)),""))</f>
        <v/>
      </c>
      <c r="C51" t="str">
        <f>IF(A51="","",IFERROR(INDEX(tblReg[FirstName],MATCH(A51,tblReg[Bib],0)),""))</f>
        <v/>
      </c>
      <c r="D51" t="str">
        <f>IF(A51="","",IFERROR(INDEX(tblReg[LastName],MATCH(A51,tblReg[Bib],0)),""))</f>
        <v/>
      </c>
      <c r="E51" t="str">
        <f>IF(A51="","",IFERROR(INDEX(tblReg[Team],MATCH(A51,tblReg[Bib],0)),""))</f>
        <v/>
      </c>
      <c r="F51" s="4" t="s">
        <v>103</v>
      </c>
      <c r="G51" t="str">
        <f t="shared" si="0"/>
        <v/>
      </c>
      <c r="H51" t="str">
        <f t="shared" si="1"/>
        <v/>
      </c>
      <c r="I51">
        <f>IF(H51="",0,IFERROR(INDEX(Config!$J$4:$J$6,MATCH(H51,Config!$H$4:$H$6,0)),0))</f>
        <v>0</v>
      </c>
      <c r="J51" t="str">
        <f t="shared" si="2"/>
        <v/>
      </c>
      <c r="K51" s="5" t="str">
        <f t="shared" si="3"/>
        <v/>
      </c>
      <c r="L51">
        <f>IF(A51="",999,IFERROR(MATCH(B51,Config!$A$4:$A$7,0),99)*10+IF(ISNUMBER(F51),1,IF(F51="",2,IF(UPPER(F51)="DNF",3,IF(UPPER(F51)="DNS",4,8)))))</f>
        <v>999</v>
      </c>
    </row>
    <row r="52" spans="2:12" x14ac:dyDescent="0.25">
      <c r="B52" t="str">
        <f>IF(A52="","",IFERROR(INDEX(tblReg[Field],MATCH(A52,tblReg[Bib],0)),""))</f>
        <v/>
      </c>
      <c r="C52" t="str">
        <f>IF(A52="","",IFERROR(INDEX(tblReg[FirstName],MATCH(A52,tblReg[Bib],0)),""))</f>
        <v/>
      </c>
      <c r="D52" t="str">
        <f>IF(A52="","",IFERROR(INDEX(tblReg[LastName],MATCH(A52,tblReg[Bib],0)),""))</f>
        <v/>
      </c>
      <c r="E52" t="str">
        <f>IF(A52="","",IFERROR(INDEX(tblReg[Team],MATCH(A52,tblReg[Bib],0)),""))</f>
        <v/>
      </c>
      <c r="F52" s="4" t="s">
        <v>103</v>
      </c>
      <c r="G52" t="str">
        <f t="shared" si="0"/>
        <v/>
      </c>
      <c r="H52" t="str">
        <f t="shared" si="1"/>
        <v/>
      </c>
      <c r="I52">
        <f>IF(H52="",0,IFERROR(INDEX(Config!$J$4:$J$6,MATCH(H52,Config!$H$4:$H$6,0)),0))</f>
        <v>0</v>
      </c>
      <c r="J52" t="str">
        <f t="shared" si="2"/>
        <v/>
      </c>
      <c r="K52" s="5" t="str">
        <f t="shared" si="3"/>
        <v/>
      </c>
      <c r="L52">
        <f>IF(A52="",999,IFERROR(MATCH(B52,Config!$A$4:$A$7,0),99)*10+IF(ISNUMBER(F52),1,IF(F52="",2,IF(UPPER(F52)="DNF",3,IF(UPPER(F52)="DNS",4,8)))))</f>
        <v>999</v>
      </c>
    </row>
    <row r="53" spans="2:12" x14ac:dyDescent="0.25">
      <c r="B53" t="str">
        <f>IF(A53="","",IFERROR(INDEX(tblReg[Field],MATCH(A53,tblReg[Bib],0)),""))</f>
        <v/>
      </c>
      <c r="C53" t="str">
        <f>IF(A53="","",IFERROR(INDEX(tblReg[FirstName],MATCH(A53,tblReg[Bib],0)),""))</f>
        <v/>
      </c>
      <c r="D53" t="str">
        <f>IF(A53="","",IFERROR(INDEX(tblReg[LastName],MATCH(A53,tblReg[Bib],0)),""))</f>
        <v/>
      </c>
      <c r="E53" t="str">
        <f>IF(A53="","",IFERROR(INDEX(tblReg[Team],MATCH(A53,tblReg[Bib],0)),""))</f>
        <v/>
      </c>
      <c r="F53" s="4" t="s">
        <v>103</v>
      </c>
      <c r="G53" t="str">
        <f t="shared" si="0"/>
        <v/>
      </c>
      <c r="H53" t="str">
        <f t="shared" si="1"/>
        <v/>
      </c>
      <c r="I53">
        <f>IF(H53="",0,IFERROR(INDEX(Config!$J$4:$J$6,MATCH(H53,Config!$H$4:$H$6,0)),0))</f>
        <v>0</v>
      </c>
      <c r="J53" t="str">
        <f t="shared" si="2"/>
        <v/>
      </c>
      <c r="K53" s="5" t="str">
        <f t="shared" si="3"/>
        <v/>
      </c>
      <c r="L53">
        <f>IF(A53="",999,IFERROR(MATCH(B53,Config!$A$4:$A$7,0),99)*10+IF(ISNUMBER(F53),1,IF(F53="",2,IF(UPPER(F53)="DNF",3,IF(UPPER(F53)="DNS",4,8)))))</f>
        <v>999</v>
      </c>
    </row>
    <row r="54" spans="2:12" x14ac:dyDescent="0.25">
      <c r="B54" t="str">
        <f>IF(A54="","",IFERROR(INDEX(tblReg[Field],MATCH(A54,tblReg[Bib],0)),""))</f>
        <v/>
      </c>
      <c r="C54" t="str">
        <f>IF(A54="","",IFERROR(INDEX(tblReg[FirstName],MATCH(A54,tblReg[Bib],0)),""))</f>
        <v/>
      </c>
      <c r="D54" t="str">
        <f>IF(A54="","",IFERROR(INDEX(tblReg[LastName],MATCH(A54,tblReg[Bib],0)),""))</f>
        <v/>
      </c>
      <c r="E54" t="str">
        <f>IF(A54="","",IFERROR(INDEX(tblReg[Team],MATCH(A54,tblReg[Bib],0)),""))</f>
        <v/>
      </c>
      <c r="F54" s="4" t="s">
        <v>103</v>
      </c>
      <c r="G54" t="str">
        <f t="shared" si="0"/>
        <v/>
      </c>
      <c r="H54" t="str">
        <f t="shared" si="1"/>
        <v/>
      </c>
      <c r="I54">
        <f>IF(H54="",0,IFERROR(INDEX(Config!$J$4:$J$6,MATCH(H54,Config!$H$4:$H$6,0)),0))</f>
        <v>0</v>
      </c>
      <c r="J54" t="str">
        <f t="shared" si="2"/>
        <v/>
      </c>
      <c r="K54" s="5" t="str">
        <f t="shared" si="3"/>
        <v/>
      </c>
      <c r="L54">
        <f>IF(A54="",999,IFERROR(MATCH(B54,Config!$A$4:$A$7,0),99)*10+IF(ISNUMBER(F54),1,IF(F54="",2,IF(UPPER(F54)="DNF",3,IF(UPPER(F54)="DNS",4,8)))))</f>
        <v>999</v>
      </c>
    </row>
    <row r="55" spans="2:12" x14ac:dyDescent="0.25">
      <c r="B55" t="str">
        <f>IF(A55="","",IFERROR(INDEX(tblReg[Field],MATCH(A55,tblReg[Bib],0)),""))</f>
        <v/>
      </c>
      <c r="C55" t="str">
        <f>IF(A55="","",IFERROR(INDEX(tblReg[FirstName],MATCH(A55,tblReg[Bib],0)),""))</f>
        <v/>
      </c>
      <c r="D55" t="str">
        <f>IF(A55="","",IFERROR(INDEX(tblReg[LastName],MATCH(A55,tblReg[Bib],0)),""))</f>
        <v/>
      </c>
      <c r="E55" t="str">
        <f>IF(A55="","",IFERROR(INDEX(tblReg[Team],MATCH(A55,tblReg[Bib],0)),""))</f>
        <v/>
      </c>
      <c r="F55" s="4" t="s">
        <v>103</v>
      </c>
      <c r="G55" t="str">
        <f t="shared" si="0"/>
        <v/>
      </c>
      <c r="H55" t="str">
        <f t="shared" si="1"/>
        <v/>
      </c>
      <c r="I55">
        <f>IF(H55="",0,IFERROR(INDEX(Config!$J$4:$J$6,MATCH(H55,Config!$H$4:$H$6,0)),0))</f>
        <v>0</v>
      </c>
      <c r="J55" t="str">
        <f t="shared" si="2"/>
        <v/>
      </c>
      <c r="K55" s="5" t="str">
        <f t="shared" si="3"/>
        <v/>
      </c>
      <c r="L55">
        <f>IF(A55="",999,IFERROR(MATCH(B55,Config!$A$4:$A$7,0),99)*10+IF(ISNUMBER(F55),1,IF(F55="",2,IF(UPPER(F55)="DNF",3,IF(UPPER(F55)="DNS",4,8)))))</f>
        <v>999</v>
      </c>
    </row>
    <row r="56" spans="2:12" x14ac:dyDescent="0.25">
      <c r="B56" t="str">
        <f>IF(A56="","",IFERROR(INDEX(tblReg[Field],MATCH(A56,tblReg[Bib],0)),""))</f>
        <v/>
      </c>
      <c r="C56" t="str">
        <f>IF(A56="","",IFERROR(INDEX(tblReg[FirstName],MATCH(A56,tblReg[Bib],0)),""))</f>
        <v/>
      </c>
      <c r="D56" t="str">
        <f>IF(A56="","",IFERROR(INDEX(tblReg[LastName],MATCH(A56,tblReg[Bib],0)),""))</f>
        <v/>
      </c>
      <c r="E56" t="str">
        <f>IF(A56="","",IFERROR(INDEX(tblReg[Team],MATCH(A56,tblReg[Bib],0)),""))</f>
        <v/>
      </c>
      <c r="F56" s="4" t="s">
        <v>103</v>
      </c>
      <c r="G56" t="str">
        <f t="shared" si="0"/>
        <v/>
      </c>
      <c r="H56" t="str">
        <f t="shared" si="1"/>
        <v/>
      </c>
      <c r="I56">
        <f>IF(H56="",0,IFERROR(INDEX(Config!$J$4:$J$6,MATCH(H56,Config!$H$4:$H$6,0)),0))</f>
        <v>0</v>
      </c>
      <c r="J56" t="str">
        <f t="shared" si="2"/>
        <v/>
      </c>
      <c r="K56" s="5" t="str">
        <f t="shared" si="3"/>
        <v/>
      </c>
      <c r="L56">
        <f>IF(A56="",999,IFERROR(MATCH(B56,Config!$A$4:$A$7,0),99)*10+IF(ISNUMBER(F56),1,IF(F56="",2,IF(UPPER(F56)="DNF",3,IF(UPPER(F56)="DNS",4,8)))))</f>
        <v>999</v>
      </c>
    </row>
    <row r="57" spans="2:12" x14ac:dyDescent="0.25">
      <c r="B57" t="str">
        <f>IF(A57="","",IFERROR(INDEX(tblReg[Field],MATCH(A57,tblReg[Bib],0)),""))</f>
        <v/>
      </c>
      <c r="C57" t="str">
        <f>IF(A57="","",IFERROR(INDEX(tblReg[FirstName],MATCH(A57,tblReg[Bib],0)),""))</f>
        <v/>
      </c>
      <c r="D57" t="str">
        <f>IF(A57="","",IFERROR(INDEX(tblReg[LastName],MATCH(A57,tblReg[Bib],0)),""))</f>
        <v/>
      </c>
      <c r="E57" t="str">
        <f>IF(A57="","",IFERROR(INDEX(tblReg[Team],MATCH(A57,tblReg[Bib],0)),""))</f>
        <v/>
      </c>
      <c r="F57" s="4" t="s">
        <v>103</v>
      </c>
      <c r="G57" t="str">
        <f t="shared" si="0"/>
        <v/>
      </c>
      <c r="H57" t="str">
        <f t="shared" si="1"/>
        <v/>
      </c>
      <c r="I57">
        <f>IF(H57="",0,IFERROR(INDEX(Config!$J$4:$J$6,MATCH(H57,Config!$H$4:$H$6,0)),0))</f>
        <v>0</v>
      </c>
      <c r="J57" t="str">
        <f t="shared" si="2"/>
        <v/>
      </c>
      <c r="K57" s="5" t="str">
        <f t="shared" si="3"/>
        <v/>
      </c>
      <c r="L57">
        <f>IF(A57="",999,IFERROR(MATCH(B57,Config!$A$4:$A$7,0),99)*10+IF(ISNUMBER(F57),1,IF(F57="",2,IF(UPPER(F57)="DNF",3,IF(UPPER(F57)="DNS",4,8)))))</f>
        <v>999</v>
      </c>
    </row>
    <row r="58" spans="2:12" x14ac:dyDescent="0.25">
      <c r="B58" t="str">
        <f>IF(A58="","",IFERROR(INDEX(tblReg[Field],MATCH(A58,tblReg[Bib],0)),""))</f>
        <v/>
      </c>
      <c r="C58" t="str">
        <f>IF(A58="","",IFERROR(INDEX(tblReg[FirstName],MATCH(A58,tblReg[Bib],0)),""))</f>
        <v/>
      </c>
      <c r="D58" t="str">
        <f>IF(A58="","",IFERROR(INDEX(tblReg[LastName],MATCH(A58,tblReg[Bib],0)),""))</f>
        <v/>
      </c>
      <c r="E58" t="str">
        <f>IF(A58="","",IFERROR(INDEX(tblReg[Team],MATCH(A58,tblReg[Bib],0)),""))</f>
        <v/>
      </c>
      <c r="F58" s="4" t="s">
        <v>103</v>
      </c>
      <c r="G58" t="str">
        <f t="shared" si="0"/>
        <v/>
      </c>
      <c r="H58" t="str">
        <f t="shared" si="1"/>
        <v/>
      </c>
      <c r="I58">
        <f>IF(H58="",0,IFERROR(INDEX(Config!$J$4:$J$6,MATCH(H58,Config!$H$4:$H$6,0)),0))</f>
        <v>0</v>
      </c>
      <c r="J58" t="str">
        <f t="shared" si="2"/>
        <v/>
      </c>
      <c r="K58" s="5" t="str">
        <f t="shared" si="3"/>
        <v/>
      </c>
      <c r="L58">
        <f>IF(A58="",999,IFERROR(MATCH(B58,Config!$A$4:$A$7,0),99)*10+IF(ISNUMBER(F58),1,IF(F58="",2,IF(UPPER(F58)="DNF",3,IF(UPPER(F58)="DNS",4,8)))))</f>
        <v>999</v>
      </c>
    </row>
    <row r="59" spans="2:12" x14ac:dyDescent="0.25">
      <c r="B59" t="str">
        <f>IF(A59="","",IFERROR(INDEX(tblReg[Field],MATCH(A59,tblReg[Bib],0)),""))</f>
        <v/>
      </c>
      <c r="C59" t="str">
        <f>IF(A59="","",IFERROR(INDEX(tblReg[FirstName],MATCH(A59,tblReg[Bib],0)),""))</f>
        <v/>
      </c>
      <c r="D59" t="str">
        <f>IF(A59="","",IFERROR(INDEX(tblReg[LastName],MATCH(A59,tblReg[Bib],0)),""))</f>
        <v/>
      </c>
      <c r="E59" t="str">
        <f>IF(A59="","",IFERROR(INDEX(tblReg[Team],MATCH(A59,tblReg[Bib],0)),""))</f>
        <v/>
      </c>
      <c r="F59" s="4" t="s">
        <v>103</v>
      </c>
      <c r="G59" t="str">
        <f t="shared" si="0"/>
        <v/>
      </c>
      <c r="H59" t="str">
        <f t="shared" si="1"/>
        <v/>
      </c>
      <c r="I59">
        <f>IF(H59="",0,IFERROR(INDEX(Config!$J$4:$J$6,MATCH(H59,Config!$H$4:$H$6,0)),0))</f>
        <v>0</v>
      </c>
      <c r="J59" t="str">
        <f t="shared" si="2"/>
        <v/>
      </c>
      <c r="K59" s="5" t="str">
        <f t="shared" si="3"/>
        <v/>
      </c>
      <c r="L59">
        <f>IF(A59="",999,IFERROR(MATCH(B59,Config!$A$4:$A$7,0),99)*10+IF(ISNUMBER(F59),1,IF(F59="",2,IF(UPPER(F59)="DNF",3,IF(UPPER(F59)="DNS",4,8)))))</f>
        <v>999</v>
      </c>
    </row>
    <row r="60" spans="2:12" x14ac:dyDescent="0.25">
      <c r="B60" t="str">
        <f>IF(A60="","",IFERROR(INDEX(tblReg[Field],MATCH(A60,tblReg[Bib],0)),""))</f>
        <v/>
      </c>
      <c r="C60" t="str">
        <f>IF(A60="","",IFERROR(INDEX(tblReg[FirstName],MATCH(A60,tblReg[Bib],0)),""))</f>
        <v/>
      </c>
      <c r="D60" t="str">
        <f>IF(A60="","",IFERROR(INDEX(tblReg[LastName],MATCH(A60,tblReg[Bib],0)),""))</f>
        <v/>
      </c>
      <c r="E60" t="str">
        <f>IF(A60="","",IFERROR(INDEX(tblReg[Team],MATCH(A60,tblReg[Bib],0)),""))</f>
        <v/>
      </c>
      <c r="F60" s="4" t="s">
        <v>103</v>
      </c>
      <c r="G60" t="str">
        <f t="shared" si="0"/>
        <v/>
      </c>
      <c r="H60" t="str">
        <f t="shared" si="1"/>
        <v/>
      </c>
      <c r="I60">
        <f>IF(H60="",0,IFERROR(INDEX(Config!$J$4:$J$6,MATCH(H60,Config!$H$4:$H$6,0)),0))</f>
        <v>0</v>
      </c>
      <c r="J60" t="str">
        <f t="shared" si="2"/>
        <v/>
      </c>
      <c r="K60" s="5" t="str">
        <f t="shared" si="3"/>
        <v/>
      </c>
      <c r="L60">
        <f>IF(A60="",999,IFERROR(MATCH(B60,Config!$A$4:$A$7,0),99)*10+IF(ISNUMBER(F60),1,IF(F60="",2,IF(UPPER(F60)="DNF",3,IF(UPPER(F60)="DNS",4,8)))))</f>
        <v>999</v>
      </c>
    </row>
    <row r="61" spans="2:12" x14ac:dyDescent="0.25">
      <c r="B61" t="str">
        <f>IF(A61="","",IFERROR(INDEX(tblReg[Field],MATCH(A61,tblReg[Bib],0)),""))</f>
        <v/>
      </c>
      <c r="C61" t="str">
        <f>IF(A61="","",IFERROR(INDEX(tblReg[FirstName],MATCH(A61,tblReg[Bib],0)),""))</f>
        <v/>
      </c>
      <c r="D61" t="str">
        <f>IF(A61="","",IFERROR(INDEX(tblReg[LastName],MATCH(A61,tblReg[Bib],0)),""))</f>
        <v/>
      </c>
      <c r="E61" t="str">
        <f>IF(A61="","",IFERROR(INDEX(tblReg[Team],MATCH(A61,tblReg[Bib],0)),""))</f>
        <v/>
      </c>
      <c r="F61" s="4" t="s">
        <v>103</v>
      </c>
      <c r="G61" t="str">
        <f t="shared" si="0"/>
        <v/>
      </c>
      <c r="H61" t="str">
        <f t="shared" si="1"/>
        <v/>
      </c>
      <c r="I61">
        <f>IF(H61="",0,IFERROR(INDEX(Config!$J$4:$J$6,MATCH(H61,Config!$H$4:$H$6,0)),0))</f>
        <v>0</v>
      </c>
      <c r="J61" t="str">
        <f t="shared" si="2"/>
        <v/>
      </c>
      <c r="K61" s="5" t="str">
        <f t="shared" si="3"/>
        <v/>
      </c>
      <c r="L61">
        <f>IF(A61="",999,IFERROR(MATCH(B61,Config!$A$4:$A$7,0),99)*10+IF(ISNUMBER(F61),1,IF(F61="",2,IF(UPPER(F61)="DNF",3,IF(UPPER(F61)="DNS",4,8)))))</f>
        <v>999</v>
      </c>
    </row>
    <row r="62" spans="2:12" x14ac:dyDescent="0.25">
      <c r="B62" t="str">
        <f>IF(A62="","",IFERROR(INDEX(tblReg[Field],MATCH(A62,tblReg[Bib],0)),""))</f>
        <v/>
      </c>
      <c r="C62" t="str">
        <f>IF(A62="","",IFERROR(INDEX(tblReg[FirstName],MATCH(A62,tblReg[Bib],0)),""))</f>
        <v/>
      </c>
      <c r="D62" t="str">
        <f>IF(A62="","",IFERROR(INDEX(tblReg[LastName],MATCH(A62,tblReg[Bib],0)),""))</f>
        <v/>
      </c>
      <c r="E62" t="str">
        <f>IF(A62="","",IFERROR(INDEX(tblReg[Team],MATCH(A62,tblReg[Bib],0)),""))</f>
        <v/>
      </c>
      <c r="F62" s="4" t="s">
        <v>103</v>
      </c>
      <c r="G62" t="str">
        <f t="shared" si="0"/>
        <v/>
      </c>
      <c r="H62" t="str">
        <f t="shared" si="1"/>
        <v/>
      </c>
      <c r="I62">
        <f>IF(H62="",0,IFERROR(INDEX(Config!$J$4:$J$6,MATCH(H62,Config!$H$4:$H$6,0)),0))</f>
        <v>0</v>
      </c>
      <c r="J62" t="str">
        <f t="shared" si="2"/>
        <v/>
      </c>
      <c r="K62" s="5" t="str">
        <f t="shared" si="3"/>
        <v/>
      </c>
      <c r="L62">
        <f>IF(A62="",999,IFERROR(MATCH(B62,Config!$A$4:$A$7,0),99)*10+IF(ISNUMBER(F62),1,IF(F62="",2,IF(UPPER(F62)="DNF",3,IF(UPPER(F62)="DNS",4,8)))))</f>
        <v>999</v>
      </c>
    </row>
    <row r="63" spans="2:12" x14ac:dyDescent="0.25">
      <c r="B63" t="str">
        <f>IF(A63="","",IFERROR(INDEX(tblReg[Field],MATCH(A63,tblReg[Bib],0)),""))</f>
        <v/>
      </c>
      <c r="C63" t="str">
        <f>IF(A63="","",IFERROR(INDEX(tblReg[FirstName],MATCH(A63,tblReg[Bib],0)),""))</f>
        <v/>
      </c>
      <c r="D63" t="str">
        <f>IF(A63="","",IFERROR(INDEX(tblReg[LastName],MATCH(A63,tblReg[Bib],0)),""))</f>
        <v/>
      </c>
      <c r="E63" t="str">
        <f>IF(A63="","",IFERROR(INDEX(tblReg[Team],MATCH(A63,tblReg[Bib],0)),""))</f>
        <v/>
      </c>
      <c r="F63" s="4" t="s">
        <v>103</v>
      </c>
      <c r="G63" t="str">
        <f t="shared" si="0"/>
        <v/>
      </c>
      <c r="H63" t="str">
        <f t="shared" si="1"/>
        <v/>
      </c>
      <c r="I63">
        <f>IF(H63="",0,IFERROR(INDEX(Config!$J$4:$J$6,MATCH(H63,Config!$H$4:$H$6,0)),0))</f>
        <v>0</v>
      </c>
      <c r="J63" t="str">
        <f t="shared" si="2"/>
        <v/>
      </c>
      <c r="K63" s="5" t="str">
        <f t="shared" si="3"/>
        <v/>
      </c>
      <c r="L63">
        <f>IF(A63="",999,IFERROR(MATCH(B63,Config!$A$4:$A$7,0),99)*10+IF(ISNUMBER(F63),1,IF(F63="",2,IF(UPPER(F63)="DNF",3,IF(UPPER(F63)="DNS",4,8)))))</f>
        <v>999</v>
      </c>
    </row>
    <row r="64" spans="2:12" x14ac:dyDescent="0.25">
      <c r="B64" t="str">
        <f>IF(A64="","",IFERROR(INDEX(tblReg[Field],MATCH(A64,tblReg[Bib],0)),""))</f>
        <v/>
      </c>
      <c r="C64" t="str">
        <f>IF(A64="","",IFERROR(INDEX(tblReg[FirstName],MATCH(A64,tblReg[Bib],0)),""))</f>
        <v/>
      </c>
      <c r="D64" t="str">
        <f>IF(A64="","",IFERROR(INDEX(tblReg[LastName],MATCH(A64,tblReg[Bib],0)),""))</f>
        <v/>
      </c>
      <c r="E64" t="str">
        <f>IF(A64="","",IFERROR(INDEX(tblReg[Team],MATCH(A64,tblReg[Bib],0)),""))</f>
        <v/>
      </c>
      <c r="F64" s="4" t="s">
        <v>103</v>
      </c>
      <c r="G64" t="str">
        <f t="shared" si="0"/>
        <v/>
      </c>
      <c r="H64" t="str">
        <f t="shared" si="1"/>
        <v/>
      </c>
      <c r="I64">
        <f>IF(H64="",0,IFERROR(INDEX(Config!$J$4:$J$6,MATCH(H64,Config!$H$4:$H$6,0)),0))</f>
        <v>0</v>
      </c>
      <c r="J64" t="str">
        <f t="shared" si="2"/>
        <v/>
      </c>
      <c r="K64" s="5" t="str">
        <f t="shared" si="3"/>
        <v/>
      </c>
      <c r="L64">
        <f>IF(A64="",999,IFERROR(MATCH(B64,Config!$A$4:$A$7,0),99)*10+IF(ISNUMBER(F64),1,IF(F64="",2,IF(UPPER(F64)="DNF",3,IF(UPPER(F64)="DNS",4,8)))))</f>
        <v>999</v>
      </c>
    </row>
    <row r="65" spans="2:12" x14ac:dyDescent="0.25">
      <c r="B65" t="str">
        <f>IF(A65="","",IFERROR(INDEX(tblReg[Field],MATCH(A65,tblReg[Bib],0)),""))</f>
        <v/>
      </c>
      <c r="C65" t="str">
        <f>IF(A65="","",IFERROR(INDEX(tblReg[FirstName],MATCH(A65,tblReg[Bib],0)),""))</f>
        <v/>
      </c>
      <c r="D65" t="str">
        <f>IF(A65="","",IFERROR(INDEX(tblReg[LastName],MATCH(A65,tblReg[Bib],0)),""))</f>
        <v/>
      </c>
      <c r="E65" t="str">
        <f>IF(A65="","",IFERROR(INDEX(tblReg[Team],MATCH(A65,tblReg[Bib],0)),""))</f>
        <v/>
      </c>
      <c r="F65" s="4" t="s">
        <v>103</v>
      </c>
      <c r="G65" t="str">
        <f t="shared" si="0"/>
        <v/>
      </c>
      <c r="H65" t="str">
        <f t="shared" si="1"/>
        <v/>
      </c>
      <c r="I65">
        <f>IF(H65="",0,IFERROR(INDEX(Config!$J$4:$J$6,MATCH(H65,Config!$H$4:$H$6,0)),0))</f>
        <v>0</v>
      </c>
      <c r="J65" t="str">
        <f t="shared" si="2"/>
        <v/>
      </c>
      <c r="K65" s="5" t="str">
        <f t="shared" si="3"/>
        <v/>
      </c>
      <c r="L65">
        <f>IF(A65="",999,IFERROR(MATCH(B65,Config!$A$4:$A$7,0),99)*10+IF(ISNUMBER(F65),1,IF(F65="",2,IF(UPPER(F65)="DNF",3,IF(UPPER(F65)="DNS",4,8)))))</f>
        <v>999</v>
      </c>
    </row>
    <row r="66" spans="2:12" x14ac:dyDescent="0.25">
      <c r="B66" t="str">
        <f>IF(A66="","",IFERROR(INDEX(tblReg[Field],MATCH(A66,tblReg[Bib],0)),""))</f>
        <v/>
      </c>
      <c r="C66" t="str">
        <f>IF(A66="","",IFERROR(INDEX(tblReg[FirstName],MATCH(A66,tblReg[Bib],0)),""))</f>
        <v/>
      </c>
      <c r="D66" t="str">
        <f>IF(A66="","",IFERROR(INDEX(tblReg[LastName],MATCH(A66,tblReg[Bib],0)),""))</f>
        <v/>
      </c>
      <c r="E66" t="str">
        <f>IF(A66="","",IFERROR(INDEX(tblReg[Team],MATCH(A66,tblReg[Bib],0)),""))</f>
        <v/>
      </c>
      <c r="F66" s="4" t="s">
        <v>103</v>
      </c>
      <c r="G66" t="str">
        <f t="shared" ref="G66:G129" si="4">IF(OR(F66="",UPPER(F66)="DNF",UPPER(F66)="DNS"),"",HOUR(F66)*3600 + MINUTE(F66)*60 + SECOND(F66))</f>
        <v/>
      </c>
      <c r="H66" t="str">
        <f t="shared" ref="H66:H129" si="5">IF(OR(A66="",B66=""),"",IF(ISNUMBER(G66),1+COUNTIFS($B$2:$B$251,B66,$G$2:$G$251,"&lt;"&amp;G66),IF(F66="",COUNTIFS($B$2:$B$251,B66,$G$2:$G$251,"&gt;=0")+COUNTIFS($B$2:$B$251,B66,$F$2:$F$251,"",$A$2:$A$251,"&lt;"&amp;A66)+1,"")))</f>
        <v/>
      </c>
      <c r="I66">
        <f>IF(H66="",0,IFERROR(INDEX(Config!$J$4:$J$6,MATCH(H66,Config!$H$4:$H$6,0)),0))</f>
        <v>0</v>
      </c>
      <c r="J66" t="str">
        <f t="shared" ref="J66:J129" si="6">IF(G66="","",G66-I66)</f>
        <v/>
      </c>
      <c r="K66" s="5" t="str">
        <f t="shared" ref="K66:K129" si="7">IF(J66="","",J66/86400)</f>
        <v/>
      </c>
      <c r="L66">
        <f>IF(A66="",999,IFERROR(MATCH(B66,Config!$A$4:$A$7,0),99)*10+IF(ISNUMBER(F66),1,IF(F66="",2,IF(UPPER(F66)="DNF",3,IF(UPPER(F66)="DNS",4,8)))))</f>
        <v>999</v>
      </c>
    </row>
    <row r="67" spans="2:12" x14ac:dyDescent="0.25">
      <c r="B67" t="str">
        <f>IF(A67="","",IFERROR(INDEX(tblReg[Field],MATCH(A67,tblReg[Bib],0)),""))</f>
        <v/>
      </c>
      <c r="C67" t="str">
        <f>IF(A67="","",IFERROR(INDEX(tblReg[FirstName],MATCH(A67,tblReg[Bib],0)),""))</f>
        <v/>
      </c>
      <c r="D67" t="str">
        <f>IF(A67="","",IFERROR(INDEX(tblReg[LastName],MATCH(A67,tblReg[Bib],0)),""))</f>
        <v/>
      </c>
      <c r="E67" t="str">
        <f>IF(A67="","",IFERROR(INDEX(tblReg[Team],MATCH(A67,tblReg[Bib],0)),""))</f>
        <v/>
      </c>
      <c r="F67" s="4" t="s">
        <v>103</v>
      </c>
      <c r="G67" t="str">
        <f t="shared" si="4"/>
        <v/>
      </c>
      <c r="H67" t="str">
        <f t="shared" si="5"/>
        <v/>
      </c>
      <c r="I67">
        <f>IF(H67="",0,IFERROR(INDEX(Config!$J$4:$J$6,MATCH(H67,Config!$H$4:$H$6,0)),0))</f>
        <v>0</v>
      </c>
      <c r="J67" t="str">
        <f t="shared" si="6"/>
        <v/>
      </c>
      <c r="K67" s="5" t="str">
        <f t="shared" si="7"/>
        <v/>
      </c>
      <c r="L67">
        <f>IF(A67="",999,IFERROR(MATCH(B67,Config!$A$4:$A$7,0),99)*10+IF(ISNUMBER(F67),1,IF(F67="",2,IF(UPPER(F67)="DNF",3,IF(UPPER(F67)="DNS",4,8)))))</f>
        <v>999</v>
      </c>
    </row>
    <row r="68" spans="2:12" x14ac:dyDescent="0.25">
      <c r="B68" t="str">
        <f>IF(A68="","",IFERROR(INDEX(tblReg[Field],MATCH(A68,tblReg[Bib],0)),""))</f>
        <v/>
      </c>
      <c r="C68" t="str">
        <f>IF(A68="","",IFERROR(INDEX(tblReg[FirstName],MATCH(A68,tblReg[Bib],0)),""))</f>
        <v/>
      </c>
      <c r="D68" t="str">
        <f>IF(A68="","",IFERROR(INDEX(tblReg[LastName],MATCH(A68,tblReg[Bib],0)),""))</f>
        <v/>
      </c>
      <c r="E68" t="str">
        <f>IF(A68="","",IFERROR(INDEX(tblReg[Team],MATCH(A68,tblReg[Bib],0)),""))</f>
        <v/>
      </c>
      <c r="F68" s="4" t="s">
        <v>103</v>
      </c>
      <c r="G68" t="str">
        <f t="shared" si="4"/>
        <v/>
      </c>
      <c r="H68" t="str">
        <f t="shared" si="5"/>
        <v/>
      </c>
      <c r="I68">
        <f>IF(H68="",0,IFERROR(INDEX(Config!$J$4:$J$6,MATCH(H68,Config!$H$4:$H$6,0)),0))</f>
        <v>0</v>
      </c>
      <c r="J68" t="str">
        <f t="shared" si="6"/>
        <v/>
      </c>
      <c r="K68" s="5" t="str">
        <f t="shared" si="7"/>
        <v/>
      </c>
      <c r="L68">
        <f>IF(A68="",999,IFERROR(MATCH(B68,Config!$A$4:$A$7,0),99)*10+IF(ISNUMBER(F68),1,IF(F68="",2,IF(UPPER(F68)="DNF",3,IF(UPPER(F68)="DNS",4,8)))))</f>
        <v>999</v>
      </c>
    </row>
    <row r="69" spans="2:12" x14ac:dyDescent="0.25">
      <c r="B69" t="str">
        <f>IF(A69="","",IFERROR(INDEX(tblReg[Field],MATCH(A69,tblReg[Bib],0)),""))</f>
        <v/>
      </c>
      <c r="C69" t="str">
        <f>IF(A69="","",IFERROR(INDEX(tblReg[FirstName],MATCH(A69,tblReg[Bib],0)),""))</f>
        <v/>
      </c>
      <c r="D69" t="str">
        <f>IF(A69="","",IFERROR(INDEX(tblReg[LastName],MATCH(A69,tblReg[Bib],0)),""))</f>
        <v/>
      </c>
      <c r="E69" t="str">
        <f>IF(A69="","",IFERROR(INDEX(tblReg[Team],MATCH(A69,tblReg[Bib],0)),""))</f>
        <v/>
      </c>
      <c r="F69" s="4" t="s">
        <v>103</v>
      </c>
      <c r="G69" t="str">
        <f t="shared" si="4"/>
        <v/>
      </c>
      <c r="H69" t="str">
        <f t="shared" si="5"/>
        <v/>
      </c>
      <c r="I69">
        <f>IF(H69="",0,IFERROR(INDEX(Config!$J$4:$J$6,MATCH(H69,Config!$H$4:$H$6,0)),0))</f>
        <v>0</v>
      </c>
      <c r="J69" t="str">
        <f t="shared" si="6"/>
        <v/>
      </c>
      <c r="K69" s="5" t="str">
        <f t="shared" si="7"/>
        <v/>
      </c>
      <c r="L69">
        <f>IF(A69="",999,IFERROR(MATCH(B69,Config!$A$4:$A$7,0),99)*10+IF(ISNUMBER(F69),1,IF(F69="",2,IF(UPPER(F69)="DNF",3,IF(UPPER(F69)="DNS",4,8)))))</f>
        <v>999</v>
      </c>
    </row>
    <row r="70" spans="2:12" x14ac:dyDescent="0.25">
      <c r="B70" t="str">
        <f>IF(A70="","",IFERROR(INDEX(tblReg[Field],MATCH(A70,tblReg[Bib],0)),""))</f>
        <v/>
      </c>
      <c r="C70" t="str">
        <f>IF(A70="","",IFERROR(INDEX(tblReg[FirstName],MATCH(A70,tblReg[Bib],0)),""))</f>
        <v/>
      </c>
      <c r="D70" t="str">
        <f>IF(A70="","",IFERROR(INDEX(tblReg[LastName],MATCH(A70,tblReg[Bib],0)),""))</f>
        <v/>
      </c>
      <c r="E70" t="str">
        <f>IF(A70="","",IFERROR(INDEX(tblReg[Team],MATCH(A70,tblReg[Bib],0)),""))</f>
        <v/>
      </c>
      <c r="F70" s="4" t="s">
        <v>103</v>
      </c>
      <c r="G70" t="str">
        <f t="shared" si="4"/>
        <v/>
      </c>
      <c r="H70" t="str">
        <f t="shared" si="5"/>
        <v/>
      </c>
      <c r="I70">
        <f>IF(H70="",0,IFERROR(INDEX(Config!$J$4:$J$6,MATCH(H70,Config!$H$4:$H$6,0)),0))</f>
        <v>0</v>
      </c>
      <c r="J70" t="str">
        <f t="shared" si="6"/>
        <v/>
      </c>
      <c r="K70" s="5" t="str">
        <f t="shared" si="7"/>
        <v/>
      </c>
      <c r="L70">
        <f>IF(A70="",999,IFERROR(MATCH(B70,Config!$A$4:$A$7,0),99)*10+IF(ISNUMBER(F70),1,IF(F70="",2,IF(UPPER(F70)="DNF",3,IF(UPPER(F70)="DNS",4,8)))))</f>
        <v>999</v>
      </c>
    </row>
    <row r="71" spans="2:12" x14ac:dyDescent="0.25">
      <c r="B71" t="str">
        <f>IF(A71="","",IFERROR(INDEX(tblReg[Field],MATCH(A71,tblReg[Bib],0)),""))</f>
        <v/>
      </c>
      <c r="C71" t="str">
        <f>IF(A71="","",IFERROR(INDEX(tblReg[FirstName],MATCH(A71,tblReg[Bib],0)),""))</f>
        <v/>
      </c>
      <c r="D71" t="str">
        <f>IF(A71="","",IFERROR(INDEX(tblReg[LastName],MATCH(A71,tblReg[Bib],0)),""))</f>
        <v/>
      </c>
      <c r="E71" t="str">
        <f>IF(A71="","",IFERROR(INDEX(tblReg[Team],MATCH(A71,tblReg[Bib],0)),""))</f>
        <v/>
      </c>
      <c r="F71" s="4" t="s">
        <v>103</v>
      </c>
      <c r="G71" t="str">
        <f t="shared" si="4"/>
        <v/>
      </c>
      <c r="H71" t="str">
        <f t="shared" si="5"/>
        <v/>
      </c>
      <c r="I71">
        <f>IF(H71="",0,IFERROR(INDEX(Config!$J$4:$J$6,MATCH(H71,Config!$H$4:$H$6,0)),0))</f>
        <v>0</v>
      </c>
      <c r="J71" t="str">
        <f t="shared" si="6"/>
        <v/>
      </c>
      <c r="K71" s="5" t="str">
        <f t="shared" si="7"/>
        <v/>
      </c>
      <c r="L71">
        <f>IF(A71="",999,IFERROR(MATCH(B71,Config!$A$4:$A$7,0),99)*10+IF(ISNUMBER(F71),1,IF(F71="",2,IF(UPPER(F71)="DNF",3,IF(UPPER(F71)="DNS",4,8)))))</f>
        <v>999</v>
      </c>
    </row>
    <row r="72" spans="2:12" x14ac:dyDescent="0.25">
      <c r="B72" t="str">
        <f>IF(A72="","",IFERROR(INDEX(tblReg[Field],MATCH(A72,tblReg[Bib],0)),""))</f>
        <v/>
      </c>
      <c r="C72" t="str">
        <f>IF(A72="","",IFERROR(INDEX(tblReg[FirstName],MATCH(A72,tblReg[Bib],0)),""))</f>
        <v/>
      </c>
      <c r="D72" t="str">
        <f>IF(A72="","",IFERROR(INDEX(tblReg[LastName],MATCH(A72,tblReg[Bib],0)),""))</f>
        <v/>
      </c>
      <c r="E72" t="str">
        <f>IF(A72="","",IFERROR(INDEX(tblReg[Team],MATCH(A72,tblReg[Bib],0)),""))</f>
        <v/>
      </c>
      <c r="F72" s="4" t="s">
        <v>103</v>
      </c>
      <c r="G72" t="str">
        <f t="shared" si="4"/>
        <v/>
      </c>
      <c r="H72" t="str">
        <f t="shared" si="5"/>
        <v/>
      </c>
      <c r="I72">
        <f>IF(H72="",0,IFERROR(INDEX(Config!$J$4:$J$6,MATCH(H72,Config!$H$4:$H$6,0)),0))</f>
        <v>0</v>
      </c>
      <c r="J72" t="str">
        <f t="shared" si="6"/>
        <v/>
      </c>
      <c r="K72" s="5" t="str">
        <f t="shared" si="7"/>
        <v/>
      </c>
      <c r="L72">
        <f>IF(A72="",999,IFERROR(MATCH(B72,Config!$A$4:$A$7,0),99)*10+IF(ISNUMBER(F72),1,IF(F72="",2,IF(UPPER(F72)="DNF",3,IF(UPPER(F72)="DNS",4,8)))))</f>
        <v>999</v>
      </c>
    </row>
    <row r="73" spans="2:12" x14ac:dyDescent="0.25">
      <c r="B73" t="str">
        <f>IF(A73="","",IFERROR(INDEX(tblReg[Field],MATCH(A73,tblReg[Bib],0)),""))</f>
        <v/>
      </c>
      <c r="C73" t="str">
        <f>IF(A73="","",IFERROR(INDEX(tblReg[FirstName],MATCH(A73,tblReg[Bib],0)),""))</f>
        <v/>
      </c>
      <c r="D73" t="str">
        <f>IF(A73="","",IFERROR(INDEX(tblReg[LastName],MATCH(A73,tblReg[Bib],0)),""))</f>
        <v/>
      </c>
      <c r="E73" t="str">
        <f>IF(A73="","",IFERROR(INDEX(tblReg[Team],MATCH(A73,tblReg[Bib],0)),""))</f>
        <v/>
      </c>
      <c r="F73" s="4" t="s">
        <v>103</v>
      </c>
      <c r="G73" t="str">
        <f t="shared" si="4"/>
        <v/>
      </c>
      <c r="H73" t="str">
        <f t="shared" si="5"/>
        <v/>
      </c>
      <c r="I73">
        <f>IF(H73="",0,IFERROR(INDEX(Config!$J$4:$J$6,MATCH(H73,Config!$H$4:$H$6,0)),0))</f>
        <v>0</v>
      </c>
      <c r="J73" t="str">
        <f t="shared" si="6"/>
        <v/>
      </c>
      <c r="K73" s="5" t="str">
        <f t="shared" si="7"/>
        <v/>
      </c>
      <c r="L73">
        <f>IF(A73="",999,IFERROR(MATCH(B73,Config!$A$4:$A$7,0),99)*10+IF(ISNUMBER(F73),1,IF(F73="",2,IF(UPPER(F73)="DNF",3,IF(UPPER(F73)="DNS",4,8)))))</f>
        <v>999</v>
      </c>
    </row>
    <row r="74" spans="2:12" x14ac:dyDescent="0.25">
      <c r="B74" t="str">
        <f>IF(A74="","",IFERROR(INDEX(tblReg[Field],MATCH(A74,tblReg[Bib],0)),""))</f>
        <v/>
      </c>
      <c r="C74" t="str">
        <f>IF(A74="","",IFERROR(INDEX(tblReg[FirstName],MATCH(A74,tblReg[Bib],0)),""))</f>
        <v/>
      </c>
      <c r="D74" t="str">
        <f>IF(A74="","",IFERROR(INDEX(tblReg[LastName],MATCH(A74,tblReg[Bib],0)),""))</f>
        <v/>
      </c>
      <c r="E74" t="str">
        <f>IF(A74="","",IFERROR(INDEX(tblReg[Team],MATCH(A74,tblReg[Bib],0)),""))</f>
        <v/>
      </c>
      <c r="F74" s="4" t="s">
        <v>103</v>
      </c>
      <c r="G74" t="str">
        <f t="shared" si="4"/>
        <v/>
      </c>
      <c r="H74" t="str">
        <f t="shared" si="5"/>
        <v/>
      </c>
      <c r="I74">
        <f>IF(H74="",0,IFERROR(INDEX(Config!$J$4:$J$6,MATCH(H74,Config!$H$4:$H$6,0)),0))</f>
        <v>0</v>
      </c>
      <c r="J74" t="str">
        <f t="shared" si="6"/>
        <v/>
      </c>
      <c r="K74" s="5" t="str">
        <f t="shared" si="7"/>
        <v/>
      </c>
      <c r="L74">
        <f>IF(A74="",999,IFERROR(MATCH(B74,Config!$A$4:$A$7,0),99)*10+IF(ISNUMBER(F74),1,IF(F74="",2,IF(UPPER(F74)="DNF",3,IF(UPPER(F74)="DNS",4,8)))))</f>
        <v>999</v>
      </c>
    </row>
    <row r="75" spans="2:12" x14ac:dyDescent="0.25">
      <c r="B75" t="str">
        <f>IF(A75="","",IFERROR(INDEX(tblReg[Field],MATCH(A75,tblReg[Bib],0)),""))</f>
        <v/>
      </c>
      <c r="C75" t="str">
        <f>IF(A75="","",IFERROR(INDEX(tblReg[FirstName],MATCH(A75,tblReg[Bib],0)),""))</f>
        <v/>
      </c>
      <c r="D75" t="str">
        <f>IF(A75="","",IFERROR(INDEX(tblReg[LastName],MATCH(A75,tblReg[Bib],0)),""))</f>
        <v/>
      </c>
      <c r="E75" t="str">
        <f>IF(A75="","",IFERROR(INDEX(tblReg[Team],MATCH(A75,tblReg[Bib],0)),""))</f>
        <v/>
      </c>
      <c r="F75" s="4" t="s">
        <v>103</v>
      </c>
      <c r="G75" t="str">
        <f t="shared" si="4"/>
        <v/>
      </c>
      <c r="H75" t="str">
        <f t="shared" si="5"/>
        <v/>
      </c>
      <c r="I75">
        <f>IF(H75="",0,IFERROR(INDEX(Config!$J$4:$J$6,MATCH(H75,Config!$H$4:$H$6,0)),0))</f>
        <v>0</v>
      </c>
      <c r="J75" t="str">
        <f t="shared" si="6"/>
        <v/>
      </c>
      <c r="K75" s="5" t="str">
        <f t="shared" si="7"/>
        <v/>
      </c>
      <c r="L75">
        <f>IF(A75="",999,IFERROR(MATCH(B75,Config!$A$4:$A$7,0),99)*10+IF(ISNUMBER(F75),1,IF(F75="",2,IF(UPPER(F75)="DNF",3,IF(UPPER(F75)="DNS",4,8)))))</f>
        <v>999</v>
      </c>
    </row>
    <row r="76" spans="2:12" x14ac:dyDescent="0.25">
      <c r="B76" t="str">
        <f>IF(A76="","",IFERROR(INDEX(tblReg[Field],MATCH(A76,tblReg[Bib],0)),""))</f>
        <v/>
      </c>
      <c r="C76" t="str">
        <f>IF(A76="","",IFERROR(INDEX(tblReg[FirstName],MATCH(A76,tblReg[Bib],0)),""))</f>
        <v/>
      </c>
      <c r="D76" t="str">
        <f>IF(A76="","",IFERROR(INDEX(tblReg[LastName],MATCH(A76,tblReg[Bib],0)),""))</f>
        <v/>
      </c>
      <c r="E76" t="str">
        <f>IF(A76="","",IFERROR(INDEX(tblReg[Team],MATCH(A76,tblReg[Bib],0)),""))</f>
        <v/>
      </c>
      <c r="F76" s="4" t="s">
        <v>103</v>
      </c>
      <c r="G76" t="str">
        <f t="shared" si="4"/>
        <v/>
      </c>
      <c r="H76" t="str">
        <f t="shared" si="5"/>
        <v/>
      </c>
      <c r="I76">
        <f>IF(H76="",0,IFERROR(INDEX(Config!$J$4:$J$6,MATCH(H76,Config!$H$4:$H$6,0)),0))</f>
        <v>0</v>
      </c>
      <c r="J76" t="str">
        <f t="shared" si="6"/>
        <v/>
      </c>
      <c r="K76" s="5" t="str">
        <f t="shared" si="7"/>
        <v/>
      </c>
      <c r="L76">
        <f>IF(A76="",999,IFERROR(MATCH(B76,Config!$A$4:$A$7,0),99)*10+IF(ISNUMBER(F76),1,IF(F76="",2,IF(UPPER(F76)="DNF",3,IF(UPPER(F76)="DNS",4,8)))))</f>
        <v>999</v>
      </c>
    </row>
    <row r="77" spans="2:12" x14ac:dyDescent="0.25">
      <c r="B77" t="str">
        <f>IF(A77="","",IFERROR(INDEX(tblReg[Field],MATCH(A77,tblReg[Bib],0)),""))</f>
        <v/>
      </c>
      <c r="C77" t="str">
        <f>IF(A77="","",IFERROR(INDEX(tblReg[FirstName],MATCH(A77,tblReg[Bib],0)),""))</f>
        <v/>
      </c>
      <c r="D77" t="str">
        <f>IF(A77="","",IFERROR(INDEX(tblReg[LastName],MATCH(A77,tblReg[Bib],0)),""))</f>
        <v/>
      </c>
      <c r="E77" t="str">
        <f>IF(A77="","",IFERROR(INDEX(tblReg[Team],MATCH(A77,tblReg[Bib],0)),""))</f>
        <v/>
      </c>
      <c r="F77" s="4" t="s">
        <v>103</v>
      </c>
      <c r="G77" t="str">
        <f t="shared" si="4"/>
        <v/>
      </c>
      <c r="H77" t="str">
        <f t="shared" si="5"/>
        <v/>
      </c>
      <c r="I77">
        <f>IF(H77="",0,IFERROR(INDEX(Config!$J$4:$J$6,MATCH(H77,Config!$H$4:$H$6,0)),0))</f>
        <v>0</v>
      </c>
      <c r="J77" t="str">
        <f t="shared" si="6"/>
        <v/>
      </c>
      <c r="K77" s="5" t="str">
        <f t="shared" si="7"/>
        <v/>
      </c>
      <c r="L77">
        <f>IF(A77="",999,IFERROR(MATCH(B77,Config!$A$4:$A$7,0),99)*10+IF(ISNUMBER(F77),1,IF(F77="",2,IF(UPPER(F77)="DNF",3,IF(UPPER(F77)="DNS",4,8)))))</f>
        <v>999</v>
      </c>
    </row>
    <row r="78" spans="2:12" x14ac:dyDescent="0.25">
      <c r="B78" t="str">
        <f>IF(A78="","",IFERROR(INDEX(tblReg[Field],MATCH(A78,tblReg[Bib],0)),""))</f>
        <v/>
      </c>
      <c r="C78" t="str">
        <f>IF(A78="","",IFERROR(INDEX(tblReg[FirstName],MATCH(A78,tblReg[Bib],0)),""))</f>
        <v/>
      </c>
      <c r="D78" t="str">
        <f>IF(A78="","",IFERROR(INDEX(tblReg[LastName],MATCH(A78,tblReg[Bib],0)),""))</f>
        <v/>
      </c>
      <c r="E78" t="str">
        <f>IF(A78="","",IFERROR(INDEX(tblReg[Team],MATCH(A78,tblReg[Bib],0)),""))</f>
        <v/>
      </c>
      <c r="F78" s="4" t="s">
        <v>103</v>
      </c>
      <c r="G78" t="str">
        <f t="shared" si="4"/>
        <v/>
      </c>
      <c r="H78" t="str">
        <f t="shared" si="5"/>
        <v/>
      </c>
      <c r="I78">
        <f>IF(H78="",0,IFERROR(INDEX(Config!$J$4:$J$6,MATCH(H78,Config!$H$4:$H$6,0)),0))</f>
        <v>0</v>
      </c>
      <c r="J78" t="str">
        <f t="shared" si="6"/>
        <v/>
      </c>
      <c r="K78" s="5" t="str">
        <f t="shared" si="7"/>
        <v/>
      </c>
      <c r="L78">
        <f>IF(A78="",999,IFERROR(MATCH(B78,Config!$A$4:$A$7,0),99)*10+IF(ISNUMBER(F78),1,IF(F78="",2,IF(UPPER(F78)="DNF",3,IF(UPPER(F78)="DNS",4,8)))))</f>
        <v>999</v>
      </c>
    </row>
    <row r="79" spans="2:12" x14ac:dyDescent="0.25">
      <c r="B79" t="str">
        <f>IF(A79="","",IFERROR(INDEX(tblReg[Field],MATCH(A79,tblReg[Bib],0)),""))</f>
        <v/>
      </c>
      <c r="C79" t="str">
        <f>IF(A79="","",IFERROR(INDEX(tblReg[FirstName],MATCH(A79,tblReg[Bib],0)),""))</f>
        <v/>
      </c>
      <c r="D79" t="str">
        <f>IF(A79="","",IFERROR(INDEX(tblReg[LastName],MATCH(A79,tblReg[Bib],0)),""))</f>
        <v/>
      </c>
      <c r="E79" t="str">
        <f>IF(A79="","",IFERROR(INDEX(tblReg[Team],MATCH(A79,tblReg[Bib],0)),""))</f>
        <v/>
      </c>
      <c r="F79" s="4" t="s">
        <v>103</v>
      </c>
      <c r="G79" t="str">
        <f t="shared" si="4"/>
        <v/>
      </c>
      <c r="H79" t="str">
        <f t="shared" si="5"/>
        <v/>
      </c>
      <c r="I79">
        <f>IF(H79="",0,IFERROR(INDEX(Config!$J$4:$J$6,MATCH(H79,Config!$H$4:$H$6,0)),0))</f>
        <v>0</v>
      </c>
      <c r="J79" t="str">
        <f t="shared" si="6"/>
        <v/>
      </c>
      <c r="K79" s="5" t="str">
        <f t="shared" si="7"/>
        <v/>
      </c>
      <c r="L79">
        <f>IF(A79="",999,IFERROR(MATCH(B79,Config!$A$4:$A$7,0),99)*10+IF(ISNUMBER(F79),1,IF(F79="",2,IF(UPPER(F79)="DNF",3,IF(UPPER(F79)="DNS",4,8)))))</f>
        <v>999</v>
      </c>
    </row>
    <row r="80" spans="2:12" x14ac:dyDescent="0.25">
      <c r="B80" t="str">
        <f>IF(A80="","",IFERROR(INDEX(tblReg[Field],MATCH(A80,tblReg[Bib],0)),""))</f>
        <v/>
      </c>
      <c r="C80" t="str">
        <f>IF(A80="","",IFERROR(INDEX(tblReg[FirstName],MATCH(A80,tblReg[Bib],0)),""))</f>
        <v/>
      </c>
      <c r="D80" t="str">
        <f>IF(A80="","",IFERROR(INDEX(tblReg[LastName],MATCH(A80,tblReg[Bib],0)),""))</f>
        <v/>
      </c>
      <c r="E80" t="str">
        <f>IF(A80="","",IFERROR(INDEX(tblReg[Team],MATCH(A80,tblReg[Bib],0)),""))</f>
        <v/>
      </c>
      <c r="F80" s="4" t="s">
        <v>103</v>
      </c>
      <c r="G80" t="str">
        <f t="shared" si="4"/>
        <v/>
      </c>
      <c r="H80" t="str">
        <f t="shared" si="5"/>
        <v/>
      </c>
      <c r="I80">
        <f>IF(H80="",0,IFERROR(INDEX(Config!$J$4:$J$6,MATCH(H80,Config!$H$4:$H$6,0)),0))</f>
        <v>0</v>
      </c>
      <c r="J80" t="str">
        <f t="shared" si="6"/>
        <v/>
      </c>
      <c r="K80" s="5" t="str">
        <f t="shared" si="7"/>
        <v/>
      </c>
      <c r="L80">
        <f>IF(A80="",999,IFERROR(MATCH(B80,Config!$A$4:$A$7,0),99)*10+IF(ISNUMBER(F80),1,IF(F80="",2,IF(UPPER(F80)="DNF",3,IF(UPPER(F80)="DNS",4,8)))))</f>
        <v>999</v>
      </c>
    </row>
    <row r="81" spans="2:12" x14ac:dyDescent="0.25">
      <c r="B81" t="str">
        <f>IF(A81="","",IFERROR(INDEX(tblReg[Field],MATCH(A81,tblReg[Bib],0)),""))</f>
        <v/>
      </c>
      <c r="C81" t="str">
        <f>IF(A81="","",IFERROR(INDEX(tblReg[FirstName],MATCH(A81,tblReg[Bib],0)),""))</f>
        <v/>
      </c>
      <c r="D81" t="str">
        <f>IF(A81="","",IFERROR(INDEX(tblReg[LastName],MATCH(A81,tblReg[Bib],0)),""))</f>
        <v/>
      </c>
      <c r="E81" t="str">
        <f>IF(A81="","",IFERROR(INDEX(tblReg[Team],MATCH(A81,tblReg[Bib],0)),""))</f>
        <v/>
      </c>
      <c r="F81" s="4" t="s">
        <v>103</v>
      </c>
      <c r="G81" t="str">
        <f t="shared" si="4"/>
        <v/>
      </c>
      <c r="H81" t="str">
        <f t="shared" si="5"/>
        <v/>
      </c>
      <c r="I81">
        <f>IF(H81="",0,IFERROR(INDEX(Config!$J$4:$J$6,MATCH(H81,Config!$H$4:$H$6,0)),0))</f>
        <v>0</v>
      </c>
      <c r="J81" t="str">
        <f t="shared" si="6"/>
        <v/>
      </c>
      <c r="K81" s="5" t="str">
        <f t="shared" si="7"/>
        <v/>
      </c>
      <c r="L81">
        <f>IF(A81="",999,IFERROR(MATCH(B81,Config!$A$4:$A$7,0),99)*10+IF(ISNUMBER(F81),1,IF(F81="",2,IF(UPPER(F81)="DNF",3,IF(UPPER(F81)="DNS",4,8)))))</f>
        <v>999</v>
      </c>
    </row>
    <row r="82" spans="2:12" x14ac:dyDescent="0.25">
      <c r="B82" t="str">
        <f>IF(A82="","",IFERROR(INDEX(tblReg[Field],MATCH(A82,tblReg[Bib],0)),""))</f>
        <v/>
      </c>
      <c r="C82" t="str">
        <f>IF(A82="","",IFERROR(INDEX(tblReg[FirstName],MATCH(A82,tblReg[Bib],0)),""))</f>
        <v/>
      </c>
      <c r="D82" t="str">
        <f>IF(A82="","",IFERROR(INDEX(tblReg[LastName],MATCH(A82,tblReg[Bib],0)),""))</f>
        <v/>
      </c>
      <c r="E82" t="str">
        <f>IF(A82="","",IFERROR(INDEX(tblReg[Team],MATCH(A82,tblReg[Bib],0)),""))</f>
        <v/>
      </c>
      <c r="F82" s="4" t="s">
        <v>103</v>
      </c>
      <c r="G82" t="str">
        <f t="shared" si="4"/>
        <v/>
      </c>
      <c r="H82" t="str">
        <f t="shared" si="5"/>
        <v/>
      </c>
      <c r="I82">
        <f>IF(H82="",0,IFERROR(INDEX(Config!$J$4:$J$6,MATCH(H82,Config!$H$4:$H$6,0)),0))</f>
        <v>0</v>
      </c>
      <c r="J82" t="str">
        <f t="shared" si="6"/>
        <v/>
      </c>
      <c r="K82" s="5" t="str">
        <f t="shared" si="7"/>
        <v/>
      </c>
      <c r="L82">
        <f>IF(A82="",999,IFERROR(MATCH(B82,Config!$A$4:$A$7,0),99)*10+IF(ISNUMBER(F82),1,IF(F82="",2,IF(UPPER(F82)="DNF",3,IF(UPPER(F82)="DNS",4,8)))))</f>
        <v>999</v>
      </c>
    </row>
    <row r="83" spans="2:12" x14ac:dyDescent="0.25">
      <c r="B83" t="str">
        <f>IF(A83="","",IFERROR(INDEX(tblReg[Field],MATCH(A83,tblReg[Bib],0)),""))</f>
        <v/>
      </c>
      <c r="C83" t="str">
        <f>IF(A83="","",IFERROR(INDEX(tblReg[FirstName],MATCH(A83,tblReg[Bib],0)),""))</f>
        <v/>
      </c>
      <c r="D83" t="str">
        <f>IF(A83="","",IFERROR(INDEX(tblReg[LastName],MATCH(A83,tblReg[Bib],0)),""))</f>
        <v/>
      </c>
      <c r="E83" t="str">
        <f>IF(A83="","",IFERROR(INDEX(tblReg[Team],MATCH(A83,tblReg[Bib],0)),""))</f>
        <v/>
      </c>
      <c r="F83" s="4" t="s">
        <v>103</v>
      </c>
      <c r="G83" t="str">
        <f t="shared" si="4"/>
        <v/>
      </c>
      <c r="H83" t="str">
        <f t="shared" si="5"/>
        <v/>
      </c>
      <c r="I83">
        <f>IF(H83="",0,IFERROR(INDEX(Config!$J$4:$J$6,MATCH(H83,Config!$H$4:$H$6,0)),0))</f>
        <v>0</v>
      </c>
      <c r="J83" t="str">
        <f t="shared" si="6"/>
        <v/>
      </c>
      <c r="K83" s="5" t="str">
        <f t="shared" si="7"/>
        <v/>
      </c>
      <c r="L83">
        <f>IF(A83="",999,IFERROR(MATCH(B83,Config!$A$4:$A$7,0),99)*10+IF(ISNUMBER(F83),1,IF(F83="",2,IF(UPPER(F83)="DNF",3,IF(UPPER(F83)="DNS",4,8)))))</f>
        <v>999</v>
      </c>
    </row>
    <row r="84" spans="2:12" x14ac:dyDescent="0.25">
      <c r="B84" t="str">
        <f>IF(A84="","",IFERROR(INDEX(tblReg[Field],MATCH(A84,tblReg[Bib],0)),""))</f>
        <v/>
      </c>
      <c r="C84" t="str">
        <f>IF(A84="","",IFERROR(INDEX(tblReg[FirstName],MATCH(A84,tblReg[Bib],0)),""))</f>
        <v/>
      </c>
      <c r="D84" t="str">
        <f>IF(A84="","",IFERROR(INDEX(tblReg[LastName],MATCH(A84,tblReg[Bib],0)),""))</f>
        <v/>
      </c>
      <c r="E84" t="str">
        <f>IF(A84="","",IFERROR(INDEX(tblReg[Team],MATCH(A84,tblReg[Bib],0)),""))</f>
        <v/>
      </c>
      <c r="F84" s="4" t="s">
        <v>103</v>
      </c>
      <c r="G84" t="str">
        <f t="shared" si="4"/>
        <v/>
      </c>
      <c r="H84" t="str">
        <f t="shared" si="5"/>
        <v/>
      </c>
      <c r="I84">
        <f>IF(H84="",0,IFERROR(INDEX(Config!$J$4:$J$6,MATCH(H84,Config!$H$4:$H$6,0)),0))</f>
        <v>0</v>
      </c>
      <c r="J84" t="str">
        <f t="shared" si="6"/>
        <v/>
      </c>
      <c r="K84" s="5" t="str">
        <f t="shared" si="7"/>
        <v/>
      </c>
      <c r="L84">
        <f>IF(A84="",999,IFERROR(MATCH(B84,Config!$A$4:$A$7,0),99)*10+IF(ISNUMBER(F84),1,IF(F84="",2,IF(UPPER(F84)="DNF",3,IF(UPPER(F84)="DNS",4,8)))))</f>
        <v>999</v>
      </c>
    </row>
    <row r="85" spans="2:12" x14ac:dyDescent="0.25">
      <c r="B85" t="str">
        <f>IF(A85="","",IFERROR(INDEX(tblReg[Field],MATCH(A85,tblReg[Bib],0)),""))</f>
        <v/>
      </c>
      <c r="C85" t="str">
        <f>IF(A85="","",IFERROR(INDEX(tblReg[FirstName],MATCH(A85,tblReg[Bib],0)),""))</f>
        <v/>
      </c>
      <c r="D85" t="str">
        <f>IF(A85="","",IFERROR(INDEX(tblReg[LastName],MATCH(A85,tblReg[Bib],0)),""))</f>
        <v/>
      </c>
      <c r="E85" t="str">
        <f>IF(A85="","",IFERROR(INDEX(tblReg[Team],MATCH(A85,tblReg[Bib],0)),""))</f>
        <v/>
      </c>
      <c r="F85" s="4" t="s">
        <v>103</v>
      </c>
      <c r="G85" t="str">
        <f t="shared" si="4"/>
        <v/>
      </c>
      <c r="H85" t="str">
        <f t="shared" si="5"/>
        <v/>
      </c>
      <c r="I85">
        <f>IF(H85="",0,IFERROR(INDEX(Config!$J$4:$J$6,MATCH(H85,Config!$H$4:$H$6,0)),0))</f>
        <v>0</v>
      </c>
      <c r="J85" t="str">
        <f t="shared" si="6"/>
        <v/>
      </c>
      <c r="K85" s="5" t="str">
        <f t="shared" si="7"/>
        <v/>
      </c>
      <c r="L85">
        <f>IF(A85="",999,IFERROR(MATCH(B85,Config!$A$4:$A$7,0),99)*10+IF(ISNUMBER(F85),1,IF(F85="",2,IF(UPPER(F85)="DNF",3,IF(UPPER(F85)="DNS",4,8)))))</f>
        <v>999</v>
      </c>
    </row>
    <row r="86" spans="2:12" x14ac:dyDescent="0.25">
      <c r="B86" t="str">
        <f>IF(A86="","",IFERROR(INDEX(tblReg[Field],MATCH(A86,tblReg[Bib],0)),""))</f>
        <v/>
      </c>
      <c r="C86" t="str">
        <f>IF(A86="","",IFERROR(INDEX(tblReg[FirstName],MATCH(A86,tblReg[Bib],0)),""))</f>
        <v/>
      </c>
      <c r="D86" t="str">
        <f>IF(A86="","",IFERROR(INDEX(tblReg[LastName],MATCH(A86,tblReg[Bib],0)),""))</f>
        <v/>
      </c>
      <c r="E86" t="str">
        <f>IF(A86="","",IFERROR(INDEX(tblReg[Team],MATCH(A86,tblReg[Bib],0)),""))</f>
        <v/>
      </c>
      <c r="F86" s="4" t="s">
        <v>103</v>
      </c>
      <c r="G86" t="str">
        <f t="shared" si="4"/>
        <v/>
      </c>
      <c r="H86" t="str">
        <f t="shared" si="5"/>
        <v/>
      </c>
      <c r="I86">
        <f>IF(H86="",0,IFERROR(INDEX(Config!$J$4:$J$6,MATCH(H86,Config!$H$4:$H$6,0)),0))</f>
        <v>0</v>
      </c>
      <c r="J86" t="str">
        <f t="shared" si="6"/>
        <v/>
      </c>
      <c r="K86" s="5" t="str">
        <f t="shared" si="7"/>
        <v/>
      </c>
      <c r="L86">
        <f>IF(A86="",999,IFERROR(MATCH(B86,Config!$A$4:$A$7,0),99)*10+IF(ISNUMBER(F86),1,IF(F86="",2,IF(UPPER(F86)="DNF",3,IF(UPPER(F86)="DNS",4,8)))))</f>
        <v>999</v>
      </c>
    </row>
    <row r="87" spans="2:12" x14ac:dyDescent="0.25">
      <c r="B87" t="str">
        <f>IF(A87="","",IFERROR(INDEX(tblReg[Field],MATCH(A87,tblReg[Bib],0)),""))</f>
        <v/>
      </c>
      <c r="C87" t="str">
        <f>IF(A87="","",IFERROR(INDEX(tblReg[FirstName],MATCH(A87,tblReg[Bib],0)),""))</f>
        <v/>
      </c>
      <c r="D87" t="str">
        <f>IF(A87="","",IFERROR(INDEX(tblReg[LastName],MATCH(A87,tblReg[Bib],0)),""))</f>
        <v/>
      </c>
      <c r="E87" t="str">
        <f>IF(A87="","",IFERROR(INDEX(tblReg[Team],MATCH(A87,tblReg[Bib],0)),""))</f>
        <v/>
      </c>
      <c r="F87" s="4" t="s">
        <v>103</v>
      </c>
      <c r="G87" t="str">
        <f t="shared" si="4"/>
        <v/>
      </c>
      <c r="H87" t="str">
        <f t="shared" si="5"/>
        <v/>
      </c>
      <c r="I87">
        <f>IF(H87="",0,IFERROR(INDEX(Config!$J$4:$J$6,MATCH(H87,Config!$H$4:$H$6,0)),0))</f>
        <v>0</v>
      </c>
      <c r="J87" t="str">
        <f t="shared" si="6"/>
        <v/>
      </c>
      <c r="K87" s="5" t="str">
        <f t="shared" si="7"/>
        <v/>
      </c>
      <c r="L87">
        <f>IF(A87="",999,IFERROR(MATCH(B87,Config!$A$4:$A$7,0),99)*10+IF(ISNUMBER(F87),1,IF(F87="",2,IF(UPPER(F87)="DNF",3,IF(UPPER(F87)="DNS",4,8)))))</f>
        <v>999</v>
      </c>
    </row>
    <row r="88" spans="2:12" x14ac:dyDescent="0.25">
      <c r="B88" t="str">
        <f>IF(A88="","",IFERROR(INDEX(tblReg[Field],MATCH(A88,tblReg[Bib],0)),""))</f>
        <v/>
      </c>
      <c r="C88" t="str">
        <f>IF(A88="","",IFERROR(INDEX(tblReg[FirstName],MATCH(A88,tblReg[Bib],0)),""))</f>
        <v/>
      </c>
      <c r="D88" t="str">
        <f>IF(A88="","",IFERROR(INDEX(tblReg[LastName],MATCH(A88,tblReg[Bib],0)),""))</f>
        <v/>
      </c>
      <c r="E88" t="str">
        <f>IF(A88="","",IFERROR(INDEX(tblReg[Team],MATCH(A88,tblReg[Bib],0)),""))</f>
        <v/>
      </c>
      <c r="F88" s="4" t="s">
        <v>103</v>
      </c>
      <c r="G88" t="str">
        <f t="shared" si="4"/>
        <v/>
      </c>
      <c r="H88" t="str">
        <f t="shared" si="5"/>
        <v/>
      </c>
      <c r="I88">
        <f>IF(H88="",0,IFERROR(INDEX(Config!$J$4:$J$6,MATCH(H88,Config!$H$4:$H$6,0)),0))</f>
        <v>0</v>
      </c>
      <c r="J88" t="str">
        <f t="shared" si="6"/>
        <v/>
      </c>
      <c r="K88" s="5" t="str">
        <f t="shared" si="7"/>
        <v/>
      </c>
      <c r="L88">
        <f>IF(A88="",999,IFERROR(MATCH(B88,Config!$A$4:$A$7,0),99)*10+IF(ISNUMBER(F88),1,IF(F88="",2,IF(UPPER(F88)="DNF",3,IF(UPPER(F88)="DNS",4,8)))))</f>
        <v>999</v>
      </c>
    </row>
    <row r="89" spans="2:12" x14ac:dyDescent="0.25">
      <c r="B89" t="str">
        <f>IF(A89="","",IFERROR(INDEX(tblReg[Field],MATCH(A89,tblReg[Bib],0)),""))</f>
        <v/>
      </c>
      <c r="C89" t="str">
        <f>IF(A89="","",IFERROR(INDEX(tblReg[FirstName],MATCH(A89,tblReg[Bib],0)),""))</f>
        <v/>
      </c>
      <c r="D89" t="str">
        <f>IF(A89="","",IFERROR(INDEX(tblReg[LastName],MATCH(A89,tblReg[Bib],0)),""))</f>
        <v/>
      </c>
      <c r="E89" t="str">
        <f>IF(A89="","",IFERROR(INDEX(tblReg[Team],MATCH(A89,tblReg[Bib],0)),""))</f>
        <v/>
      </c>
      <c r="F89" s="4" t="s">
        <v>103</v>
      </c>
      <c r="G89" t="str">
        <f t="shared" si="4"/>
        <v/>
      </c>
      <c r="H89" t="str">
        <f t="shared" si="5"/>
        <v/>
      </c>
      <c r="I89">
        <f>IF(H89="",0,IFERROR(INDEX(Config!$J$4:$J$6,MATCH(H89,Config!$H$4:$H$6,0)),0))</f>
        <v>0</v>
      </c>
      <c r="J89" t="str">
        <f t="shared" si="6"/>
        <v/>
      </c>
      <c r="K89" s="5" t="str">
        <f t="shared" si="7"/>
        <v/>
      </c>
      <c r="L89">
        <f>IF(A89="",999,IFERROR(MATCH(B89,Config!$A$4:$A$7,0),99)*10+IF(ISNUMBER(F89),1,IF(F89="",2,IF(UPPER(F89)="DNF",3,IF(UPPER(F89)="DNS",4,8)))))</f>
        <v>999</v>
      </c>
    </row>
    <row r="90" spans="2:12" x14ac:dyDescent="0.25">
      <c r="B90" t="str">
        <f>IF(A90="","",IFERROR(INDEX(tblReg[Field],MATCH(A90,tblReg[Bib],0)),""))</f>
        <v/>
      </c>
      <c r="C90" t="str">
        <f>IF(A90="","",IFERROR(INDEX(tblReg[FirstName],MATCH(A90,tblReg[Bib],0)),""))</f>
        <v/>
      </c>
      <c r="D90" t="str">
        <f>IF(A90="","",IFERROR(INDEX(tblReg[LastName],MATCH(A90,tblReg[Bib],0)),""))</f>
        <v/>
      </c>
      <c r="E90" t="str">
        <f>IF(A90="","",IFERROR(INDEX(tblReg[Team],MATCH(A90,tblReg[Bib],0)),""))</f>
        <v/>
      </c>
      <c r="F90" s="4" t="s">
        <v>103</v>
      </c>
      <c r="G90" t="str">
        <f t="shared" si="4"/>
        <v/>
      </c>
      <c r="H90" t="str">
        <f t="shared" si="5"/>
        <v/>
      </c>
      <c r="I90">
        <f>IF(H90="",0,IFERROR(INDEX(Config!$J$4:$J$6,MATCH(H90,Config!$H$4:$H$6,0)),0))</f>
        <v>0</v>
      </c>
      <c r="J90" t="str">
        <f t="shared" si="6"/>
        <v/>
      </c>
      <c r="K90" s="5" t="str">
        <f t="shared" si="7"/>
        <v/>
      </c>
      <c r="L90">
        <f>IF(A90="",999,IFERROR(MATCH(B90,Config!$A$4:$A$7,0),99)*10+IF(ISNUMBER(F90),1,IF(F90="",2,IF(UPPER(F90)="DNF",3,IF(UPPER(F90)="DNS",4,8)))))</f>
        <v>999</v>
      </c>
    </row>
    <row r="91" spans="2:12" x14ac:dyDescent="0.25">
      <c r="B91" t="str">
        <f>IF(A91="","",IFERROR(INDEX(tblReg[Field],MATCH(A91,tblReg[Bib],0)),""))</f>
        <v/>
      </c>
      <c r="C91" t="str">
        <f>IF(A91="","",IFERROR(INDEX(tblReg[FirstName],MATCH(A91,tblReg[Bib],0)),""))</f>
        <v/>
      </c>
      <c r="D91" t="str">
        <f>IF(A91="","",IFERROR(INDEX(tblReg[LastName],MATCH(A91,tblReg[Bib],0)),""))</f>
        <v/>
      </c>
      <c r="E91" t="str">
        <f>IF(A91="","",IFERROR(INDEX(tblReg[Team],MATCH(A91,tblReg[Bib],0)),""))</f>
        <v/>
      </c>
      <c r="F91" s="4" t="s">
        <v>103</v>
      </c>
      <c r="G91" t="str">
        <f t="shared" si="4"/>
        <v/>
      </c>
      <c r="H91" t="str">
        <f t="shared" si="5"/>
        <v/>
      </c>
      <c r="I91">
        <f>IF(H91="",0,IFERROR(INDEX(Config!$J$4:$J$6,MATCH(H91,Config!$H$4:$H$6,0)),0))</f>
        <v>0</v>
      </c>
      <c r="J91" t="str">
        <f t="shared" si="6"/>
        <v/>
      </c>
      <c r="K91" s="5" t="str">
        <f t="shared" si="7"/>
        <v/>
      </c>
      <c r="L91">
        <f>IF(A91="",999,IFERROR(MATCH(B91,Config!$A$4:$A$7,0),99)*10+IF(ISNUMBER(F91),1,IF(F91="",2,IF(UPPER(F91)="DNF",3,IF(UPPER(F91)="DNS",4,8)))))</f>
        <v>999</v>
      </c>
    </row>
    <row r="92" spans="2:12" x14ac:dyDescent="0.25">
      <c r="B92" t="str">
        <f>IF(A92="","",IFERROR(INDEX(tblReg[Field],MATCH(A92,tblReg[Bib],0)),""))</f>
        <v/>
      </c>
      <c r="C92" t="str">
        <f>IF(A92="","",IFERROR(INDEX(tblReg[FirstName],MATCH(A92,tblReg[Bib],0)),""))</f>
        <v/>
      </c>
      <c r="D92" t="str">
        <f>IF(A92="","",IFERROR(INDEX(tblReg[LastName],MATCH(A92,tblReg[Bib],0)),""))</f>
        <v/>
      </c>
      <c r="E92" t="str">
        <f>IF(A92="","",IFERROR(INDEX(tblReg[Team],MATCH(A92,tblReg[Bib],0)),""))</f>
        <v/>
      </c>
      <c r="F92" s="4" t="s">
        <v>103</v>
      </c>
      <c r="G92" t="str">
        <f t="shared" si="4"/>
        <v/>
      </c>
      <c r="H92" t="str">
        <f t="shared" si="5"/>
        <v/>
      </c>
      <c r="I92">
        <f>IF(H92="",0,IFERROR(INDEX(Config!$J$4:$J$6,MATCH(H92,Config!$H$4:$H$6,0)),0))</f>
        <v>0</v>
      </c>
      <c r="J92" t="str">
        <f t="shared" si="6"/>
        <v/>
      </c>
      <c r="K92" s="5" t="str">
        <f t="shared" si="7"/>
        <v/>
      </c>
      <c r="L92">
        <f>IF(A92="",999,IFERROR(MATCH(B92,Config!$A$4:$A$7,0),99)*10+IF(ISNUMBER(F92),1,IF(F92="",2,IF(UPPER(F92)="DNF",3,IF(UPPER(F92)="DNS",4,8)))))</f>
        <v>999</v>
      </c>
    </row>
    <row r="93" spans="2:12" x14ac:dyDescent="0.25">
      <c r="B93" t="str">
        <f>IF(A93="","",IFERROR(INDEX(tblReg[Field],MATCH(A93,tblReg[Bib],0)),""))</f>
        <v/>
      </c>
      <c r="C93" t="str">
        <f>IF(A93="","",IFERROR(INDEX(tblReg[FirstName],MATCH(A93,tblReg[Bib],0)),""))</f>
        <v/>
      </c>
      <c r="D93" t="str">
        <f>IF(A93="","",IFERROR(INDEX(tblReg[LastName],MATCH(A93,tblReg[Bib],0)),""))</f>
        <v/>
      </c>
      <c r="E93" t="str">
        <f>IF(A93="","",IFERROR(INDEX(tblReg[Team],MATCH(A93,tblReg[Bib],0)),""))</f>
        <v/>
      </c>
      <c r="F93" s="4" t="s">
        <v>103</v>
      </c>
      <c r="G93" t="str">
        <f t="shared" si="4"/>
        <v/>
      </c>
      <c r="H93" t="str">
        <f t="shared" si="5"/>
        <v/>
      </c>
      <c r="I93">
        <f>IF(H93="",0,IFERROR(INDEX(Config!$J$4:$J$6,MATCH(H93,Config!$H$4:$H$6,0)),0))</f>
        <v>0</v>
      </c>
      <c r="J93" t="str">
        <f t="shared" si="6"/>
        <v/>
      </c>
      <c r="K93" s="5" t="str">
        <f t="shared" si="7"/>
        <v/>
      </c>
      <c r="L93">
        <f>IF(A93="",999,IFERROR(MATCH(B93,Config!$A$4:$A$7,0),99)*10+IF(ISNUMBER(F93),1,IF(F93="",2,IF(UPPER(F93)="DNF",3,IF(UPPER(F93)="DNS",4,8)))))</f>
        <v>999</v>
      </c>
    </row>
    <row r="94" spans="2:12" x14ac:dyDescent="0.25">
      <c r="B94" t="str">
        <f>IF(A94="","",IFERROR(INDEX(tblReg[Field],MATCH(A94,tblReg[Bib],0)),""))</f>
        <v/>
      </c>
      <c r="C94" t="str">
        <f>IF(A94="","",IFERROR(INDEX(tblReg[FirstName],MATCH(A94,tblReg[Bib],0)),""))</f>
        <v/>
      </c>
      <c r="D94" t="str">
        <f>IF(A94="","",IFERROR(INDEX(tblReg[LastName],MATCH(A94,tblReg[Bib],0)),""))</f>
        <v/>
      </c>
      <c r="E94" t="str">
        <f>IF(A94="","",IFERROR(INDEX(tblReg[Team],MATCH(A94,tblReg[Bib],0)),""))</f>
        <v/>
      </c>
      <c r="F94" s="4" t="s">
        <v>103</v>
      </c>
      <c r="G94" t="str">
        <f t="shared" si="4"/>
        <v/>
      </c>
      <c r="H94" t="str">
        <f t="shared" si="5"/>
        <v/>
      </c>
      <c r="I94">
        <f>IF(H94="",0,IFERROR(INDEX(Config!$J$4:$J$6,MATCH(H94,Config!$H$4:$H$6,0)),0))</f>
        <v>0</v>
      </c>
      <c r="J94" t="str">
        <f t="shared" si="6"/>
        <v/>
      </c>
      <c r="K94" s="5" t="str">
        <f t="shared" si="7"/>
        <v/>
      </c>
      <c r="L94">
        <f>IF(A94="",999,IFERROR(MATCH(B94,Config!$A$4:$A$7,0),99)*10+IF(ISNUMBER(F94),1,IF(F94="",2,IF(UPPER(F94)="DNF",3,IF(UPPER(F94)="DNS",4,8)))))</f>
        <v>999</v>
      </c>
    </row>
    <row r="95" spans="2:12" x14ac:dyDescent="0.25">
      <c r="B95" t="str">
        <f>IF(A95="","",IFERROR(INDEX(tblReg[Field],MATCH(A95,tblReg[Bib],0)),""))</f>
        <v/>
      </c>
      <c r="C95" t="str">
        <f>IF(A95="","",IFERROR(INDEX(tblReg[FirstName],MATCH(A95,tblReg[Bib],0)),""))</f>
        <v/>
      </c>
      <c r="D95" t="str">
        <f>IF(A95="","",IFERROR(INDEX(tblReg[LastName],MATCH(A95,tblReg[Bib],0)),""))</f>
        <v/>
      </c>
      <c r="E95" t="str">
        <f>IF(A95="","",IFERROR(INDEX(tblReg[Team],MATCH(A95,tblReg[Bib],0)),""))</f>
        <v/>
      </c>
      <c r="F95" s="4" t="s">
        <v>103</v>
      </c>
      <c r="G95" t="str">
        <f t="shared" si="4"/>
        <v/>
      </c>
      <c r="H95" t="str">
        <f t="shared" si="5"/>
        <v/>
      </c>
      <c r="I95">
        <f>IF(H95="",0,IFERROR(INDEX(Config!$J$4:$J$6,MATCH(H95,Config!$H$4:$H$6,0)),0))</f>
        <v>0</v>
      </c>
      <c r="J95" t="str">
        <f t="shared" si="6"/>
        <v/>
      </c>
      <c r="K95" s="5" t="str">
        <f t="shared" si="7"/>
        <v/>
      </c>
      <c r="L95">
        <f>IF(A95="",999,IFERROR(MATCH(B95,Config!$A$4:$A$7,0),99)*10+IF(ISNUMBER(F95),1,IF(F95="",2,IF(UPPER(F95)="DNF",3,IF(UPPER(F95)="DNS",4,8)))))</f>
        <v>999</v>
      </c>
    </row>
    <row r="96" spans="2:12" x14ac:dyDescent="0.25">
      <c r="B96" t="str">
        <f>IF(A96="","",IFERROR(INDEX(tblReg[Field],MATCH(A96,tblReg[Bib],0)),""))</f>
        <v/>
      </c>
      <c r="C96" t="str">
        <f>IF(A96="","",IFERROR(INDEX(tblReg[FirstName],MATCH(A96,tblReg[Bib],0)),""))</f>
        <v/>
      </c>
      <c r="D96" t="str">
        <f>IF(A96="","",IFERROR(INDEX(tblReg[LastName],MATCH(A96,tblReg[Bib],0)),""))</f>
        <v/>
      </c>
      <c r="E96" t="str">
        <f>IF(A96="","",IFERROR(INDEX(tblReg[Team],MATCH(A96,tblReg[Bib],0)),""))</f>
        <v/>
      </c>
      <c r="F96" s="4" t="s">
        <v>103</v>
      </c>
      <c r="G96" t="str">
        <f t="shared" si="4"/>
        <v/>
      </c>
      <c r="H96" t="str">
        <f t="shared" si="5"/>
        <v/>
      </c>
      <c r="I96">
        <f>IF(H96="",0,IFERROR(INDEX(Config!$J$4:$J$6,MATCH(H96,Config!$H$4:$H$6,0)),0))</f>
        <v>0</v>
      </c>
      <c r="J96" t="str">
        <f t="shared" si="6"/>
        <v/>
      </c>
      <c r="K96" s="5" t="str">
        <f t="shared" si="7"/>
        <v/>
      </c>
      <c r="L96">
        <f>IF(A96="",999,IFERROR(MATCH(B96,Config!$A$4:$A$7,0),99)*10+IF(ISNUMBER(F96),1,IF(F96="",2,IF(UPPER(F96)="DNF",3,IF(UPPER(F96)="DNS",4,8)))))</f>
        <v>999</v>
      </c>
    </row>
    <row r="97" spans="2:12" x14ac:dyDescent="0.25">
      <c r="B97" t="str">
        <f>IF(A97="","",IFERROR(INDEX(tblReg[Field],MATCH(A97,tblReg[Bib],0)),""))</f>
        <v/>
      </c>
      <c r="C97" t="str">
        <f>IF(A97="","",IFERROR(INDEX(tblReg[FirstName],MATCH(A97,tblReg[Bib],0)),""))</f>
        <v/>
      </c>
      <c r="D97" t="str">
        <f>IF(A97="","",IFERROR(INDEX(tblReg[LastName],MATCH(A97,tblReg[Bib],0)),""))</f>
        <v/>
      </c>
      <c r="E97" t="str">
        <f>IF(A97="","",IFERROR(INDEX(tblReg[Team],MATCH(A97,tblReg[Bib],0)),""))</f>
        <v/>
      </c>
      <c r="F97" s="4" t="s">
        <v>103</v>
      </c>
      <c r="G97" t="str">
        <f t="shared" si="4"/>
        <v/>
      </c>
      <c r="H97" t="str">
        <f t="shared" si="5"/>
        <v/>
      </c>
      <c r="I97">
        <f>IF(H97="",0,IFERROR(INDEX(Config!$J$4:$J$6,MATCH(H97,Config!$H$4:$H$6,0)),0))</f>
        <v>0</v>
      </c>
      <c r="J97" t="str">
        <f t="shared" si="6"/>
        <v/>
      </c>
      <c r="K97" s="5" t="str">
        <f t="shared" si="7"/>
        <v/>
      </c>
      <c r="L97">
        <f>IF(A97="",999,IFERROR(MATCH(B97,Config!$A$4:$A$7,0),99)*10+IF(ISNUMBER(F97),1,IF(F97="",2,IF(UPPER(F97)="DNF",3,IF(UPPER(F97)="DNS",4,8)))))</f>
        <v>999</v>
      </c>
    </row>
    <row r="98" spans="2:12" x14ac:dyDescent="0.25">
      <c r="B98" t="str">
        <f>IF(A98="","",IFERROR(INDEX(tblReg[Field],MATCH(A98,tblReg[Bib],0)),""))</f>
        <v/>
      </c>
      <c r="C98" t="str">
        <f>IF(A98="","",IFERROR(INDEX(tblReg[FirstName],MATCH(A98,tblReg[Bib],0)),""))</f>
        <v/>
      </c>
      <c r="D98" t="str">
        <f>IF(A98="","",IFERROR(INDEX(tblReg[LastName],MATCH(A98,tblReg[Bib],0)),""))</f>
        <v/>
      </c>
      <c r="E98" t="str">
        <f>IF(A98="","",IFERROR(INDEX(tblReg[Team],MATCH(A98,tblReg[Bib],0)),""))</f>
        <v/>
      </c>
      <c r="F98" s="4" t="s">
        <v>103</v>
      </c>
      <c r="G98" t="str">
        <f t="shared" si="4"/>
        <v/>
      </c>
      <c r="H98" t="str">
        <f t="shared" si="5"/>
        <v/>
      </c>
      <c r="I98">
        <f>IF(H98="",0,IFERROR(INDEX(Config!$J$4:$J$6,MATCH(H98,Config!$H$4:$H$6,0)),0))</f>
        <v>0</v>
      </c>
      <c r="J98" t="str">
        <f t="shared" si="6"/>
        <v/>
      </c>
      <c r="K98" s="5" t="str">
        <f t="shared" si="7"/>
        <v/>
      </c>
      <c r="L98">
        <f>IF(A98="",999,IFERROR(MATCH(B98,Config!$A$4:$A$7,0),99)*10+IF(ISNUMBER(F98),1,IF(F98="",2,IF(UPPER(F98)="DNF",3,IF(UPPER(F98)="DNS",4,8)))))</f>
        <v>999</v>
      </c>
    </row>
    <row r="99" spans="2:12" x14ac:dyDescent="0.25">
      <c r="B99" t="str">
        <f>IF(A99="","",IFERROR(INDEX(tblReg[Field],MATCH(A99,tblReg[Bib],0)),""))</f>
        <v/>
      </c>
      <c r="C99" t="str">
        <f>IF(A99="","",IFERROR(INDEX(tblReg[FirstName],MATCH(A99,tblReg[Bib],0)),""))</f>
        <v/>
      </c>
      <c r="D99" t="str">
        <f>IF(A99="","",IFERROR(INDEX(tblReg[LastName],MATCH(A99,tblReg[Bib],0)),""))</f>
        <v/>
      </c>
      <c r="E99" t="str">
        <f>IF(A99="","",IFERROR(INDEX(tblReg[Team],MATCH(A99,tblReg[Bib],0)),""))</f>
        <v/>
      </c>
      <c r="F99" s="4" t="s">
        <v>103</v>
      </c>
      <c r="G99" t="str">
        <f t="shared" si="4"/>
        <v/>
      </c>
      <c r="H99" t="str">
        <f t="shared" si="5"/>
        <v/>
      </c>
      <c r="I99">
        <f>IF(H99="",0,IFERROR(INDEX(Config!$J$4:$J$6,MATCH(H99,Config!$H$4:$H$6,0)),0))</f>
        <v>0</v>
      </c>
      <c r="J99" t="str">
        <f t="shared" si="6"/>
        <v/>
      </c>
      <c r="K99" s="5" t="str">
        <f t="shared" si="7"/>
        <v/>
      </c>
      <c r="L99">
        <f>IF(A99="",999,IFERROR(MATCH(B99,Config!$A$4:$A$7,0),99)*10+IF(ISNUMBER(F99),1,IF(F99="",2,IF(UPPER(F99)="DNF",3,IF(UPPER(F99)="DNS",4,8)))))</f>
        <v>999</v>
      </c>
    </row>
    <row r="100" spans="2:12" x14ac:dyDescent="0.25">
      <c r="B100" t="str">
        <f>IF(A100="","",IFERROR(INDEX(tblReg[Field],MATCH(A100,tblReg[Bib],0)),""))</f>
        <v/>
      </c>
      <c r="C100" t="str">
        <f>IF(A100="","",IFERROR(INDEX(tblReg[FirstName],MATCH(A100,tblReg[Bib],0)),""))</f>
        <v/>
      </c>
      <c r="D100" t="str">
        <f>IF(A100="","",IFERROR(INDEX(tblReg[LastName],MATCH(A100,tblReg[Bib],0)),""))</f>
        <v/>
      </c>
      <c r="E100" t="str">
        <f>IF(A100="","",IFERROR(INDEX(tblReg[Team],MATCH(A100,tblReg[Bib],0)),""))</f>
        <v/>
      </c>
      <c r="F100" s="4" t="s">
        <v>103</v>
      </c>
      <c r="G100" t="str">
        <f t="shared" si="4"/>
        <v/>
      </c>
      <c r="H100" t="str">
        <f t="shared" si="5"/>
        <v/>
      </c>
      <c r="I100">
        <f>IF(H100="",0,IFERROR(INDEX(Config!$J$4:$J$6,MATCH(H100,Config!$H$4:$H$6,0)),0))</f>
        <v>0</v>
      </c>
      <c r="J100" t="str">
        <f t="shared" si="6"/>
        <v/>
      </c>
      <c r="K100" s="5" t="str">
        <f t="shared" si="7"/>
        <v/>
      </c>
      <c r="L100">
        <f>IF(A100="",999,IFERROR(MATCH(B100,Config!$A$4:$A$7,0),99)*10+IF(ISNUMBER(F100),1,IF(F100="",2,IF(UPPER(F100)="DNF",3,IF(UPPER(F100)="DNS",4,8)))))</f>
        <v>999</v>
      </c>
    </row>
    <row r="101" spans="2:12" x14ac:dyDescent="0.25">
      <c r="B101" t="str">
        <f>IF(A101="","",IFERROR(INDEX(tblReg[Field],MATCH(A101,tblReg[Bib],0)),""))</f>
        <v/>
      </c>
      <c r="C101" t="str">
        <f>IF(A101="","",IFERROR(INDEX(tblReg[FirstName],MATCH(A101,tblReg[Bib],0)),""))</f>
        <v/>
      </c>
      <c r="D101" t="str">
        <f>IF(A101="","",IFERROR(INDEX(tblReg[LastName],MATCH(A101,tblReg[Bib],0)),""))</f>
        <v/>
      </c>
      <c r="E101" t="str">
        <f>IF(A101="","",IFERROR(INDEX(tblReg[Team],MATCH(A101,tblReg[Bib],0)),""))</f>
        <v/>
      </c>
      <c r="F101" s="4" t="s">
        <v>103</v>
      </c>
      <c r="G101" t="str">
        <f t="shared" si="4"/>
        <v/>
      </c>
      <c r="H101" t="str">
        <f t="shared" si="5"/>
        <v/>
      </c>
      <c r="I101">
        <f>IF(H101="",0,IFERROR(INDEX(Config!$J$4:$J$6,MATCH(H101,Config!$H$4:$H$6,0)),0))</f>
        <v>0</v>
      </c>
      <c r="J101" t="str">
        <f t="shared" si="6"/>
        <v/>
      </c>
      <c r="K101" s="5" t="str">
        <f t="shared" si="7"/>
        <v/>
      </c>
      <c r="L101">
        <f>IF(A101="",999,IFERROR(MATCH(B101,Config!$A$4:$A$7,0),99)*10+IF(ISNUMBER(F101),1,IF(F101="",2,IF(UPPER(F101)="DNF",3,IF(UPPER(F101)="DNS",4,8)))))</f>
        <v>999</v>
      </c>
    </row>
    <row r="102" spans="2:12" x14ac:dyDescent="0.25">
      <c r="B102" t="str">
        <f>IF(A102="","",IFERROR(INDEX(tblReg[Field],MATCH(A102,tblReg[Bib],0)),""))</f>
        <v/>
      </c>
      <c r="C102" t="str">
        <f>IF(A102="","",IFERROR(INDEX(tblReg[FirstName],MATCH(A102,tblReg[Bib],0)),""))</f>
        <v/>
      </c>
      <c r="D102" t="str">
        <f>IF(A102="","",IFERROR(INDEX(tblReg[LastName],MATCH(A102,tblReg[Bib],0)),""))</f>
        <v/>
      </c>
      <c r="E102" t="str">
        <f>IF(A102="","",IFERROR(INDEX(tblReg[Team],MATCH(A102,tblReg[Bib],0)),""))</f>
        <v/>
      </c>
      <c r="F102" s="4" t="s">
        <v>103</v>
      </c>
      <c r="G102" t="str">
        <f t="shared" si="4"/>
        <v/>
      </c>
      <c r="H102" t="str">
        <f t="shared" si="5"/>
        <v/>
      </c>
      <c r="I102">
        <f>IF(H102="",0,IFERROR(INDEX(Config!$J$4:$J$6,MATCH(H102,Config!$H$4:$H$6,0)),0))</f>
        <v>0</v>
      </c>
      <c r="J102" t="str">
        <f t="shared" si="6"/>
        <v/>
      </c>
      <c r="K102" s="5" t="str">
        <f t="shared" si="7"/>
        <v/>
      </c>
      <c r="L102">
        <f>IF(A102="",999,IFERROR(MATCH(B102,Config!$A$4:$A$7,0),99)*10+IF(ISNUMBER(F102),1,IF(F102="",2,IF(UPPER(F102)="DNF",3,IF(UPPER(F102)="DNS",4,8)))))</f>
        <v>999</v>
      </c>
    </row>
    <row r="103" spans="2:12" x14ac:dyDescent="0.25">
      <c r="B103" t="str">
        <f>IF(A103="","",IFERROR(INDEX(tblReg[Field],MATCH(A103,tblReg[Bib],0)),""))</f>
        <v/>
      </c>
      <c r="C103" t="str">
        <f>IF(A103="","",IFERROR(INDEX(tblReg[FirstName],MATCH(A103,tblReg[Bib],0)),""))</f>
        <v/>
      </c>
      <c r="D103" t="str">
        <f>IF(A103="","",IFERROR(INDEX(tblReg[LastName],MATCH(A103,tblReg[Bib],0)),""))</f>
        <v/>
      </c>
      <c r="E103" t="str">
        <f>IF(A103="","",IFERROR(INDEX(tblReg[Team],MATCH(A103,tblReg[Bib],0)),""))</f>
        <v/>
      </c>
      <c r="F103" s="4" t="s">
        <v>103</v>
      </c>
      <c r="G103" t="str">
        <f t="shared" si="4"/>
        <v/>
      </c>
      <c r="H103" t="str">
        <f t="shared" si="5"/>
        <v/>
      </c>
      <c r="I103">
        <f>IF(H103="",0,IFERROR(INDEX(Config!$J$4:$J$6,MATCH(H103,Config!$H$4:$H$6,0)),0))</f>
        <v>0</v>
      </c>
      <c r="J103" t="str">
        <f t="shared" si="6"/>
        <v/>
      </c>
      <c r="K103" s="5" t="str">
        <f t="shared" si="7"/>
        <v/>
      </c>
      <c r="L103">
        <f>IF(A103="",999,IFERROR(MATCH(B103,Config!$A$4:$A$7,0),99)*10+IF(ISNUMBER(F103),1,IF(F103="",2,IF(UPPER(F103)="DNF",3,IF(UPPER(F103)="DNS",4,8)))))</f>
        <v>999</v>
      </c>
    </row>
    <row r="104" spans="2:12" x14ac:dyDescent="0.25">
      <c r="B104" t="str">
        <f>IF(A104="","",IFERROR(INDEX(tblReg[Field],MATCH(A104,tblReg[Bib],0)),""))</f>
        <v/>
      </c>
      <c r="C104" t="str">
        <f>IF(A104="","",IFERROR(INDEX(tblReg[FirstName],MATCH(A104,tblReg[Bib],0)),""))</f>
        <v/>
      </c>
      <c r="D104" t="str">
        <f>IF(A104="","",IFERROR(INDEX(tblReg[LastName],MATCH(A104,tblReg[Bib],0)),""))</f>
        <v/>
      </c>
      <c r="E104" t="str">
        <f>IF(A104="","",IFERROR(INDEX(tblReg[Team],MATCH(A104,tblReg[Bib],0)),""))</f>
        <v/>
      </c>
      <c r="F104" s="4" t="s">
        <v>103</v>
      </c>
      <c r="G104" t="str">
        <f t="shared" si="4"/>
        <v/>
      </c>
      <c r="H104" t="str">
        <f t="shared" si="5"/>
        <v/>
      </c>
      <c r="I104">
        <f>IF(H104="",0,IFERROR(INDEX(Config!$J$4:$J$6,MATCH(H104,Config!$H$4:$H$6,0)),0))</f>
        <v>0</v>
      </c>
      <c r="J104" t="str">
        <f t="shared" si="6"/>
        <v/>
      </c>
      <c r="K104" s="5" t="str">
        <f t="shared" si="7"/>
        <v/>
      </c>
      <c r="L104">
        <f>IF(A104="",999,IFERROR(MATCH(B104,Config!$A$4:$A$7,0),99)*10+IF(ISNUMBER(F104),1,IF(F104="",2,IF(UPPER(F104)="DNF",3,IF(UPPER(F104)="DNS",4,8)))))</f>
        <v>999</v>
      </c>
    </row>
    <row r="105" spans="2:12" x14ac:dyDescent="0.25">
      <c r="B105" t="str">
        <f>IF(A105="","",IFERROR(INDEX(tblReg[Field],MATCH(A105,tblReg[Bib],0)),""))</f>
        <v/>
      </c>
      <c r="C105" t="str">
        <f>IF(A105="","",IFERROR(INDEX(tblReg[FirstName],MATCH(A105,tblReg[Bib],0)),""))</f>
        <v/>
      </c>
      <c r="D105" t="str">
        <f>IF(A105="","",IFERROR(INDEX(tblReg[LastName],MATCH(A105,tblReg[Bib],0)),""))</f>
        <v/>
      </c>
      <c r="E105" t="str">
        <f>IF(A105="","",IFERROR(INDEX(tblReg[Team],MATCH(A105,tblReg[Bib],0)),""))</f>
        <v/>
      </c>
      <c r="F105" s="4" t="s">
        <v>103</v>
      </c>
      <c r="G105" t="str">
        <f t="shared" si="4"/>
        <v/>
      </c>
      <c r="H105" t="str">
        <f t="shared" si="5"/>
        <v/>
      </c>
      <c r="I105">
        <f>IF(H105="",0,IFERROR(INDEX(Config!$J$4:$J$6,MATCH(H105,Config!$H$4:$H$6,0)),0))</f>
        <v>0</v>
      </c>
      <c r="J105" t="str">
        <f t="shared" si="6"/>
        <v/>
      </c>
      <c r="K105" s="5" t="str">
        <f t="shared" si="7"/>
        <v/>
      </c>
      <c r="L105">
        <f>IF(A105="",999,IFERROR(MATCH(B105,Config!$A$4:$A$7,0),99)*10+IF(ISNUMBER(F105),1,IF(F105="",2,IF(UPPER(F105)="DNF",3,IF(UPPER(F105)="DNS",4,8)))))</f>
        <v>999</v>
      </c>
    </row>
    <row r="106" spans="2:12" x14ac:dyDescent="0.25">
      <c r="B106" t="str">
        <f>IF(A106="","",IFERROR(INDEX(tblReg[Field],MATCH(A106,tblReg[Bib],0)),""))</f>
        <v/>
      </c>
      <c r="C106" t="str">
        <f>IF(A106="","",IFERROR(INDEX(tblReg[FirstName],MATCH(A106,tblReg[Bib],0)),""))</f>
        <v/>
      </c>
      <c r="D106" t="str">
        <f>IF(A106="","",IFERROR(INDEX(tblReg[LastName],MATCH(A106,tblReg[Bib],0)),""))</f>
        <v/>
      </c>
      <c r="E106" t="str">
        <f>IF(A106="","",IFERROR(INDEX(tblReg[Team],MATCH(A106,tblReg[Bib],0)),""))</f>
        <v/>
      </c>
      <c r="F106" s="4" t="s">
        <v>103</v>
      </c>
      <c r="G106" t="str">
        <f t="shared" si="4"/>
        <v/>
      </c>
      <c r="H106" t="str">
        <f t="shared" si="5"/>
        <v/>
      </c>
      <c r="I106">
        <f>IF(H106="",0,IFERROR(INDEX(Config!$J$4:$J$6,MATCH(H106,Config!$H$4:$H$6,0)),0))</f>
        <v>0</v>
      </c>
      <c r="J106" t="str">
        <f t="shared" si="6"/>
        <v/>
      </c>
      <c r="K106" s="5" t="str">
        <f t="shared" si="7"/>
        <v/>
      </c>
      <c r="L106">
        <f>IF(A106="",999,IFERROR(MATCH(B106,Config!$A$4:$A$7,0),99)*10+IF(ISNUMBER(F106),1,IF(F106="",2,IF(UPPER(F106)="DNF",3,IF(UPPER(F106)="DNS",4,8)))))</f>
        <v>999</v>
      </c>
    </row>
    <row r="107" spans="2:12" x14ac:dyDescent="0.25">
      <c r="B107" t="str">
        <f>IF(A107="","",IFERROR(INDEX(tblReg[Field],MATCH(A107,tblReg[Bib],0)),""))</f>
        <v/>
      </c>
      <c r="C107" t="str">
        <f>IF(A107="","",IFERROR(INDEX(tblReg[FirstName],MATCH(A107,tblReg[Bib],0)),""))</f>
        <v/>
      </c>
      <c r="D107" t="str">
        <f>IF(A107="","",IFERROR(INDEX(tblReg[LastName],MATCH(A107,tblReg[Bib],0)),""))</f>
        <v/>
      </c>
      <c r="E107" t="str">
        <f>IF(A107="","",IFERROR(INDEX(tblReg[Team],MATCH(A107,tblReg[Bib],0)),""))</f>
        <v/>
      </c>
      <c r="F107" s="4" t="s">
        <v>103</v>
      </c>
      <c r="G107" t="str">
        <f t="shared" si="4"/>
        <v/>
      </c>
      <c r="H107" t="str">
        <f t="shared" si="5"/>
        <v/>
      </c>
      <c r="I107">
        <f>IF(H107="",0,IFERROR(INDEX(Config!$J$4:$J$6,MATCH(H107,Config!$H$4:$H$6,0)),0))</f>
        <v>0</v>
      </c>
      <c r="J107" t="str">
        <f t="shared" si="6"/>
        <v/>
      </c>
      <c r="K107" s="5" t="str">
        <f t="shared" si="7"/>
        <v/>
      </c>
      <c r="L107">
        <f>IF(A107="",999,IFERROR(MATCH(B107,Config!$A$4:$A$7,0),99)*10+IF(ISNUMBER(F107),1,IF(F107="",2,IF(UPPER(F107)="DNF",3,IF(UPPER(F107)="DNS",4,8)))))</f>
        <v>999</v>
      </c>
    </row>
    <row r="108" spans="2:12" x14ac:dyDescent="0.25">
      <c r="B108" t="str">
        <f>IF(A108="","",IFERROR(INDEX(tblReg[Field],MATCH(A108,tblReg[Bib],0)),""))</f>
        <v/>
      </c>
      <c r="C108" t="str">
        <f>IF(A108="","",IFERROR(INDEX(tblReg[FirstName],MATCH(A108,tblReg[Bib],0)),""))</f>
        <v/>
      </c>
      <c r="D108" t="str">
        <f>IF(A108="","",IFERROR(INDEX(tblReg[LastName],MATCH(A108,tblReg[Bib],0)),""))</f>
        <v/>
      </c>
      <c r="E108" t="str">
        <f>IF(A108="","",IFERROR(INDEX(tblReg[Team],MATCH(A108,tblReg[Bib],0)),""))</f>
        <v/>
      </c>
      <c r="F108" s="4" t="s">
        <v>103</v>
      </c>
      <c r="G108" t="str">
        <f t="shared" si="4"/>
        <v/>
      </c>
      <c r="H108" t="str">
        <f t="shared" si="5"/>
        <v/>
      </c>
      <c r="I108">
        <f>IF(H108="",0,IFERROR(INDEX(Config!$J$4:$J$6,MATCH(H108,Config!$H$4:$H$6,0)),0))</f>
        <v>0</v>
      </c>
      <c r="J108" t="str">
        <f t="shared" si="6"/>
        <v/>
      </c>
      <c r="K108" s="5" t="str">
        <f t="shared" si="7"/>
        <v/>
      </c>
      <c r="L108">
        <f>IF(A108="",999,IFERROR(MATCH(B108,Config!$A$4:$A$7,0),99)*10+IF(ISNUMBER(F108),1,IF(F108="",2,IF(UPPER(F108)="DNF",3,IF(UPPER(F108)="DNS",4,8)))))</f>
        <v>999</v>
      </c>
    </row>
    <row r="109" spans="2:12" x14ac:dyDescent="0.25">
      <c r="B109" t="str">
        <f>IF(A109="","",IFERROR(INDEX(tblReg[Field],MATCH(A109,tblReg[Bib],0)),""))</f>
        <v/>
      </c>
      <c r="C109" t="str">
        <f>IF(A109="","",IFERROR(INDEX(tblReg[FirstName],MATCH(A109,tblReg[Bib],0)),""))</f>
        <v/>
      </c>
      <c r="D109" t="str">
        <f>IF(A109="","",IFERROR(INDEX(tblReg[LastName],MATCH(A109,tblReg[Bib],0)),""))</f>
        <v/>
      </c>
      <c r="E109" t="str">
        <f>IF(A109="","",IFERROR(INDEX(tblReg[Team],MATCH(A109,tblReg[Bib],0)),""))</f>
        <v/>
      </c>
      <c r="F109" s="4" t="s">
        <v>103</v>
      </c>
      <c r="G109" t="str">
        <f t="shared" si="4"/>
        <v/>
      </c>
      <c r="H109" t="str">
        <f t="shared" si="5"/>
        <v/>
      </c>
      <c r="I109">
        <f>IF(H109="",0,IFERROR(INDEX(Config!$J$4:$J$6,MATCH(H109,Config!$H$4:$H$6,0)),0))</f>
        <v>0</v>
      </c>
      <c r="J109" t="str">
        <f t="shared" si="6"/>
        <v/>
      </c>
      <c r="K109" s="5" t="str">
        <f t="shared" si="7"/>
        <v/>
      </c>
      <c r="L109">
        <f>IF(A109="",999,IFERROR(MATCH(B109,Config!$A$4:$A$7,0),99)*10+IF(ISNUMBER(F109),1,IF(F109="",2,IF(UPPER(F109)="DNF",3,IF(UPPER(F109)="DNS",4,8)))))</f>
        <v>999</v>
      </c>
    </row>
    <row r="110" spans="2:12" x14ac:dyDescent="0.25">
      <c r="B110" t="str">
        <f>IF(A110="","",IFERROR(INDEX(tblReg[Field],MATCH(A110,tblReg[Bib],0)),""))</f>
        <v/>
      </c>
      <c r="C110" t="str">
        <f>IF(A110="","",IFERROR(INDEX(tblReg[FirstName],MATCH(A110,tblReg[Bib],0)),""))</f>
        <v/>
      </c>
      <c r="D110" t="str">
        <f>IF(A110="","",IFERROR(INDEX(tblReg[LastName],MATCH(A110,tblReg[Bib],0)),""))</f>
        <v/>
      </c>
      <c r="E110" t="str">
        <f>IF(A110="","",IFERROR(INDEX(tblReg[Team],MATCH(A110,tblReg[Bib],0)),""))</f>
        <v/>
      </c>
      <c r="F110" s="4" t="s">
        <v>103</v>
      </c>
      <c r="G110" t="str">
        <f t="shared" si="4"/>
        <v/>
      </c>
      <c r="H110" t="str">
        <f t="shared" si="5"/>
        <v/>
      </c>
      <c r="I110">
        <f>IF(H110="",0,IFERROR(INDEX(Config!$J$4:$J$6,MATCH(H110,Config!$H$4:$H$6,0)),0))</f>
        <v>0</v>
      </c>
      <c r="J110" t="str">
        <f t="shared" si="6"/>
        <v/>
      </c>
      <c r="K110" s="5" t="str">
        <f t="shared" si="7"/>
        <v/>
      </c>
      <c r="L110">
        <f>IF(A110="",999,IFERROR(MATCH(B110,Config!$A$4:$A$7,0),99)*10+IF(ISNUMBER(F110),1,IF(F110="",2,IF(UPPER(F110)="DNF",3,IF(UPPER(F110)="DNS",4,8)))))</f>
        <v>999</v>
      </c>
    </row>
    <row r="111" spans="2:12" x14ac:dyDescent="0.25">
      <c r="B111" t="str">
        <f>IF(A111="","",IFERROR(INDEX(tblReg[Field],MATCH(A111,tblReg[Bib],0)),""))</f>
        <v/>
      </c>
      <c r="C111" t="str">
        <f>IF(A111="","",IFERROR(INDEX(tblReg[FirstName],MATCH(A111,tblReg[Bib],0)),""))</f>
        <v/>
      </c>
      <c r="D111" t="str">
        <f>IF(A111="","",IFERROR(INDEX(tblReg[LastName],MATCH(A111,tblReg[Bib],0)),""))</f>
        <v/>
      </c>
      <c r="E111" t="str">
        <f>IF(A111="","",IFERROR(INDEX(tblReg[Team],MATCH(A111,tblReg[Bib],0)),""))</f>
        <v/>
      </c>
      <c r="F111" s="4" t="s">
        <v>103</v>
      </c>
      <c r="G111" t="str">
        <f t="shared" si="4"/>
        <v/>
      </c>
      <c r="H111" t="str">
        <f t="shared" si="5"/>
        <v/>
      </c>
      <c r="I111">
        <f>IF(H111="",0,IFERROR(INDEX(Config!$J$4:$J$6,MATCH(H111,Config!$H$4:$H$6,0)),0))</f>
        <v>0</v>
      </c>
      <c r="J111" t="str">
        <f t="shared" si="6"/>
        <v/>
      </c>
      <c r="K111" s="5" t="str">
        <f t="shared" si="7"/>
        <v/>
      </c>
      <c r="L111">
        <f>IF(A111="",999,IFERROR(MATCH(B111,Config!$A$4:$A$7,0),99)*10+IF(ISNUMBER(F111),1,IF(F111="",2,IF(UPPER(F111)="DNF",3,IF(UPPER(F111)="DNS",4,8)))))</f>
        <v>999</v>
      </c>
    </row>
    <row r="112" spans="2:12" x14ac:dyDescent="0.25">
      <c r="B112" t="str">
        <f>IF(A112="","",IFERROR(INDEX(tblReg[Field],MATCH(A112,tblReg[Bib],0)),""))</f>
        <v/>
      </c>
      <c r="C112" t="str">
        <f>IF(A112="","",IFERROR(INDEX(tblReg[FirstName],MATCH(A112,tblReg[Bib],0)),""))</f>
        <v/>
      </c>
      <c r="D112" t="str">
        <f>IF(A112="","",IFERROR(INDEX(tblReg[LastName],MATCH(A112,tblReg[Bib],0)),""))</f>
        <v/>
      </c>
      <c r="E112" t="str">
        <f>IF(A112="","",IFERROR(INDEX(tblReg[Team],MATCH(A112,tblReg[Bib],0)),""))</f>
        <v/>
      </c>
      <c r="F112" s="4" t="s">
        <v>103</v>
      </c>
      <c r="G112" t="str">
        <f t="shared" si="4"/>
        <v/>
      </c>
      <c r="H112" t="str">
        <f t="shared" si="5"/>
        <v/>
      </c>
      <c r="I112">
        <f>IF(H112="",0,IFERROR(INDEX(Config!$J$4:$J$6,MATCH(H112,Config!$H$4:$H$6,0)),0))</f>
        <v>0</v>
      </c>
      <c r="J112" t="str">
        <f t="shared" si="6"/>
        <v/>
      </c>
      <c r="K112" s="5" t="str">
        <f t="shared" si="7"/>
        <v/>
      </c>
      <c r="L112">
        <f>IF(A112="",999,IFERROR(MATCH(B112,Config!$A$4:$A$7,0),99)*10+IF(ISNUMBER(F112),1,IF(F112="",2,IF(UPPER(F112)="DNF",3,IF(UPPER(F112)="DNS",4,8)))))</f>
        <v>999</v>
      </c>
    </row>
    <row r="113" spans="2:12" x14ac:dyDescent="0.25">
      <c r="B113" t="str">
        <f>IF(A113="","",IFERROR(INDEX(tblReg[Field],MATCH(A113,tblReg[Bib],0)),""))</f>
        <v/>
      </c>
      <c r="C113" t="str">
        <f>IF(A113="","",IFERROR(INDEX(tblReg[FirstName],MATCH(A113,tblReg[Bib],0)),""))</f>
        <v/>
      </c>
      <c r="D113" t="str">
        <f>IF(A113="","",IFERROR(INDEX(tblReg[LastName],MATCH(A113,tblReg[Bib],0)),""))</f>
        <v/>
      </c>
      <c r="E113" t="str">
        <f>IF(A113="","",IFERROR(INDEX(tblReg[Team],MATCH(A113,tblReg[Bib],0)),""))</f>
        <v/>
      </c>
      <c r="F113" s="4" t="s">
        <v>103</v>
      </c>
      <c r="G113" t="str">
        <f t="shared" si="4"/>
        <v/>
      </c>
      <c r="H113" t="str">
        <f t="shared" si="5"/>
        <v/>
      </c>
      <c r="I113">
        <f>IF(H113="",0,IFERROR(INDEX(Config!$J$4:$J$6,MATCH(H113,Config!$H$4:$H$6,0)),0))</f>
        <v>0</v>
      </c>
      <c r="J113" t="str">
        <f t="shared" si="6"/>
        <v/>
      </c>
      <c r="K113" s="5" t="str">
        <f t="shared" si="7"/>
        <v/>
      </c>
      <c r="L113">
        <f>IF(A113="",999,IFERROR(MATCH(B113,Config!$A$4:$A$7,0),99)*10+IF(ISNUMBER(F113),1,IF(F113="",2,IF(UPPER(F113)="DNF",3,IF(UPPER(F113)="DNS",4,8)))))</f>
        <v>999</v>
      </c>
    </row>
    <row r="114" spans="2:12" x14ac:dyDescent="0.25">
      <c r="B114" t="str">
        <f>IF(A114="","",IFERROR(INDEX(tblReg[Field],MATCH(A114,tblReg[Bib],0)),""))</f>
        <v/>
      </c>
      <c r="C114" t="str">
        <f>IF(A114="","",IFERROR(INDEX(tblReg[FirstName],MATCH(A114,tblReg[Bib],0)),""))</f>
        <v/>
      </c>
      <c r="D114" t="str">
        <f>IF(A114="","",IFERROR(INDEX(tblReg[LastName],MATCH(A114,tblReg[Bib],0)),""))</f>
        <v/>
      </c>
      <c r="E114" t="str">
        <f>IF(A114="","",IFERROR(INDEX(tblReg[Team],MATCH(A114,tblReg[Bib],0)),""))</f>
        <v/>
      </c>
      <c r="F114" s="4" t="s">
        <v>103</v>
      </c>
      <c r="G114" t="str">
        <f t="shared" si="4"/>
        <v/>
      </c>
      <c r="H114" t="str">
        <f t="shared" si="5"/>
        <v/>
      </c>
      <c r="I114">
        <f>IF(H114="",0,IFERROR(INDEX(Config!$J$4:$J$6,MATCH(H114,Config!$H$4:$H$6,0)),0))</f>
        <v>0</v>
      </c>
      <c r="J114" t="str">
        <f t="shared" si="6"/>
        <v/>
      </c>
      <c r="K114" s="5" t="str">
        <f t="shared" si="7"/>
        <v/>
      </c>
      <c r="L114">
        <f>IF(A114="",999,IFERROR(MATCH(B114,Config!$A$4:$A$7,0),99)*10+IF(ISNUMBER(F114),1,IF(F114="",2,IF(UPPER(F114)="DNF",3,IF(UPPER(F114)="DNS",4,8)))))</f>
        <v>999</v>
      </c>
    </row>
    <row r="115" spans="2:12" x14ac:dyDescent="0.25">
      <c r="B115" t="str">
        <f>IF(A115="","",IFERROR(INDEX(tblReg[Field],MATCH(A115,tblReg[Bib],0)),""))</f>
        <v/>
      </c>
      <c r="C115" t="str">
        <f>IF(A115="","",IFERROR(INDEX(tblReg[FirstName],MATCH(A115,tblReg[Bib],0)),""))</f>
        <v/>
      </c>
      <c r="D115" t="str">
        <f>IF(A115="","",IFERROR(INDEX(tblReg[LastName],MATCH(A115,tblReg[Bib],0)),""))</f>
        <v/>
      </c>
      <c r="E115" t="str">
        <f>IF(A115="","",IFERROR(INDEX(tblReg[Team],MATCH(A115,tblReg[Bib],0)),""))</f>
        <v/>
      </c>
      <c r="F115" s="4" t="s">
        <v>103</v>
      </c>
      <c r="G115" t="str">
        <f t="shared" si="4"/>
        <v/>
      </c>
      <c r="H115" t="str">
        <f t="shared" si="5"/>
        <v/>
      </c>
      <c r="I115">
        <f>IF(H115="",0,IFERROR(INDEX(Config!$J$4:$J$6,MATCH(H115,Config!$H$4:$H$6,0)),0))</f>
        <v>0</v>
      </c>
      <c r="J115" t="str">
        <f t="shared" si="6"/>
        <v/>
      </c>
      <c r="K115" s="5" t="str">
        <f t="shared" si="7"/>
        <v/>
      </c>
      <c r="L115">
        <f>IF(A115="",999,IFERROR(MATCH(B115,Config!$A$4:$A$7,0),99)*10+IF(ISNUMBER(F115),1,IF(F115="",2,IF(UPPER(F115)="DNF",3,IF(UPPER(F115)="DNS",4,8)))))</f>
        <v>999</v>
      </c>
    </row>
    <row r="116" spans="2:12" x14ac:dyDescent="0.25">
      <c r="B116" t="str">
        <f>IF(A116="","",IFERROR(INDEX(tblReg[Field],MATCH(A116,tblReg[Bib],0)),""))</f>
        <v/>
      </c>
      <c r="C116" t="str">
        <f>IF(A116="","",IFERROR(INDEX(tblReg[FirstName],MATCH(A116,tblReg[Bib],0)),""))</f>
        <v/>
      </c>
      <c r="D116" t="str">
        <f>IF(A116="","",IFERROR(INDEX(tblReg[LastName],MATCH(A116,tblReg[Bib],0)),""))</f>
        <v/>
      </c>
      <c r="E116" t="str">
        <f>IF(A116="","",IFERROR(INDEX(tblReg[Team],MATCH(A116,tblReg[Bib],0)),""))</f>
        <v/>
      </c>
      <c r="F116" s="4" t="s">
        <v>103</v>
      </c>
      <c r="G116" t="str">
        <f t="shared" si="4"/>
        <v/>
      </c>
      <c r="H116" t="str">
        <f t="shared" si="5"/>
        <v/>
      </c>
      <c r="I116">
        <f>IF(H116="",0,IFERROR(INDEX(Config!$J$4:$J$6,MATCH(H116,Config!$H$4:$H$6,0)),0))</f>
        <v>0</v>
      </c>
      <c r="J116" t="str">
        <f t="shared" si="6"/>
        <v/>
      </c>
      <c r="K116" s="5" t="str">
        <f t="shared" si="7"/>
        <v/>
      </c>
      <c r="L116">
        <f>IF(A116="",999,IFERROR(MATCH(B116,Config!$A$4:$A$7,0),99)*10+IF(ISNUMBER(F116),1,IF(F116="",2,IF(UPPER(F116)="DNF",3,IF(UPPER(F116)="DNS",4,8)))))</f>
        <v>999</v>
      </c>
    </row>
    <row r="117" spans="2:12" x14ac:dyDescent="0.25">
      <c r="B117" t="str">
        <f>IF(A117="","",IFERROR(INDEX(tblReg[Field],MATCH(A117,tblReg[Bib],0)),""))</f>
        <v/>
      </c>
      <c r="C117" t="str">
        <f>IF(A117="","",IFERROR(INDEX(tblReg[FirstName],MATCH(A117,tblReg[Bib],0)),""))</f>
        <v/>
      </c>
      <c r="D117" t="str">
        <f>IF(A117="","",IFERROR(INDEX(tblReg[LastName],MATCH(A117,tblReg[Bib],0)),""))</f>
        <v/>
      </c>
      <c r="E117" t="str">
        <f>IF(A117="","",IFERROR(INDEX(tblReg[Team],MATCH(A117,tblReg[Bib],0)),""))</f>
        <v/>
      </c>
      <c r="F117" s="4" t="s">
        <v>103</v>
      </c>
      <c r="G117" t="str">
        <f t="shared" si="4"/>
        <v/>
      </c>
      <c r="H117" t="str">
        <f t="shared" si="5"/>
        <v/>
      </c>
      <c r="I117">
        <f>IF(H117="",0,IFERROR(INDEX(Config!$J$4:$J$6,MATCH(H117,Config!$H$4:$H$6,0)),0))</f>
        <v>0</v>
      </c>
      <c r="J117" t="str">
        <f t="shared" si="6"/>
        <v/>
      </c>
      <c r="K117" s="5" t="str">
        <f t="shared" si="7"/>
        <v/>
      </c>
      <c r="L117">
        <f>IF(A117="",999,IFERROR(MATCH(B117,Config!$A$4:$A$7,0),99)*10+IF(ISNUMBER(F117),1,IF(F117="",2,IF(UPPER(F117)="DNF",3,IF(UPPER(F117)="DNS",4,8)))))</f>
        <v>999</v>
      </c>
    </row>
    <row r="118" spans="2:12" x14ac:dyDescent="0.25">
      <c r="B118" t="str">
        <f>IF(A118="","",IFERROR(INDEX(tblReg[Field],MATCH(A118,tblReg[Bib],0)),""))</f>
        <v/>
      </c>
      <c r="C118" t="str">
        <f>IF(A118="","",IFERROR(INDEX(tblReg[FirstName],MATCH(A118,tblReg[Bib],0)),""))</f>
        <v/>
      </c>
      <c r="D118" t="str">
        <f>IF(A118="","",IFERROR(INDEX(tblReg[LastName],MATCH(A118,tblReg[Bib],0)),""))</f>
        <v/>
      </c>
      <c r="E118" t="str">
        <f>IF(A118="","",IFERROR(INDEX(tblReg[Team],MATCH(A118,tblReg[Bib],0)),""))</f>
        <v/>
      </c>
      <c r="F118" s="4" t="s">
        <v>103</v>
      </c>
      <c r="G118" t="str">
        <f t="shared" si="4"/>
        <v/>
      </c>
      <c r="H118" t="str">
        <f t="shared" si="5"/>
        <v/>
      </c>
      <c r="I118">
        <f>IF(H118="",0,IFERROR(INDEX(Config!$J$4:$J$6,MATCH(H118,Config!$H$4:$H$6,0)),0))</f>
        <v>0</v>
      </c>
      <c r="J118" t="str">
        <f t="shared" si="6"/>
        <v/>
      </c>
      <c r="K118" s="5" t="str">
        <f t="shared" si="7"/>
        <v/>
      </c>
      <c r="L118">
        <f>IF(A118="",999,IFERROR(MATCH(B118,Config!$A$4:$A$7,0),99)*10+IF(ISNUMBER(F118),1,IF(F118="",2,IF(UPPER(F118)="DNF",3,IF(UPPER(F118)="DNS",4,8)))))</f>
        <v>999</v>
      </c>
    </row>
    <row r="119" spans="2:12" x14ac:dyDescent="0.25">
      <c r="B119" t="str">
        <f>IF(A119="","",IFERROR(INDEX(tblReg[Field],MATCH(A119,tblReg[Bib],0)),""))</f>
        <v/>
      </c>
      <c r="C119" t="str">
        <f>IF(A119="","",IFERROR(INDEX(tblReg[FirstName],MATCH(A119,tblReg[Bib],0)),""))</f>
        <v/>
      </c>
      <c r="D119" t="str">
        <f>IF(A119="","",IFERROR(INDEX(tblReg[LastName],MATCH(A119,tblReg[Bib],0)),""))</f>
        <v/>
      </c>
      <c r="E119" t="str">
        <f>IF(A119="","",IFERROR(INDEX(tblReg[Team],MATCH(A119,tblReg[Bib],0)),""))</f>
        <v/>
      </c>
      <c r="F119" s="4" t="s">
        <v>103</v>
      </c>
      <c r="G119" t="str">
        <f t="shared" si="4"/>
        <v/>
      </c>
      <c r="H119" t="str">
        <f t="shared" si="5"/>
        <v/>
      </c>
      <c r="I119">
        <f>IF(H119="",0,IFERROR(INDEX(Config!$J$4:$J$6,MATCH(H119,Config!$H$4:$H$6,0)),0))</f>
        <v>0</v>
      </c>
      <c r="J119" t="str">
        <f t="shared" si="6"/>
        <v/>
      </c>
      <c r="K119" s="5" t="str">
        <f t="shared" si="7"/>
        <v/>
      </c>
      <c r="L119">
        <f>IF(A119="",999,IFERROR(MATCH(B119,Config!$A$4:$A$7,0),99)*10+IF(ISNUMBER(F119),1,IF(F119="",2,IF(UPPER(F119)="DNF",3,IF(UPPER(F119)="DNS",4,8)))))</f>
        <v>999</v>
      </c>
    </row>
    <row r="120" spans="2:12" x14ac:dyDescent="0.25">
      <c r="B120" t="str">
        <f>IF(A120="","",IFERROR(INDEX(tblReg[Field],MATCH(A120,tblReg[Bib],0)),""))</f>
        <v/>
      </c>
      <c r="C120" t="str">
        <f>IF(A120="","",IFERROR(INDEX(tblReg[FirstName],MATCH(A120,tblReg[Bib],0)),""))</f>
        <v/>
      </c>
      <c r="D120" t="str">
        <f>IF(A120="","",IFERROR(INDEX(tblReg[LastName],MATCH(A120,tblReg[Bib],0)),""))</f>
        <v/>
      </c>
      <c r="E120" t="str">
        <f>IF(A120="","",IFERROR(INDEX(tblReg[Team],MATCH(A120,tblReg[Bib],0)),""))</f>
        <v/>
      </c>
      <c r="F120" s="4" t="s">
        <v>103</v>
      </c>
      <c r="G120" t="str">
        <f t="shared" si="4"/>
        <v/>
      </c>
      <c r="H120" t="str">
        <f t="shared" si="5"/>
        <v/>
      </c>
      <c r="I120">
        <f>IF(H120="",0,IFERROR(INDEX(Config!$J$4:$J$6,MATCH(H120,Config!$H$4:$H$6,0)),0))</f>
        <v>0</v>
      </c>
      <c r="J120" t="str">
        <f t="shared" si="6"/>
        <v/>
      </c>
      <c r="K120" s="5" t="str">
        <f t="shared" si="7"/>
        <v/>
      </c>
      <c r="L120">
        <f>IF(A120="",999,IFERROR(MATCH(B120,Config!$A$4:$A$7,0),99)*10+IF(ISNUMBER(F120),1,IF(F120="",2,IF(UPPER(F120)="DNF",3,IF(UPPER(F120)="DNS",4,8)))))</f>
        <v>999</v>
      </c>
    </row>
    <row r="121" spans="2:12" x14ac:dyDescent="0.25">
      <c r="B121" t="str">
        <f>IF(A121="","",IFERROR(INDEX(tblReg[Field],MATCH(A121,tblReg[Bib],0)),""))</f>
        <v/>
      </c>
      <c r="C121" t="str">
        <f>IF(A121="","",IFERROR(INDEX(tblReg[FirstName],MATCH(A121,tblReg[Bib],0)),""))</f>
        <v/>
      </c>
      <c r="D121" t="str">
        <f>IF(A121="","",IFERROR(INDEX(tblReg[LastName],MATCH(A121,tblReg[Bib],0)),""))</f>
        <v/>
      </c>
      <c r="E121" t="str">
        <f>IF(A121="","",IFERROR(INDEX(tblReg[Team],MATCH(A121,tblReg[Bib],0)),""))</f>
        <v/>
      </c>
      <c r="F121" s="4" t="s">
        <v>103</v>
      </c>
      <c r="G121" t="str">
        <f t="shared" si="4"/>
        <v/>
      </c>
      <c r="H121" t="str">
        <f t="shared" si="5"/>
        <v/>
      </c>
      <c r="I121">
        <f>IF(H121="",0,IFERROR(INDEX(Config!$J$4:$J$6,MATCH(H121,Config!$H$4:$H$6,0)),0))</f>
        <v>0</v>
      </c>
      <c r="J121" t="str">
        <f t="shared" si="6"/>
        <v/>
      </c>
      <c r="K121" s="5" t="str">
        <f t="shared" si="7"/>
        <v/>
      </c>
      <c r="L121">
        <f>IF(A121="",999,IFERROR(MATCH(B121,Config!$A$4:$A$7,0),99)*10+IF(ISNUMBER(F121),1,IF(F121="",2,IF(UPPER(F121)="DNF",3,IF(UPPER(F121)="DNS",4,8)))))</f>
        <v>999</v>
      </c>
    </row>
    <row r="122" spans="2:12" x14ac:dyDescent="0.25">
      <c r="B122" t="str">
        <f>IF(A122="","",IFERROR(INDEX(tblReg[Field],MATCH(A122,tblReg[Bib],0)),""))</f>
        <v/>
      </c>
      <c r="C122" t="str">
        <f>IF(A122="","",IFERROR(INDEX(tblReg[FirstName],MATCH(A122,tblReg[Bib],0)),""))</f>
        <v/>
      </c>
      <c r="D122" t="str">
        <f>IF(A122="","",IFERROR(INDEX(tblReg[LastName],MATCH(A122,tblReg[Bib],0)),""))</f>
        <v/>
      </c>
      <c r="E122" t="str">
        <f>IF(A122="","",IFERROR(INDEX(tblReg[Team],MATCH(A122,tblReg[Bib],0)),""))</f>
        <v/>
      </c>
      <c r="F122" s="4" t="s">
        <v>103</v>
      </c>
      <c r="G122" t="str">
        <f t="shared" si="4"/>
        <v/>
      </c>
      <c r="H122" t="str">
        <f t="shared" si="5"/>
        <v/>
      </c>
      <c r="I122">
        <f>IF(H122="",0,IFERROR(INDEX(Config!$J$4:$J$6,MATCH(H122,Config!$H$4:$H$6,0)),0))</f>
        <v>0</v>
      </c>
      <c r="J122" t="str">
        <f t="shared" si="6"/>
        <v/>
      </c>
      <c r="K122" s="5" t="str">
        <f t="shared" si="7"/>
        <v/>
      </c>
      <c r="L122">
        <f>IF(A122="",999,IFERROR(MATCH(B122,Config!$A$4:$A$7,0),99)*10+IF(ISNUMBER(F122),1,IF(F122="",2,IF(UPPER(F122)="DNF",3,IF(UPPER(F122)="DNS",4,8)))))</f>
        <v>999</v>
      </c>
    </row>
    <row r="123" spans="2:12" x14ac:dyDescent="0.25">
      <c r="B123" t="str">
        <f>IF(A123="","",IFERROR(INDEX(tblReg[Field],MATCH(A123,tblReg[Bib],0)),""))</f>
        <v/>
      </c>
      <c r="C123" t="str">
        <f>IF(A123="","",IFERROR(INDEX(tblReg[FirstName],MATCH(A123,tblReg[Bib],0)),""))</f>
        <v/>
      </c>
      <c r="D123" t="str">
        <f>IF(A123="","",IFERROR(INDEX(tblReg[LastName],MATCH(A123,tblReg[Bib],0)),""))</f>
        <v/>
      </c>
      <c r="E123" t="str">
        <f>IF(A123="","",IFERROR(INDEX(tblReg[Team],MATCH(A123,tblReg[Bib],0)),""))</f>
        <v/>
      </c>
      <c r="F123" s="4" t="s">
        <v>103</v>
      </c>
      <c r="G123" t="str">
        <f t="shared" si="4"/>
        <v/>
      </c>
      <c r="H123" t="str">
        <f t="shared" si="5"/>
        <v/>
      </c>
      <c r="I123">
        <f>IF(H123="",0,IFERROR(INDEX(Config!$J$4:$J$6,MATCH(H123,Config!$H$4:$H$6,0)),0))</f>
        <v>0</v>
      </c>
      <c r="J123" t="str">
        <f t="shared" si="6"/>
        <v/>
      </c>
      <c r="K123" s="5" t="str">
        <f t="shared" si="7"/>
        <v/>
      </c>
      <c r="L123">
        <f>IF(A123="",999,IFERROR(MATCH(B123,Config!$A$4:$A$7,0),99)*10+IF(ISNUMBER(F123),1,IF(F123="",2,IF(UPPER(F123)="DNF",3,IF(UPPER(F123)="DNS",4,8)))))</f>
        <v>999</v>
      </c>
    </row>
    <row r="124" spans="2:12" x14ac:dyDescent="0.25">
      <c r="B124" t="str">
        <f>IF(A124="","",IFERROR(INDEX(tblReg[Field],MATCH(A124,tblReg[Bib],0)),""))</f>
        <v/>
      </c>
      <c r="C124" t="str">
        <f>IF(A124="","",IFERROR(INDEX(tblReg[FirstName],MATCH(A124,tblReg[Bib],0)),""))</f>
        <v/>
      </c>
      <c r="D124" t="str">
        <f>IF(A124="","",IFERROR(INDEX(tblReg[LastName],MATCH(A124,tblReg[Bib],0)),""))</f>
        <v/>
      </c>
      <c r="E124" t="str">
        <f>IF(A124="","",IFERROR(INDEX(tblReg[Team],MATCH(A124,tblReg[Bib],0)),""))</f>
        <v/>
      </c>
      <c r="F124" s="4" t="s">
        <v>103</v>
      </c>
      <c r="G124" t="str">
        <f t="shared" si="4"/>
        <v/>
      </c>
      <c r="H124" t="str">
        <f t="shared" si="5"/>
        <v/>
      </c>
      <c r="I124">
        <f>IF(H124="",0,IFERROR(INDEX(Config!$J$4:$J$6,MATCH(H124,Config!$H$4:$H$6,0)),0))</f>
        <v>0</v>
      </c>
      <c r="J124" t="str">
        <f t="shared" si="6"/>
        <v/>
      </c>
      <c r="K124" s="5" t="str">
        <f t="shared" si="7"/>
        <v/>
      </c>
      <c r="L124">
        <f>IF(A124="",999,IFERROR(MATCH(B124,Config!$A$4:$A$7,0),99)*10+IF(ISNUMBER(F124),1,IF(F124="",2,IF(UPPER(F124)="DNF",3,IF(UPPER(F124)="DNS",4,8)))))</f>
        <v>999</v>
      </c>
    </row>
    <row r="125" spans="2:12" x14ac:dyDescent="0.25">
      <c r="B125" t="str">
        <f>IF(A125="","",IFERROR(INDEX(tblReg[Field],MATCH(A125,tblReg[Bib],0)),""))</f>
        <v/>
      </c>
      <c r="C125" t="str">
        <f>IF(A125="","",IFERROR(INDEX(tblReg[FirstName],MATCH(A125,tblReg[Bib],0)),""))</f>
        <v/>
      </c>
      <c r="D125" t="str">
        <f>IF(A125="","",IFERROR(INDEX(tblReg[LastName],MATCH(A125,tblReg[Bib],0)),""))</f>
        <v/>
      </c>
      <c r="E125" t="str">
        <f>IF(A125="","",IFERROR(INDEX(tblReg[Team],MATCH(A125,tblReg[Bib],0)),""))</f>
        <v/>
      </c>
      <c r="F125" s="4" t="s">
        <v>103</v>
      </c>
      <c r="G125" t="str">
        <f t="shared" si="4"/>
        <v/>
      </c>
      <c r="H125" t="str">
        <f t="shared" si="5"/>
        <v/>
      </c>
      <c r="I125">
        <f>IF(H125="",0,IFERROR(INDEX(Config!$J$4:$J$6,MATCH(H125,Config!$H$4:$H$6,0)),0))</f>
        <v>0</v>
      </c>
      <c r="J125" t="str">
        <f t="shared" si="6"/>
        <v/>
      </c>
      <c r="K125" s="5" t="str">
        <f t="shared" si="7"/>
        <v/>
      </c>
      <c r="L125">
        <f>IF(A125="",999,IFERROR(MATCH(B125,Config!$A$4:$A$7,0),99)*10+IF(ISNUMBER(F125),1,IF(F125="",2,IF(UPPER(F125)="DNF",3,IF(UPPER(F125)="DNS",4,8)))))</f>
        <v>999</v>
      </c>
    </row>
    <row r="126" spans="2:12" x14ac:dyDescent="0.25">
      <c r="B126" t="str">
        <f>IF(A126="","",IFERROR(INDEX(tblReg[Field],MATCH(A126,tblReg[Bib],0)),""))</f>
        <v/>
      </c>
      <c r="C126" t="str">
        <f>IF(A126="","",IFERROR(INDEX(tblReg[FirstName],MATCH(A126,tblReg[Bib],0)),""))</f>
        <v/>
      </c>
      <c r="D126" t="str">
        <f>IF(A126="","",IFERROR(INDEX(tblReg[LastName],MATCH(A126,tblReg[Bib],0)),""))</f>
        <v/>
      </c>
      <c r="E126" t="str">
        <f>IF(A126="","",IFERROR(INDEX(tblReg[Team],MATCH(A126,tblReg[Bib],0)),""))</f>
        <v/>
      </c>
      <c r="F126" s="4" t="s">
        <v>103</v>
      </c>
      <c r="G126" t="str">
        <f t="shared" si="4"/>
        <v/>
      </c>
      <c r="H126" t="str">
        <f t="shared" si="5"/>
        <v/>
      </c>
      <c r="I126">
        <f>IF(H126="",0,IFERROR(INDEX(Config!$J$4:$J$6,MATCH(H126,Config!$H$4:$H$6,0)),0))</f>
        <v>0</v>
      </c>
      <c r="J126" t="str">
        <f t="shared" si="6"/>
        <v/>
      </c>
      <c r="K126" s="5" t="str">
        <f t="shared" si="7"/>
        <v/>
      </c>
      <c r="L126">
        <f>IF(A126="",999,IFERROR(MATCH(B126,Config!$A$4:$A$7,0),99)*10+IF(ISNUMBER(F126),1,IF(F126="",2,IF(UPPER(F126)="DNF",3,IF(UPPER(F126)="DNS",4,8)))))</f>
        <v>999</v>
      </c>
    </row>
    <row r="127" spans="2:12" x14ac:dyDescent="0.25">
      <c r="B127" t="str">
        <f>IF(A127="","",IFERROR(INDEX(tblReg[Field],MATCH(A127,tblReg[Bib],0)),""))</f>
        <v/>
      </c>
      <c r="C127" t="str">
        <f>IF(A127="","",IFERROR(INDEX(tblReg[FirstName],MATCH(A127,tblReg[Bib],0)),""))</f>
        <v/>
      </c>
      <c r="D127" t="str">
        <f>IF(A127="","",IFERROR(INDEX(tblReg[LastName],MATCH(A127,tblReg[Bib],0)),""))</f>
        <v/>
      </c>
      <c r="E127" t="str">
        <f>IF(A127="","",IFERROR(INDEX(tblReg[Team],MATCH(A127,tblReg[Bib],0)),""))</f>
        <v/>
      </c>
      <c r="F127" s="4" t="s">
        <v>103</v>
      </c>
      <c r="G127" t="str">
        <f t="shared" si="4"/>
        <v/>
      </c>
      <c r="H127" t="str">
        <f t="shared" si="5"/>
        <v/>
      </c>
      <c r="I127">
        <f>IF(H127="",0,IFERROR(INDEX(Config!$J$4:$J$6,MATCH(H127,Config!$H$4:$H$6,0)),0))</f>
        <v>0</v>
      </c>
      <c r="J127" t="str">
        <f t="shared" si="6"/>
        <v/>
      </c>
      <c r="K127" s="5" t="str">
        <f t="shared" si="7"/>
        <v/>
      </c>
      <c r="L127">
        <f>IF(A127="",999,IFERROR(MATCH(B127,Config!$A$4:$A$7,0),99)*10+IF(ISNUMBER(F127),1,IF(F127="",2,IF(UPPER(F127)="DNF",3,IF(UPPER(F127)="DNS",4,8)))))</f>
        <v>999</v>
      </c>
    </row>
    <row r="128" spans="2:12" x14ac:dyDescent="0.25">
      <c r="B128" t="str">
        <f>IF(A128="","",IFERROR(INDEX(tblReg[Field],MATCH(A128,tblReg[Bib],0)),""))</f>
        <v/>
      </c>
      <c r="C128" t="str">
        <f>IF(A128="","",IFERROR(INDEX(tblReg[FirstName],MATCH(A128,tblReg[Bib],0)),""))</f>
        <v/>
      </c>
      <c r="D128" t="str">
        <f>IF(A128="","",IFERROR(INDEX(tblReg[LastName],MATCH(A128,tblReg[Bib],0)),""))</f>
        <v/>
      </c>
      <c r="E128" t="str">
        <f>IF(A128="","",IFERROR(INDEX(tblReg[Team],MATCH(A128,tblReg[Bib],0)),""))</f>
        <v/>
      </c>
      <c r="F128" s="4" t="s">
        <v>103</v>
      </c>
      <c r="G128" t="str">
        <f t="shared" si="4"/>
        <v/>
      </c>
      <c r="H128" t="str">
        <f t="shared" si="5"/>
        <v/>
      </c>
      <c r="I128">
        <f>IF(H128="",0,IFERROR(INDEX(Config!$J$4:$J$6,MATCH(H128,Config!$H$4:$H$6,0)),0))</f>
        <v>0</v>
      </c>
      <c r="J128" t="str">
        <f t="shared" si="6"/>
        <v/>
      </c>
      <c r="K128" s="5" t="str">
        <f t="shared" si="7"/>
        <v/>
      </c>
      <c r="L128">
        <f>IF(A128="",999,IFERROR(MATCH(B128,Config!$A$4:$A$7,0),99)*10+IF(ISNUMBER(F128),1,IF(F128="",2,IF(UPPER(F128)="DNF",3,IF(UPPER(F128)="DNS",4,8)))))</f>
        <v>999</v>
      </c>
    </row>
    <row r="129" spans="2:12" x14ac:dyDescent="0.25">
      <c r="B129" t="str">
        <f>IF(A129="","",IFERROR(INDEX(tblReg[Field],MATCH(A129,tblReg[Bib],0)),""))</f>
        <v/>
      </c>
      <c r="C129" t="str">
        <f>IF(A129="","",IFERROR(INDEX(tblReg[FirstName],MATCH(A129,tblReg[Bib],0)),""))</f>
        <v/>
      </c>
      <c r="D129" t="str">
        <f>IF(A129="","",IFERROR(INDEX(tblReg[LastName],MATCH(A129,tblReg[Bib],0)),""))</f>
        <v/>
      </c>
      <c r="E129" t="str">
        <f>IF(A129="","",IFERROR(INDEX(tblReg[Team],MATCH(A129,tblReg[Bib],0)),""))</f>
        <v/>
      </c>
      <c r="F129" s="4" t="s">
        <v>103</v>
      </c>
      <c r="G129" t="str">
        <f t="shared" si="4"/>
        <v/>
      </c>
      <c r="H129" t="str">
        <f t="shared" si="5"/>
        <v/>
      </c>
      <c r="I129">
        <f>IF(H129="",0,IFERROR(INDEX(Config!$J$4:$J$6,MATCH(H129,Config!$H$4:$H$6,0)),0))</f>
        <v>0</v>
      </c>
      <c r="J129" t="str">
        <f t="shared" si="6"/>
        <v/>
      </c>
      <c r="K129" s="5" t="str">
        <f t="shared" si="7"/>
        <v/>
      </c>
      <c r="L129">
        <f>IF(A129="",999,IFERROR(MATCH(B129,Config!$A$4:$A$7,0),99)*10+IF(ISNUMBER(F129),1,IF(F129="",2,IF(UPPER(F129)="DNF",3,IF(UPPER(F129)="DNS",4,8)))))</f>
        <v>999</v>
      </c>
    </row>
    <row r="130" spans="2:12" x14ac:dyDescent="0.25">
      <c r="B130" t="str">
        <f>IF(A130="","",IFERROR(INDEX(tblReg[Field],MATCH(A130,tblReg[Bib],0)),""))</f>
        <v/>
      </c>
      <c r="C130" t="str">
        <f>IF(A130="","",IFERROR(INDEX(tblReg[FirstName],MATCH(A130,tblReg[Bib],0)),""))</f>
        <v/>
      </c>
      <c r="D130" t="str">
        <f>IF(A130="","",IFERROR(INDEX(tblReg[LastName],MATCH(A130,tblReg[Bib],0)),""))</f>
        <v/>
      </c>
      <c r="E130" t="str">
        <f>IF(A130="","",IFERROR(INDEX(tblReg[Team],MATCH(A130,tblReg[Bib],0)),""))</f>
        <v/>
      </c>
      <c r="F130" s="4" t="s">
        <v>103</v>
      </c>
      <c r="G130" t="str">
        <f t="shared" ref="G130:G193" si="8">IF(OR(F130="",UPPER(F130)="DNF",UPPER(F130)="DNS"),"",HOUR(F130)*3600 + MINUTE(F130)*60 + SECOND(F130))</f>
        <v/>
      </c>
      <c r="H130" t="str">
        <f t="shared" ref="H130:H193" si="9">IF(OR(A130="",B130=""),"",IF(ISNUMBER(G130),1+COUNTIFS($B$2:$B$251,B130,$G$2:$G$251,"&lt;"&amp;G130),IF(F130="",COUNTIFS($B$2:$B$251,B130,$G$2:$G$251,"&gt;=0")+COUNTIFS($B$2:$B$251,B130,$F$2:$F$251,"",$A$2:$A$251,"&lt;"&amp;A130)+1,"")))</f>
        <v/>
      </c>
      <c r="I130">
        <f>IF(H130="",0,IFERROR(INDEX(Config!$J$4:$J$6,MATCH(H130,Config!$H$4:$H$6,0)),0))</f>
        <v>0</v>
      </c>
      <c r="J130" t="str">
        <f t="shared" ref="J130:J193" si="10">IF(G130="","",G130-I130)</f>
        <v/>
      </c>
      <c r="K130" s="5" t="str">
        <f t="shared" ref="K130:K193" si="11">IF(J130="","",J130/86400)</f>
        <v/>
      </c>
      <c r="L130">
        <f>IF(A130="",999,IFERROR(MATCH(B130,Config!$A$4:$A$7,0),99)*10+IF(ISNUMBER(F130),1,IF(F130="",2,IF(UPPER(F130)="DNF",3,IF(UPPER(F130)="DNS",4,8)))))</f>
        <v>999</v>
      </c>
    </row>
    <row r="131" spans="2:12" x14ac:dyDescent="0.25">
      <c r="B131" t="str">
        <f>IF(A131="","",IFERROR(INDEX(tblReg[Field],MATCH(A131,tblReg[Bib],0)),""))</f>
        <v/>
      </c>
      <c r="C131" t="str">
        <f>IF(A131="","",IFERROR(INDEX(tblReg[FirstName],MATCH(A131,tblReg[Bib],0)),""))</f>
        <v/>
      </c>
      <c r="D131" t="str">
        <f>IF(A131="","",IFERROR(INDEX(tblReg[LastName],MATCH(A131,tblReg[Bib],0)),""))</f>
        <v/>
      </c>
      <c r="E131" t="str">
        <f>IF(A131="","",IFERROR(INDEX(tblReg[Team],MATCH(A131,tblReg[Bib],0)),""))</f>
        <v/>
      </c>
      <c r="F131" s="4" t="s">
        <v>103</v>
      </c>
      <c r="G131" t="str">
        <f t="shared" si="8"/>
        <v/>
      </c>
      <c r="H131" t="str">
        <f t="shared" si="9"/>
        <v/>
      </c>
      <c r="I131">
        <f>IF(H131="",0,IFERROR(INDEX(Config!$J$4:$J$6,MATCH(H131,Config!$H$4:$H$6,0)),0))</f>
        <v>0</v>
      </c>
      <c r="J131" t="str">
        <f t="shared" si="10"/>
        <v/>
      </c>
      <c r="K131" s="5" t="str">
        <f t="shared" si="11"/>
        <v/>
      </c>
      <c r="L131">
        <f>IF(A131="",999,IFERROR(MATCH(B131,Config!$A$4:$A$7,0),99)*10+IF(ISNUMBER(F131),1,IF(F131="",2,IF(UPPER(F131)="DNF",3,IF(UPPER(F131)="DNS",4,8)))))</f>
        <v>999</v>
      </c>
    </row>
    <row r="132" spans="2:12" x14ac:dyDescent="0.25">
      <c r="B132" t="str">
        <f>IF(A132="","",IFERROR(INDEX(tblReg[Field],MATCH(A132,tblReg[Bib],0)),""))</f>
        <v/>
      </c>
      <c r="C132" t="str">
        <f>IF(A132="","",IFERROR(INDEX(tblReg[FirstName],MATCH(A132,tblReg[Bib],0)),""))</f>
        <v/>
      </c>
      <c r="D132" t="str">
        <f>IF(A132="","",IFERROR(INDEX(tblReg[LastName],MATCH(A132,tblReg[Bib],0)),""))</f>
        <v/>
      </c>
      <c r="E132" t="str">
        <f>IF(A132="","",IFERROR(INDEX(tblReg[Team],MATCH(A132,tblReg[Bib],0)),""))</f>
        <v/>
      </c>
      <c r="F132" s="4" t="s">
        <v>103</v>
      </c>
      <c r="G132" t="str">
        <f t="shared" si="8"/>
        <v/>
      </c>
      <c r="H132" t="str">
        <f t="shared" si="9"/>
        <v/>
      </c>
      <c r="I132">
        <f>IF(H132="",0,IFERROR(INDEX(Config!$J$4:$J$6,MATCH(H132,Config!$H$4:$H$6,0)),0))</f>
        <v>0</v>
      </c>
      <c r="J132" t="str">
        <f t="shared" si="10"/>
        <v/>
      </c>
      <c r="K132" s="5" t="str">
        <f t="shared" si="11"/>
        <v/>
      </c>
      <c r="L132">
        <f>IF(A132="",999,IFERROR(MATCH(B132,Config!$A$4:$A$7,0),99)*10+IF(ISNUMBER(F132),1,IF(F132="",2,IF(UPPER(F132)="DNF",3,IF(UPPER(F132)="DNS",4,8)))))</f>
        <v>999</v>
      </c>
    </row>
    <row r="133" spans="2:12" x14ac:dyDescent="0.25">
      <c r="B133" t="str">
        <f>IF(A133="","",IFERROR(INDEX(tblReg[Field],MATCH(A133,tblReg[Bib],0)),""))</f>
        <v/>
      </c>
      <c r="C133" t="str">
        <f>IF(A133="","",IFERROR(INDEX(tblReg[FirstName],MATCH(A133,tblReg[Bib],0)),""))</f>
        <v/>
      </c>
      <c r="D133" t="str">
        <f>IF(A133="","",IFERROR(INDEX(tblReg[LastName],MATCH(A133,tblReg[Bib],0)),""))</f>
        <v/>
      </c>
      <c r="E133" t="str">
        <f>IF(A133="","",IFERROR(INDEX(tblReg[Team],MATCH(A133,tblReg[Bib],0)),""))</f>
        <v/>
      </c>
      <c r="F133" s="4" t="s">
        <v>103</v>
      </c>
      <c r="G133" t="str">
        <f t="shared" si="8"/>
        <v/>
      </c>
      <c r="H133" t="str">
        <f t="shared" si="9"/>
        <v/>
      </c>
      <c r="I133">
        <f>IF(H133="",0,IFERROR(INDEX(Config!$J$4:$J$6,MATCH(H133,Config!$H$4:$H$6,0)),0))</f>
        <v>0</v>
      </c>
      <c r="J133" t="str">
        <f t="shared" si="10"/>
        <v/>
      </c>
      <c r="K133" s="5" t="str">
        <f t="shared" si="11"/>
        <v/>
      </c>
      <c r="L133">
        <f>IF(A133="",999,IFERROR(MATCH(B133,Config!$A$4:$A$7,0),99)*10+IF(ISNUMBER(F133),1,IF(F133="",2,IF(UPPER(F133)="DNF",3,IF(UPPER(F133)="DNS",4,8)))))</f>
        <v>999</v>
      </c>
    </row>
    <row r="134" spans="2:12" x14ac:dyDescent="0.25">
      <c r="B134" t="str">
        <f>IF(A134="","",IFERROR(INDEX(tblReg[Field],MATCH(A134,tblReg[Bib],0)),""))</f>
        <v/>
      </c>
      <c r="C134" t="str">
        <f>IF(A134="","",IFERROR(INDEX(tblReg[FirstName],MATCH(A134,tblReg[Bib],0)),""))</f>
        <v/>
      </c>
      <c r="D134" t="str">
        <f>IF(A134="","",IFERROR(INDEX(tblReg[LastName],MATCH(A134,tblReg[Bib],0)),""))</f>
        <v/>
      </c>
      <c r="E134" t="str">
        <f>IF(A134="","",IFERROR(INDEX(tblReg[Team],MATCH(A134,tblReg[Bib],0)),""))</f>
        <v/>
      </c>
      <c r="F134" s="4" t="s">
        <v>103</v>
      </c>
      <c r="G134" t="str">
        <f t="shared" si="8"/>
        <v/>
      </c>
      <c r="H134" t="str">
        <f t="shared" si="9"/>
        <v/>
      </c>
      <c r="I134">
        <f>IF(H134="",0,IFERROR(INDEX(Config!$J$4:$J$6,MATCH(H134,Config!$H$4:$H$6,0)),0))</f>
        <v>0</v>
      </c>
      <c r="J134" t="str">
        <f t="shared" si="10"/>
        <v/>
      </c>
      <c r="K134" s="5" t="str">
        <f t="shared" si="11"/>
        <v/>
      </c>
      <c r="L134">
        <f>IF(A134="",999,IFERROR(MATCH(B134,Config!$A$4:$A$7,0),99)*10+IF(ISNUMBER(F134),1,IF(F134="",2,IF(UPPER(F134)="DNF",3,IF(UPPER(F134)="DNS",4,8)))))</f>
        <v>999</v>
      </c>
    </row>
    <row r="135" spans="2:12" x14ac:dyDescent="0.25">
      <c r="B135" t="str">
        <f>IF(A135="","",IFERROR(INDEX(tblReg[Field],MATCH(A135,tblReg[Bib],0)),""))</f>
        <v/>
      </c>
      <c r="C135" t="str">
        <f>IF(A135="","",IFERROR(INDEX(tblReg[FirstName],MATCH(A135,tblReg[Bib],0)),""))</f>
        <v/>
      </c>
      <c r="D135" t="str">
        <f>IF(A135="","",IFERROR(INDEX(tblReg[LastName],MATCH(A135,tblReg[Bib],0)),""))</f>
        <v/>
      </c>
      <c r="E135" t="str">
        <f>IF(A135="","",IFERROR(INDEX(tblReg[Team],MATCH(A135,tblReg[Bib],0)),""))</f>
        <v/>
      </c>
      <c r="F135" s="4" t="s">
        <v>103</v>
      </c>
      <c r="G135" t="str">
        <f t="shared" si="8"/>
        <v/>
      </c>
      <c r="H135" t="str">
        <f t="shared" si="9"/>
        <v/>
      </c>
      <c r="I135">
        <f>IF(H135="",0,IFERROR(INDEX(Config!$J$4:$J$6,MATCH(H135,Config!$H$4:$H$6,0)),0))</f>
        <v>0</v>
      </c>
      <c r="J135" t="str">
        <f t="shared" si="10"/>
        <v/>
      </c>
      <c r="K135" s="5" t="str">
        <f t="shared" si="11"/>
        <v/>
      </c>
      <c r="L135">
        <f>IF(A135="",999,IFERROR(MATCH(B135,Config!$A$4:$A$7,0),99)*10+IF(ISNUMBER(F135),1,IF(F135="",2,IF(UPPER(F135)="DNF",3,IF(UPPER(F135)="DNS",4,8)))))</f>
        <v>999</v>
      </c>
    </row>
    <row r="136" spans="2:12" x14ac:dyDescent="0.25">
      <c r="B136" t="str">
        <f>IF(A136="","",IFERROR(INDEX(tblReg[Field],MATCH(A136,tblReg[Bib],0)),""))</f>
        <v/>
      </c>
      <c r="C136" t="str">
        <f>IF(A136="","",IFERROR(INDEX(tblReg[FirstName],MATCH(A136,tblReg[Bib],0)),""))</f>
        <v/>
      </c>
      <c r="D136" t="str">
        <f>IF(A136="","",IFERROR(INDEX(tblReg[LastName],MATCH(A136,tblReg[Bib],0)),""))</f>
        <v/>
      </c>
      <c r="E136" t="str">
        <f>IF(A136="","",IFERROR(INDEX(tblReg[Team],MATCH(A136,tblReg[Bib],0)),""))</f>
        <v/>
      </c>
      <c r="F136" s="4" t="s">
        <v>103</v>
      </c>
      <c r="G136" t="str">
        <f t="shared" si="8"/>
        <v/>
      </c>
      <c r="H136" t="str">
        <f t="shared" si="9"/>
        <v/>
      </c>
      <c r="I136">
        <f>IF(H136="",0,IFERROR(INDEX(Config!$J$4:$J$6,MATCH(H136,Config!$H$4:$H$6,0)),0))</f>
        <v>0</v>
      </c>
      <c r="J136" t="str">
        <f t="shared" si="10"/>
        <v/>
      </c>
      <c r="K136" s="5" t="str">
        <f t="shared" si="11"/>
        <v/>
      </c>
      <c r="L136">
        <f>IF(A136="",999,IFERROR(MATCH(B136,Config!$A$4:$A$7,0),99)*10+IF(ISNUMBER(F136),1,IF(F136="",2,IF(UPPER(F136)="DNF",3,IF(UPPER(F136)="DNS",4,8)))))</f>
        <v>999</v>
      </c>
    </row>
    <row r="137" spans="2:12" x14ac:dyDescent="0.25">
      <c r="B137" t="str">
        <f>IF(A137="","",IFERROR(INDEX(tblReg[Field],MATCH(A137,tblReg[Bib],0)),""))</f>
        <v/>
      </c>
      <c r="C137" t="str">
        <f>IF(A137="","",IFERROR(INDEX(tblReg[FirstName],MATCH(A137,tblReg[Bib],0)),""))</f>
        <v/>
      </c>
      <c r="D137" t="str">
        <f>IF(A137="","",IFERROR(INDEX(tblReg[LastName],MATCH(A137,tblReg[Bib],0)),""))</f>
        <v/>
      </c>
      <c r="E137" t="str">
        <f>IF(A137="","",IFERROR(INDEX(tblReg[Team],MATCH(A137,tblReg[Bib],0)),""))</f>
        <v/>
      </c>
      <c r="F137" s="4" t="s">
        <v>103</v>
      </c>
      <c r="G137" t="str">
        <f t="shared" si="8"/>
        <v/>
      </c>
      <c r="H137" t="str">
        <f t="shared" si="9"/>
        <v/>
      </c>
      <c r="I137">
        <f>IF(H137="",0,IFERROR(INDEX(Config!$J$4:$J$6,MATCH(H137,Config!$H$4:$H$6,0)),0))</f>
        <v>0</v>
      </c>
      <c r="J137" t="str">
        <f t="shared" si="10"/>
        <v/>
      </c>
      <c r="K137" s="5" t="str">
        <f t="shared" si="11"/>
        <v/>
      </c>
      <c r="L137">
        <f>IF(A137="",999,IFERROR(MATCH(B137,Config!$A$4:$A$7,0),99)*10+IF(ISNUMBER(F137),1,IF(F137="",2,IF(UPPER(F137)="DNF",3,IF(UPPER(F137)="DNS",4,8)))))</f>
        <v>999</v>
      </c>
    </row>
    <row r="138" spans="2:12" x14ac:dyDescent="0.25">
      <c r="B138" t="str">
        <f>IF(A138="","",IFERROR(INDEX(tblReg[Field],MATCH(A138,tblReg[Bib],0)),""))</f>
        <v/>
      </c>
      <c r="C138" t="str">
        <f>IF(A138="","",IFERROR(INDEX(tblReg[FirstName],MATCH(A138,tblReg[Bib],0)),""))</f>
        <v/>
      </c>
      <c r="D138" t="str">
        <f>IF(A138="","",IFERROR(INDEX(tblReg[LastName],MATCH(A138,tblReg[Bib],0)),""))</f>
        <v/>
      </c>
      <c r="E138" t="str">
        <f>IF(A138="","",IFERROR(INDEX(tblReg[Team],MATCH(A138,tblReg[Bib],0)),""))</f>
        <v/>
      </c>
      <c r="F138" s="4" t="s">
        <v>103</v>
      </c>
      <c r="G138" t="str">
        <f t="shared" si="8"/>
        <v/>
      </c>
      <c r="H138" t="str">
        <f t="shared" si="9"/>
        <v/>
      </c>
      <c r="I138">
        <f>IF(H138="",0,IFERROR(INDEX(Config!$J$4:$J$6,MATCH(H138,Config!$H$4:$H$6,0)),0))</f>
        <v>0</v>
      </c>
      <c r="J138" t="str">
        <f t="shared" si="10"/>
        <v/>
      </c>
      <c r="K138" s="5" t="str">
        <f t="shared" si="11"/>
        <v/>
      </c>
      <c r="L138">
        <f>IF(A138="",999,IFERROR(MATCH(B138,Config!$A$4:$A$7,0),99)*10+IF(ISNUMBER(F138),1,IF(F138="",2,IF(UPPER(F138)="DNF",3,IF(UPPER(F138)="DNS",4,8)))))</f>
        <v>999</v>
      </c>
    </row>
    <row r="139" spans="2:12" x14ac:dyDescent="0.25">
      <c r="B139" t="str">
        <f>IF(A139="","",IFERROR(INDEX(tblReg[Field],MATCH(A139,tblReg[Bib],0)),""))</f>
        <v/>
      </c>
      <c r="C139" t="str">
        <f>IF(A139="","",IFERROR(INDEX(tblReg[FirstName],MATCH(A139,tblReg[Bib],0)),""))</f>
        <v/>
      </c>
      <c r="D139" t="str">
        <f>IF(A139="","",IFERROR(INDEX(tblReg[LastName],MATCH(A139,tblReg[Bib],0)),""))</f>
        <v/>
      </c>
      <c r="E139" t="str">
        <f>IF(A139="","",IFERROR(INDEX(tblReg[Team],MATCH(A139,tblReg[Bib],0)),""))</f>
        <v/>
      </c>
      <c r="F139" s="4" t="s">
        <v>103</v>
      </c>
      <c r="G139" t="str">
        <f t="shared" si="8"/>
        <v/>
      </c>
      <c r="H139" t="str">
        <f t="shared" si="9"/>
        <v/>
      </c>
      <c r="I139">
        <f>IF(H139="",0,IFERROR(INDEX(Config!$J$4:$J$6,MATCH(H139,Config!$H$4:$H$6,0)),0))</f>
        <v>0</v>
      </c>
      <c r="J139" t="str">
        <f t="shared" si="10"/>
        <v/>
      </c>
      <c r="K139" s="5" t="str">
        <f t="shared" si="11"/>
        <v/>
      </c>
      <c r="L139">
        <f>IF(A139="",999,IFERROR(MATCH(B139,Config!$A$4:$A$7,0),99)*10+IF(ISNUMBER(F139),1,IF(F139="",2,IF(UPPER(F139)="DNF",3,IF(UPPER(F139)="DNS",4,8)))))</f>
        <v>999</v>
      </c>
    </row>
    <row r="140" spans="2:12" x14ac:dyDescent="0.25">
      <c r="B140" t="str">
        <f>IF(A140="","",IFERROR(INDEX(tblReg[Field],MATCH(A140,tblReg[Bib],0)),""))</f>
        <v/>
      </c>
      <c r="C140" t="str">
        <f>IF(A140="","",IFERROR(INDEX(tblReg[FirstName],MATCH(A140,tblReg[Bib],0)),""))</f>
        <v/>
      </c>
      <c r="D140" t="str">
        <f>IF(A140="","",IFERROR(INDEX(tblReg[LastName],MATCH(A140,tblReg[Bib],0)),""))</f>
        <v/>
      </c>
      <c r="E140" t="str">
        <f>IF(A140="","",IFERROR(INDEX(tblReg[Team],MATCH(A140,tblReg[Bib],0)),""))</f>
        <v/>
      </c>
      <c r="F140" s="4" t="s">
        <v>103</v>
      </c>
      <c r="G140" t="str">
        <f t="shared" si="8"/>
        <v/>
      </c>
      <c r="H140" t="str">
        <f t="shared" si="9"/>
        <v/>
      </c>
      <c r="I140">
        <f>IF(H140="",0,IFERROR(INDEX(Config!$J$4:$J$6,MATCH(H140,Config!$H$4:$H$6,0)),0))</f>
        <v>0</v>
      </c>
      <c r="J140" t="str">
        <f t="shared" si="10"/>
        <v/>
      </c>
      <c r="K140" s="5" t="str">
        <f t="shared" si="11"/>
        <v/>
      </c>
      <c r="L140">
        <f>IF(A140="",999,IFERROR(MATCH(B140,Config!$A$4:$A$7,0),99)*10+IF(ISNUMBER(F140),1,IF(F140="",2,IF(UPPER(F140)="DNF",3,IF(UPPER(F140)="DNS",4,8)))))</f>
        <v>999</v>
      </c>
    </row>
    <row r="141" spans="2:12" x14ac:dyDescent="0.25">
      <c r="B141" t="str">
        <f>IF(A141="","",IFERROR(INDEX(tblReg[Field],MATCH(A141,tblReg[Bib],0)),""))</f>
        <v/>
      </c>
      <c r="C141" t="str">
        <f>IF(A141="","",IFERROR(INDEX(tblReg[FirstName],MATCH(A141,tblReg[Bib],0)),""))</f>
        <v/>
      </c>
      <c r="D141" t="str">
        <f>IF(A141="","",IFERROR(INDEX(tblReg[LastName],MATCH(A141,tblReg[Bib],0)),""))</f>
        <v/>
      </c>
      <c r="E141" t="str">
        <f>IF(A141="","",IFERROR(INDEX(tblReg[Team],MATCH(A141,tblReg[Bib],0)),""))</f>
        <v/>
      </c>
      <c r="F141" s="4" t="s">
        <v>103</v>
      </c>
      <c r="G141" t="str">
        <f t="shared" si="8"/>
        <v/>
      </c>
      <c r="H141" t="str">
        <f t="shared" si="9"/>
        <v/>
      </c>
      <c r="I141">
        <f>IF(H141="",0,IFERROR(INDEX(Config!$J$4:$J$6,MATCH(H141,Config!$H$4:$H$6,0)),0))</f>
        <v>0</v>
      </c>
      <c r="J141" t="str">
        <f t="shared" si="10"/>
        <v/>
      </c>
      <c r="K141" s="5" t="str">
        <f t="shared" si="11"/>
        <v/>
      </c>
      <c r="L141">
        <f>IF(A141="",999,IFERROR(MATCH(B141,Config!$A$4:$A$7,0),99)*10+IF(ISNUMBER(F141),1,IF(F141="",2,IF(UPPER(F141)="DNF",3,IF(UPPER(F141)="DNS",4,8)))))</f>
        <v>999</v>
      </c>
    </row>
    <row r="142" spans="2:12" x14ac:dyDescent="0.25">
      <c r="B142" t="str">
        <f>IF(A142="","",IFERROR(INDEX(tblReg[Field],MATCH(A142,tblReg[Bib],0)),""))</f>
        <v/>
      </c>
      <c r="C142" t="str">
        <f>IF(A142="","",IFERROR(INDEX(tblReg[FirstName],MATCH(A142,tblReg[Bib],0)),""))</f>
        <v/>
      </c>
      <c r="D142" t="str">
        <f>IF(A142="","",IFERROR(INDEX(tblReg[LastName],MATCH(A142,tblReg[Bib],0)),""))</f>
        <v/>
      </c>
      <c r="E142" t="str">
        <f>IF(A142="","",IFERROR(INDEX(tblReg[Team],MATCH(A142,tblReg[Bib],0)),""))</f>
        <v/>
      </c>
      <c r="F142" s="4" t="s">
        <v>103</v>
      </c>
      <c r="G142" t="str">
        <f t="shared" si="8"/>
        <v/>
      </c>
      <c r="H142" t="str">
        <f t="shared" si="9"/>
        <v/>
      </c>
      <c r="I142">
        <f>IF(H142="",0,IFERROR(INDEX(Config!$J$4:$J$6,MATCH(H142,Config!$H$4:$H$6,0)),0))</f>
        <v>0</v>
      </c>
      <c r="J142" t="str">
        <f t="shared" si="10"/>
        <v/>
      </c>
      <c r="K142" s="5" t="str">
        <f t="shared" si="11"/>
        <v/>
      </c>
      <c r="L142">
        <f>IF(A142="",999,IFERROR(MATCH(B142,Config!$A$4:$A$7,0),99)*10+IF(ISNUMBER(F142),1,IF(F142="",2,IF(UPPER(F142)="DNF",3,IF(UPPER(F142)="DNS",4,8)))))</f>
        <v>999</v>
      </c>
    </row>
    <row r="143" spans="2:12" x14ac:dyDescent="0.25">
      <c r="B143" t="str">
        <f>IF(A143="","",IFERROR(INDEX(tblReg[Field],MATCH(A143,tblReg[Bib],0)),""))</f>
        <v/>
      </c>
      <c r="C143" t="str">
        <f>IF(A143="","",IFERROR(INDEX(tblReg[FirstName],MATCH(A143,tblReg[Bib],0)),""))</f>
        <v/>
      </c>
      <c r="D143" t="str">
        <f>IF(A143="","",IFERROR(INDEX(tblReg[LastName],MATCH(A143,tblReg[Bib],0)),""))</f>
        <v/>
      </c>
      <c r="E143" t="str">
        <f>IF(A143="","",IFERROR(INDEX(tblReg[Team],MATCH(A143,tblReg[Bib],0)),""))</f>
        <v/>
      </c>
      <c r="F143" s="4" t="s">
        <v>103</v>
      </c>
      <c r="G143" t="str">
        <f t="shared" si="8"/>
        <v/>
      </c>
      <c r="H143" t="str">
        <f t="shared" si="9"/>
        <v/>
      </c>
      <c r="I143">
        <f>IF(H143="",0,IFERROR(INDEX(Config!$J$4:$J$6,MATCH(H143,Config!$H$4:$H$6,0)),0))</f>
        <v>0</v>
      </c>
      <c r="J143" t="str">
        <f t="shared" si="10"/>
        <v/>
      </c>
      <c r="K143" s="5" t="str">
        <f t="shared" si="11"/>
        <v/>
      </c>
      <c r="L143">
        <f>IF(A143="",999,IFERROR(MATCH(B143,Config!$A$4:$A$7,0),99)*10+IF(ISNUMBER(F143),1,IF(F143="",2,IF(UPPER(F143)="DNF",3,IF(UPPER(F143)="DNS",4,8)))))</f>
        <v>999</v>
      </c>
    </row>
    <row r="144" spans="2:12" x14ac:dyDescent="0.25">
      <c r="B144" t="str">
        <f>IF(A144="","",IFERROR(INDEX(tblReg[Field],MATCH(A144,tblReg[Bib],0)),""))</f>
        <v/>
      </c>
      <c r="C144" t="str">
        <f>IF(A144="","",IFERROR(INDEX(tblReg[FirstName],MATCH(A144,tblReg[Bib],0)),""))</f>
        <v/>
      </c>
      <c r="D144" t="str">
        <f>IF(A144="","",IFERROR(INDEX(tblReg[LastName],MATCH(A144,tblReg[Bib],0)),""))</f>
        <v/>
      </c>
      <c r="E144" t="str">
        <f>IF(A144="","",IFERROR(INDEX(tblReg[Team],MATCH(A144,tblReg[Bib],0)),""))</f>
        <v/>
      </c>
      <c r="F144" s="4" t="s">
        <v>103</v>
      </c>
      <c r="G144" t="str">
        <f t="shared" si="8"/>
        <v/>
      </c>
      <c r="H144" t="str">
        <f t="shared" si="9"/>
        <v/>
      </c>
      <c r="I144">
        <f>IF(H144="",0,IFERROR(INDEX(Config!$J$4:$J$6,MATCH(H144,Config!$H$4:$H$6,0)),0))</f>
        <v>0</v>
      </c>
      <c r="J144" t="str">
        <f t="shared" si="10"/>
        <v/>
      </c>
      <c r="K144" s="5" t="str">
        <f t="shared" si="11"/>
        <v/>
      </c>
      <c r="L144">
        <f>IF(A144="",999,IFERROR(MATCH(B144,Config!$A$4:$A$7,0),99)*10+IF(ISNUMBER(F144),1,IF(F144="",2,IF(UPPER(F144)="DNF",3,IF(UPPER(F144)="DNS",4,8)))))</f>
        <v>999</v>
      </c>
    </row>
    <row r="145" spans="2:12" x14ac:dyDescent="0.25">
      <c r="B145" t="str">
        <f>IF(A145="","",IFERROR(INDEX(tblReg[Field],MATCH(A145,tblReg[Bib],0)),""))</f>
        <v/>
      </c>
      <c r="C145" t="str">
        <f>IF(A145="","",IFERROR(INDEX(tblReg[FirstName],MATCH(A145,tblReg[Bib],0)),""))</f>
        <v/>
      </c>
      <c r="D145" t="str">
        <f>IF(A145="","",IFERROR(INDEX(tblReg[LastName],MATCH(A145,tblReg[Bib],0)),""))</f>
        <v/>
      </c>
      <c r="E145" t="str">
        <f>IF(A145="","",IFERROR(INDEX(tblReg[Team],MATCH(A145,tblReg[Bib],0)),""))</f>
        <v/>
      </c>
      <c r="F145" s="4" t="s">
        <v>103</v>
      </c>
      <c r="G145" t="str">
        <f t="shared" si="8"/>
        <v/>
      </c>
      <c r="H145" t="str">
        <f t="shared" si="9"/>
        <v/>
      </c>
      <c r="I145">
        <f>IF(H145="",0,IFERROR(INDEX(Config!$J$4:$J$6,MATCH(H145,Config!$H$4:$H$6,0)),0))</f>
        <v>0</v>
      </c>
      <c r="J145" t="str">
        <f t="shared" si="10"/>
        <v/>
      </c>
      <c r="K145" s="5" t="str">
        <f t="shared" si="11"/>
        <v/>
      </c>
      <c r="L145">
        <f>IF(A145="",999,IFERROR(MATCH(B145,Config!$A$4:$A$7,0),99)*10+IF(ISNUMBER(F145),1,IF(F145="",2,IF(UPPER(F145)="DNF",3,IF(UPPER(F145)="DNS",4,8)))))</f>
        <v>999</v>
      </c>
    </row>
    <row r="146" spans="2:12" x14ac:dyDescent="0.25">
      <c r="B146" t="str">
        <f>IF(A146="","",IFERROR(INDEX(tblReg[Field],MATCH(A146,tblReg[Bib],0)),""))</f>
        <v/>
      </c>
      <c r="C146" t="str">
        <f>IF(A146="","",IFERROR(INDEX(tblReg[FirstName],MATCH(A146,tblReg[Bib],0)),""))</f>
        <v/>
      </c>
      <c r="D146" t="str">
        <f>IF(A146="","",IFERROR(INDEX(tblReg[LastName],MATCH(A146,tblReg[Bib],0)),""))</f>
        <v/>
      </c>
      <c r="E146" t="str">
        <f>IF(A146="","",IFERROR(INDEX(tblReg[Team],MATCH(A146,tblReg[Bib],0)),""))</f>
        <v/>
      </c>
      <c r="F146" s="4" t="s">
        <v>103</v>
      </c>
      <c r="G146" t="str">
        <f t="shared" si="8"/>
        <v/>
      </c>
      <c r="H146" t="str">
        <f t="shared" si="9"/>
        <v/>
      </c>
      <c r="I146">
        <f>IF(H146="",0,IFERROR(INDEX(Config!$J$4:$J$6,MATCH(H146,Config!$H$4:$H$6,0)),0))</f>
        <v>0</v>
      </c>
      <c r="J146" t="str">
        <f t="shared" si="10"/>
        <v/>
      </c>
      <c r="K146" s="5" t="str">
        <f t="shared" si="11"/>
        <v/>
      </c>
      <c r="L146">
        <f>IF(A146="",999,IFERROR(MATCH(B146,Config!$A$4:$A$7,0),99)*10+IF(ISNUMBER(F146),1,IF(F146="",2,IF(UPPER(F146)="DNF",3,IF(UPPER(F146)="DNS",4,8)))))</f>
        <v>999</v>
      </c>
    </row>
    <row r="147" spans="2:12" x14ac:dyDescent="0.25">
      <c r="B147" t="str">
        <f>IF(A147="","",IFERROR(INDEX(tblReg[Field],MATCH(A147,tblReg[Bib],0)),""))</f>
        <v/>
      </c>
      <c r="C147" t="str">
        <f>IF(A147="","",IFERROR(INDEX(tblReg[FirstName],MATCH(A147,tblReg[Bib],0)),""))</f>
        <v/>
      </c>
      <c r="D147" t="str">
        <f>IF(A147="","",IFERROR(INDEX(tblReg[LastName],MATCH(A147,tblReg[Bib],0)),""))</f>
        <v/>
      </c>
      <c r="E147" t="str">
        <f>IF(A147="","",IFERROR(INDEX(tblReg[Team],MATCH(A147,tblReg[Bib],0)),""))</f>
        <v/>
      </c>
      <c r="F147" s="4" t="s">
        <v>103</v>
      </c>
      <c r="G147" t="str">
        <f t="shared" si="8"/>
        <v/>
      </c>
      <c r="H147" t="str">
        <f t="shared" si="9"/>
        <v/>
      </c>
      <c r="I147">
        <f>IF(H147="",0,IFERROR(INDEX(Config!$J$4:$J$6,MATCH(H147,Config!$H$4:$H$6,0)),0))</f>
        <v>0</v>
      </c>
      <c r="J147" t="str">
        <f t="shared" si="10"/>
        <v/>
      </c>
      <c r="K147" s="5" t="str">
        <f t="shared" si="11"/>
        <v/>
      </c>
      <c r="L147">
        <f>IF(A147="",999,IFERROR(MATCH(B147,Config!$A$4:$A$7,0),99)*10+IF(ISNUMBER(F147),1,IF(F147="",2,IF(UPPER(F147)="DNF",3,IF(UPPER(F147)="DNS",4,8)))))</f>
        <v>999</v>
      </c>
    </row>
    <row r="148" spans="2:12" x14ac:dyDescent="0.25">
      <c r="B148" t="str">
        <f>IF(A148="","",IFERROR(INDEX(tblReg[Field],MATCH(A148,tblReg[Bib],0)),""))</f>
        <v/>
      </c>
      <c r="C148" t="str">
        <f>IF(A148="","",IFERROR(INDEX(tblReg[FirstName],MATCH(A148,tblReg[Bib],0)),""))</f>
        <v/>
      </c>
      <c r="D148" t="str">
        <f>IF(A148="","",IFERROR(INDEX(tblReg[LastName],MATCH(A148,tblReg[Bib],0)),""))</f>
        <v/>
      </c>
      <c r="E148" t="str">
        <f>IF(A148="","",IFERROR(INDEX(tblReg[Team],MATCH(A148,tblReg[Bib],0)),""))</f>
        <v/>
      </c>
      <c r="F148" s="4" t="s">
        <v>103</v>
      </c>
      <c r="G148" t="str">
        <f t="shared" si="8"/>
        <v/>
      </c>
      <c r="H148" t="str">
        <f t="shared" si="9"/>
        <v/>
      </c>
      <c r="I148">
        <f>IF(H148="",0,IFERROR(INDEX(Config!$J$4:$J$6,MATCH(H148,Config!$H$4:$H$6,0)),0))</f>
        <v>0</v>
      </c>
      <c r="J148" t="str">
        <f t="shared" si="10"/>
        <v/>
      </c>
      <c r="K148" s="5" t="str">
        <f t="shared" si="11"/>
        <v/>
      </c>
      <c r="L148">
        <f>IF(A148="",999,IFERROR(MATCH(B148,Config!$A$4:$A$7,0),99)*10+IF(ISNUMBER(F148),1,IF(F148="",2,IF(UPPER(F148)="DNF",3,IF(UPPER(F148)="DNS",4,8)))))</f>
        <v>999</v>
      </c>
    </row>
    <row r="149" spans="2:12" x14ac:dyDescent="0.25">
      <c r="B149" t="str">
        <f>IF(A149="","",IFERROR(INDEX(tblReg[Field],MATCH(A149,tblReg[Bib],0)),""))</f>
        <v/>
      </c>
      <c r="C149" t="str">
        <f>IF(A149="","",IFERROR(INDEX(tblReg[FirstName],MATCH(A149,tblReg[Bib],0)),""))</f>
        <v/>
      </c>
      <c r="D149" t="str">
        <f>IF(A149="","",IFERROR(INDEX(tblReg[LastName],MATCH(A149,tblReg[Bib],0)),""))</f>
        <v/>
      </c>
      <c r="E149" t="str">
        <f>IF(A149="","",IFERROR(INDEX(tblReg[Team],MATCH(A149,tblReg[Bib],0)),""))</f>
        <v/>
      </c>
      <c r="F149" s="4" t="s">
        <v>103</v>
      </c>
      <c r="G149" t="str">
        <f t="shared" si="8"/>
        <v/>
      </c>
      <c r="H149" t="str">
        <f t="shared" si="9"/>
        <v/>
      </c>
      <c r="I149">
        <f>IF(H149="",0,IFERROR(INDEX(Config!$J$4:$J$6,MATCH(H149,Config!$H$4:$H$6,0)),0))</f>
        <v>0</v>
      </c>
      <c r="J149" t="str">
        <f t="shared" si="10"/>
        <v/>
      </c>
      <c r="K149" s="5" t="str">
        <f t="shared" si="11"/>
        <v/>
      </c>
      <c r="L149">
        <f>IF(A149="",999,IFERROR(MATCH(B149,Config!$A$4:$A$7,0),99)*10+IF(ISNUMBER(F149),1,IF(F149="",2,IF(UPPER(F149)="DNF",3,IF(UPPER(F149)="DNS",4,8)))))</f>
        <v>999</v>
      </c>
    </row>
    <row r="150" spans="2:12" x14ac:dyDescent="0.25">
      <c r="B150" t="str">
        <f>IF(A150="","",IFERROR(INDEX(tblReg[Field],MATCH(A150,tblReg[Bib],0)),""))</f>
        <v/>
      </c>
      <c r="C150" t="str">
        <f>IF(A150="","",IFERROR(INDEX(tblReg[FirstName],MATCH(A150,tblReg[Bib],0)),""))</f>
        <v/>
      </c>
      <c r="D150" t="str">
        <f>IF(A150="","",IFERROR(INDEX(tblReg[LastName],MATCH(A150,tblReg[Bib],0)),""))</f>
        <v/>
      </c>
      <c r="E150" t="str">
        <f>IF(A150="","",IFERROR(INDEX(tblReg[Team],MATCH(A150,tblReg[Bib],0)),""))</f>
        <v/>
      </c>
      <c r="F150" s="4" t="s">
        <v>103</v>
      </c>
      <c r="G150" t="str">
        <f t="shared" si="8"/>
        <v/>
      </c>
      <c r="H150" t="str">
        <f t="shared" si="9"/>
        <v/>
      </c>
      <c r="I150">
        <f>IF(H150="",0,IFERROR(INDEX(Config!$J$4:$J$6,MATCH(H150,Config!$H$4:$H$6,0)),0))</f>
        <v>0</v>
      </c>
      <c r="J150" t="str">
        <f t="shared" si="10"/>
        <v/>
      </c>
      <c r="K150" s="5" t="str">
        <f t="shared" si="11"/>
        <v/>
      </c>
      <c r="L150">
        <f>IF(A150="",999,IFERROR(MATCH(B150,Config!$A$4:$A$7,0),99)*10+IF(ISNUMBER(F150),1,IF(F150="",2,IF(UPPER(F150)="DNF",3,IF(UPPER(F150)="DNS",4,8)))))</f>
        <v>999</v>
      </c>
    </row>
    <row r="151" spans="2:12" x14ac:dyDescent="0.25">
      <c r="B151" t="str">
        <f>IF(A151="","",IFERROR(INDEX(tblReg[Field],MATCH(A151,tblReg[Bib],0)),""))</f>
        <v/>
      </c>
      <c r="C151" t="str">
        <f>IF(A151="","",IFERROR(INDEX(tblReg[FirstName],MATCH(A151,tblReg[Bib],0)),""))</f>
        <v/>
      </c>
      <c r="D151" t="str">
        <f>IF(A151="","",IFERROR(INDEX(tblReg[LastName],MATCH(A151,tblReg[Bib],0)),""))</f>
        <v/>
      </c>
      <c r="E151" t="str">
        <f>IF(A151="","",IFERROR(INDEX(tblReg[Team],MATCH(A151,tblReg[Bib],0)),""))</f>
        <v/>
      </c>
      <c r="F151" s="4" t="s">
        <v>103</v>
      </c>
      <c r="G151" t="str">
        <f t="shared" si="8"/>
        <v/>
      </c>
      <c r="H151" t="str">
        <f t="shared" si="9"/>
        <v/>
      </c>
      <c r="I151">
        <f>IF(H151="",0,IFERROR(INDEX(Config!$J$4:$J$6,MATCH(H151,Config!$H$4:$H$6,0)),0))</f>
        <v>0</v>
      </c>
      <c r="J151" t="str">
        <f t="shared" si="10"/>
        <v/>
      </c>
      <c r="K151" s="5" t="str">
        <f t="shared" si="11"/>
        <v/>
      </c>
      <c r="L151">
        <f>IF(A151="",999,IFERROR(MATCH(B151,Config!$A$4:$A$7,0),99)*10+IF(ISNUMBER(F151),1,IF(F151="",2,IF(UPPER(F151)="DNF",3,IF(UPPER(F151)="DNS",4,8)))))</f>
        <v>999</v>
      </c>
    </row>
    <row r="152" spans="2:12" x14ac:dyDescent="0.25">
      <c r="B152" t="str">
        <f>IF(A152="","",IFERROR(INDEX(tblReg[Field],MATCH(A152,tblReg[Bib],0)),""))</f>
        <v/>
      </c>
      <c r="C152" t="str">
        <f>IF(A152="","",IFERROR(INDEX(tblReg[FirstName],MATCH(A152,tblReg[Bib],0)),""))</f>
        <v/>
      </c>
      <c r="D152" t="str">
        <f>IF(A152="","",IFERROR(INDEX(tblReg[LastName],MATCH(A152,tblReg[Bib],0)),""))</f>
        <v/>
      </c>
      <c r="E152" t="str">
        <f>IF(A152="","",IFERROR(INDEX(tblReg[Team],MATCH(A152,tblReg[Bib],0)),""))</f>
        <v/>
      </c>
      <c r="F152" s="4" t="s">
        <v>103</v>
      </c>
      <c r="G152" t="str">
        <f t="shared" si="8"/>
        <v/>
      </c>
      <c r="H152" t="str">
        <f t="shared" si="9"/>
        <v/>
      </c>
      <c r="I152">
        <f>IF(H152="",0,IFERROR(INDEX(Config!$J$4:$J$6,MATCH(H152,Config!$H$4:$H$6,0)),0))</f>
        <v>0</v>
      </c>
      <c r="J152" t="str">
        <f t="shared" si="10"/>
        <v/>
      </c>
      <c r="K152" s="5" t="str">
        <f t="shared" si="11"/>
        <v/>
      </c>
      <c r="L152">
        <f>IF(A152="",999,IFERROR(MATCH(B152,Config!$A$4:$A$7,0),99)*10+IF(ISNUMBER(F152),1,IF(F152="",2,IF(UPPER(F152)="DNF",3,IF(UPPER(F152)="DNS",4,8)))))</f>
        <v>999</v>
      </c>
    </row>
    <row r="153" spans="2:12" x14ac:dyDescent="0.25">
      <c r="B153" t="str">
        <f>IF(A153="","",IFERROR(INDEX(tblReg[Field],MATCH(A153,tblReg[Bib],0)),""))</f>
        <v/>
      </c>
      <c r="C153" t="str">
        <f>IF(A153="","",IFERROR(INDEX(tblReg[FirstName],MATCH(A153,tblReg[Bib],0)),""))</f>
        <v/>
      </c>
      <c r="D153" t="str">
        <f>IF(A153="","",IFERROR(INDEX(tblReg[LastName],MATCH(A153,tblReg[Bib],0)),""))</f>
        <v/>
      </c>
      <c r="E153" t="str">
        <f>IF(A153="","",IFERROR(INDEX(tblReg[Team],MATCH(A153,tblReg[Bib],0)),""))</f>
        <v/>
      </c>
      <c r="F153" s="4" t="s">
        <v>103</v>
      </c>
      <c r="G153" t="str">
        <f t="shared" si="8"/>
        <v/>
      </c>
      <c r="H153" t="str">
        <f t="shared" si="9"/>
        <v/>
      </c>
      <c r="I153">
        <f>IF(H153="",0,IFERROR(INDEX(Config!$J$4:$J$6,MATCH(H153,Config!$H$4:$H$6,0)),0))</f>
        <v>0</v>
      </c>
      <c r="J153" t="str">
        <f t="shared" si="10"/>
        <v/>
      </c>
      <c r="K153" s="5" t="str">
        <f t="shared" si="11"/>
        <v/>
      </c>
      <c r="L153">
        <f>IF(A153="",999,IFERROR(MATCH(B153,Config!$A$4:$A$7,0),99)*10+IF(ISNUMBER(F153),1,IF(F153="",2,IF(UPPER(F153)="DNF",3,IF(UPPER(F153)="DNS",4,8)))))</f>
        <v>999</v>
      </c>
    </row>
    <row r="154" spans="2:12" x14ac:dyDescent="0.25">
      <c r="B154" t="str">
        <f>IF(A154="","",IFERROR(INDEX(tblReg[Field],MATCH(A154,tblReg[Bib],0)),""))</f>
        <v/>
      </c>
      <c r="C154" t="str">
        <f>IF(A154="","",IFERROR(INDEX(tblReg[FirstName],MATCH(A154,tblReg[Bib],0)),""))</f>
        <v/>
      </c>
      <c r="D154" t="str">
        <f>IF(A154="","",IFERROR(INDEX(tblReg[LastName],MATCH(A154,tblReg[Bib],0)),""))</f>
        <v/>
      </c>
      <c r="E154" t="str">
        <f>IF(A154="","",IFERROR(INDEX(tblReg[Team],MATCH(A154,tblReg[Bib],0)),""))</f>
        <v/>
      </c>
      <c r="F154" s="4" t="s">
        <v>103</v>
      </c>
      <c r="G154" t="str">
        <f t="shared" si="8"/>
        <v/>
      </c>
      <c r="H154" t="str">
        <f t="shared" si="9"/>
        <v/>
      </c>
      <c r="I154">
        <f>IF(H154="",0,IFERROR(INDEX(Config!$J$4:$J$6,MATCH(H154,Config!$H$4:$H$6,0)),0))</f>
        <v>0</v>
      </c>
      <c r="J154" t="str">
        <f t="shared" si="10"/>
        <v/>
      </c>
      <c r="K154" s="5" t="str">
        <f t="shared" si="11"/>
        <v/>
      </c>
      <c r="L154">
        <f>IF(A154="",999,IFERROR(MATCH(B154,Config!$A$4:$A$7,0),99)*10+IF(ISNUMBER(F154),1,IF(F154="",2,IF(UPPER(F154)="DNF",3,IF(UPPER(F154)="DNS",4,8)))))</f>
        <v>999</v>
      </c>
    </row>
    <row r="155" spans="2:12" x14ac:dyDescent="0.25">
      <c r="B155" t="str">
        <f>IF(A155="","",IFERROR(INDEX(tblReg[Field],MATCH(A155,tblReg[Bib],0)),""))</f>
        <v/>
      </c>
      <c r="C155" t="str">
        <f>IF(A155="","",IFERROR(INDEX(tblReg[FirstName],MATCH(A155,tblReg[Bib],0)),""))</f>
        <v/>
      </c>
      <c r="D155" t="str">
        <f>IF(A155="","",IFERROR(INDEX(tblReg[LastName],MATCH(A155,tblReg[Bib],0)),""))</f>
        <v/>
      </c>
      <c r="E155" t="str">
        <f>IF(A155="","",IFERROR(INDEX(tblReg[Team],MATCH(A155,tblReg[Bib],0)),""))</f>
        <v/>
      </c>
      <c r="F155" s="4" t="s">
        <v>103</v>
      </c>
      <c r="G155" t="str">
        <f t="shared" si="8"/>
        <v/>
      </c>
      <c r="H155" t="str">
        <f t="shared" si="9"/>
        <v/>
      </c>
      <c r="I155">
        <f>IF(H155="",0,IFERROR(INDEX(Config!$J$4:$J$6,MATCH(H155,Config!$H$4:$H$6,0)),0))</f>
        <v>0</v>
      </c>
      <c r="J155" t="str">
        <f t="shared" si="10"/>
        <v/>
      </c>
      <c r="K155" s="5" t="str">
        <f t="shared" si="11"/>
        <v/>
      </c>
      <c r="L155">
        <f>IF(A155="",999,IFERROR(MATCH(B155,Config!$A$4:$A$7,0),99)*10+IF(ISNUMBER(F155),1,IF(F155="",2,IF(UPPER(F155)="DNF",3,IF(UPPER(F155)="DNS",4,8)))))</f>
        <v>999</v>
      </c>
    </row>
    <row r="156" spans="2:12" x14ac:dyDescent="0.25">
      <c r="B156" t="str">
        <f>IF(A156="","",IFERROR(INDEX(tblReg[Field],MATCH(A156,tblReg[Bib],0)),""))</f>
        <v/>
      </c>
      <c r="C156" t="str">
        <f>IF(A156="","",IFERROR(INDEX(tblReg[FirstName],MATCH(A156,tblReg[Bib],0)),""))</f>
        <v/>
      </c>
      <c r="D156" t="str">
        <f>IF(A156="","",IFERROR(INDEX(tblReg[LastName],MATCH(A156,tblReg[Bib],0)),""))</f>
        <v/>
      </c>
      <c r="E156" t="str">
        <f>IF(A156="","",IFERROR(INDEX(tblReg[Team],MATCH(A156,tblReg[Bib],0)),""))</f>
        <v/>
      </c>
      <c r="F156" s="4" t="s">
        <v>103</v>
      </c>
      <c r="G156" t="str">
        <f t="shared" si="8"/>
        <v/>
      </c>
      <c r="H156" t="str">
        <f t="shared" si="9"/>
        <v/>
      </c>
      <c r="I156">
        <f>IF(H156="",0,IFERROR(INDEX(Config!$J$4:$J$6,MATCH(H156,Config!$H$4:$H$6,0)),0))</f>
        <v>0</v>
      </c>
      <c r="J156" t="str">
        <f t="shared" si="10"/>
        <v/>
      </c>
      <c r="K156" s="5" t="str">
        <f t="shared" si="11"/>
        <v/>
      </c>
      <c r="L156">
        <f>IF(A156="",999,IFERROR(MATCH(B156,Config!$A$4:$A$7,0),99)*10+IF(ISNUMBER(F156),1,IF(F156="",2,IF(UPPER(F156)="DNF",3,IF(UPPER(F156)="DNS",4,8)))))</f>
        <v>999</v>
      </c>
    </row>
    <row r="157" spans="2:12" x14ac:dyDescent="0.25">
      <c r="B157" t="str">
        <f>IF(A157="","",IFERROR(INDEX(tblReg[Field],MATCH(A157,tblReg[Bib],0)),""))</f>
        <v/>
      </c>
      <c r="C157" t="str">
        <f>IF(A157="","",IFERROR(INDEX(tblReg[FirstName],MATCH(A157,tblReg[Bib],0)),""))</f>
        <v/>
      </c>
      <c r="D157" t="str">
        <f>IF(A157="","",IFERROR(INDEX(tblReg[LastName],MATCH(A157,tblReg[Bib],0)),""))</f>
        <v/>
      </c>
      <c r="E157" t="str">
        <f>IF(A157="","",IFERROR(INDEX(tblReg[Team],MATCH(A157,tblReg[Bib],0)),""))</f>
        <v/>
      </c>
      <c r="F157" s="4" t="s">
        <v>103</v>
      </c>
      <c r="G157" t="str">
        <f t="shared" si="8"/>
        <v/>
      </c>
      <c r="H157" t="str">
        <f t="shared" si="9"/>
        <v/>
      </c>
      <c r="I157">
        <f>IF(H157="",0,IFERROR(INDEX(Config!$J$4:$J$6,MATCH(H157,Config!$H$4:$H$6,0)),0))</f>
        <v>0</v>
      </c>
      <c r="J157" t="str">
        <f t="shared" si="10"/>
        <v/>
      </c>
      <c r="K157" s="5" t="str">
        <f t="shared" si="11"/>
        <v/>
      </c>
      <c r="L157">
        <f>IF(A157="",999,IFERROR(MATCH(B157,Config!$A$4:$A$7,0),99)*10+IF(ISNUMBER(F157),1,IF(F157="",2,IF(UPPER(F157)="DNF",3,IF(UPPER(F157)="DNS",4,8)))))</f>
        <v>999</v>
      </c>
    </row>
    <row r="158" spans="2:12" x14ac:dyDescent="0.25">
      <c r="B158" t="str">
        <f>IF(A158="","",IFERROR(INDEX(tblReg[Field],MATCH(A158,tblReg[Bib],0)),""))</f>
        <v/>
      </c>
      <c r="C158" t="str">
        <f>IF(A158="","",IFERROR(INDEX(tblReg[FirstName],MATCH(A158,tblReg[Bib],0)),""))</f>
        <v/>
      </c>
      <c r="D158" t="str">
        <f>IF(A158="","",IFERROR(INDEX(tblReg[LastName],MATCH(A158,tblReg[Bib],0)),""))</f>
        <v/>
      </c>
      <c r="E158" t="str">
        <f>IF(A158="","",IFERROR(INDEX(tblReg[Team],MATCH(A158,tblReg[Bib],0)),""))</f>
        <v/>
      </c>
      <c r="F158" s="4" t="s">
        <v>103</v>
      </c>
      <c r="G158" t="str">
        <f t="shared" si="8"/>
        <v/>
      </c>
      <c r="H158" t="str">
        <f t="shared" si="9"/>
        <v/>
      </c>
      <c r="I158">
        <f>IF(H158="",0,IFERROR(INDEX(Config!$J$4:$J$6,MATCH(H158,Config!$H$4:$H$6,0)),0))</f>
        <v>0</v>
      </c>
      <c r="J158" t="str">
        <f t="shared" si="10"/>
        <v/>
      </c>
      <c r="K158" s="5" t="str">
        <f t="shared" si="11"/>
        <v/>
      </c>
      <c r="L158">
        <f>IF(A158="",999,IFERROR(MATCH(B158,Config!$A$4:$A$7,0),99)*10+IF(ISNUMBER(F158),1,IF(F158="",2,IF(UPPER(F158)="DNF",3,IF(UPPER(F158)="DNS",4,8)))))</f>
        <v>999</v>
      </c>
    </row>
    <row r="159" spans="2:12" x14ac:dyDescent="0.25">
      <c r="B159" t="str">
        <f>IF(A159="","",IFERROR(INDEX(tblReg[Field],MATCH(A159,tblReg[Bib],0)),""))</f>
        <v/>
      </c>
      <c r="C159" t="str">
        <f>IF(A159="","",IFERROR(INDEX(tblReg[FirstName],MATCH(A159,tblReg[Bib],0)),""))</f>
        <v/>
      </c>
      <c r="D159" t="str">
        <f>IF(A159="","",IFERROR(INDEX(tblReg[LastName],MATCH(A159,tblReg[Bib],0)),""))</f>
        <v/>
      </c>
      <c r="E159" t="str">
        <f>IF(A159="","",IFERROR(INDEX(tblReg[Team],MATCH(A159,tblReg[Bib],0)),""))</f>
        <v/>
      </c>
      <c r="F159" s="4" t="s">
        <v>103</v>
      </c>
      <c r="G159" t="str">
        <f t="shared" si="8"/>
        <v/>
      </c>
      <c r="H159" t="str">
        <f t="shared" si="9"/>
        <v/>
      </c>
      <c r="I159">
        <f>IF(H159="",0,IFERROR(INDEX(Config!$J$4:$J$6,MATCH(H159,Config!$H$4:$H$6,0)),0))</f>
        <v>0</v>
      </c>
      <c r="J159" t="str">
        <f t="shared" si="10"/>
        <v/>
      </c>
      <c r="K159" s="5" t="str">
        <f t="shared" si="11"/>
        <v/>
      </c>
      <c r="L159">
        <f>IF(A159="",999,IFERROR(MATCH(B159,Config!$A$4:$A$7,0),99)*10+IF(ISNUMBER(F159),1,IF(F159="",2,IF(UPPER(F159)="DNF",3,IF(UPPER(F159)="DNS",4,8)))))</f>
        <v>999</v>
      </c>
    </row>
    <row r="160" spans="2:12" x14ac:dyDescent="0.25">
      <c r="B160" t="str">
        <f>IF(A160="","",IFERROR(INDEX(tblReg[Field],MATCH(A160,tblReg[Bib],0)),""))</f>
        <v/>
      </c>
      <c r="C160" t="str">
        <f>IF(A160="","",IFERROR(INDEX(tblReg[FirstName],MATCH(A160,tblReg[Bib],0)),""))</f>
        <v/>
      </c>
      <c r="D160" t="str">
        <f>IF(A160="","",IFERROR(INDEX(tblReg[LastName],MATCH(A160,tblReg[Bib],0)),""))</f>
        <v/>
      </c>
      <c r="E160" t="str">
        <f>IF(A160="","",IFERROR(INDEX(tblReg[Team],MATCH(A160,tblReg[Bib],0)),""))</f>
        <v/>
      </c>
      <c r="F160" s="4" t="s">
        <v>103</v>
      </c>
      <c r="G160" t="str">
        <f t="shared" si="8"/>
        <v/>
      </c>
      <c r="H160" t="str">
        <f t="shared" si="9"/>
        <v/>
      </c>
      <c r="I160">
        <f>IF(H160="",0,IFERROR(INDEX(Config!$J$4:$J$6,MATCH(H160,Config!$H$4:$H$6,0)),0))</f>
        <v>0</v>
      </c>
      <c r="J160" t="str">
        <f t="shared" si="10"/>
        <v/>
      </c>
      <c r="K160" s="5" t="str">
        <f t="shared" si="11"/>
        <v/>
      </c>
      <c r="L160">
        <f>IF(A160="",999,IFERROR(MATCH(B160,Config!$A$4:$A$7,0),99)*10+IF(ISNUMBER(F160),1,IF(F160="",2,IF(UPPER(F160)="DNF",3,IF(UPPER(F160)="DNS",4,8)))))</f>
        <v>999</v>
      </c>
    </row>
    <row r="161" spans="2:12" x14ac:dyDescent="0.25">
      <c r="B161" t="str">
        <f>IF(A161="","",IFERROR(INDEX(tblReg[Field],MATCH(A161,tblReg[Bib],0)),""))</f>
        <v/>
      </c>
      <c r="C161" t="str">
        <f>IF(A161="","",IFERROR(INDEX(tblReg[FirstName],MATCH(A161,tblReg[Bib],0)),""))</f>
        <v/>
      </c>
      <c r="D161" t="str">
        <f>IF(A161="","",IFERROR(INDEX(tblReg[LastName],MATCH(A161,tblReg[Bib],0)),""))</f>
        <v/>
      </c>
      <c r="E161" t="str">
        <f>IF(A161="","",IFERROR(INDEX(tblReg[Team],MATCH(A161,tblReg[Bib],0)),""))</f>
        <v/>
      </c>
      <c r="F161" s="4" t="s">
        <v>103</v>
      </c>
      <c r="G161" t="str">
        <f t="shared" si="8"/>
        <v/>
      </c>
      <c r="H161" t="str">
        <f t="shared" si="9"/>
        <v/>
      </c>
      <c r="I161">
        <f>IF(H161="",0,IFERROR(INDEX(Config!$J$4:$J$6,MATCH(H161,Config!$H$4:$H$6,0)),0))</f>
        <v>0</v>
      </c>
      <c r="J161" t="str">
        <f t="shared" si="10"/>
        <v/>
      </c>
      <c r="K161" s="5" t="str">
        <f t="shared" si="11"/>
        <v/>
      </c>
      <c r="L161">
        <f>IF(A161="",999,IFERROR(MATCH(B161,Config!$A$4:$A$7,0),99)*10+IF(ISNUMBER(F161),1,IF(F161="",2,IF(UPPER(F161)="DNF",3,IF(UPPER(F161)="DNS",4,8)))))</f>
        <v>999</v>
      </c>
    </row>
    <row r="162" spans="2:12" x14ac:dyDescent="0.25">
      <c r="B162" t="str">
        <f>IF(A162="","",IFERROR(INDEX(tblReg[Field],MATCH(A162,tblReg[Bib],0)),""))</f>
        <v/>
      </c>
      <c r="C162" t="str">
        <f>IF(A162="","",IFERROR(INDEX(tblReg[FirstName],MATCH(A162,tblReg[Bib],0)),""))</f>
        <v/>
      </c>
      <c r="D162" t="str">
        <f>IF(A162="","",IFERROR(INDEX(tblReg[LastName],MATCH(A162,tblReg[Bib],0)),""))</f>
        <v/>
      </c>
      <c r="E162" t="str">
        <f>IF(A162="","",IFERROR(INDEX(tblReg[Team],MATCH(A162,tblReg[Bib],0)),""))</f>
        <v/>
      </c>
      <c r="F162" s="4" t="s">
        <v>103</v>
      </c>
      <c r="G162" t="str">
        <f t="shared" si="8"/>
        <v/>
      </c>
      <c r="H162" t="str">
        <f t="shared" si="9"/>
        <v/>
      </c>
      <c r="I162">
        <f>IF(H162="",0,IFERROR(INDEX(Config!$J$4:$J$6,MATCH(H162,Config!$H$4:$H$6,0)),0))</f>
        <v>0</v>
      </c>
      <c r="J162" t="str">
        <f t="shared" si="10"/>
        <v/>
      </c>
      <c r="K162" s="5" t="str">
        <f t="shared" si="11"/>
        <v/>
      </c>
      <c r="L162">
        <f>IF(A162="",999,IFERROR(MATCH(B162,Config!$A$4:$A$7,0),99)*10+IF(ISNUMBER(F162),1,IF(F162="",2,IF(UPPER(F162)="DNF",3,IF(UPPER(F162)="DNS",4,8)))))</f>
        <v>999</v>
      </c>
    </row>
    <row r="163" spans="2:12" x14ac:dyDescent="0.25">
      <c r="B163" t="str">
        <f>IF(A163="","",IFERROR(INDEX(tblReg[Field],MATCH(A163,tblReg[Bib],0)),""))</f>
        <v/>
      </c>
      <c r="C163" t="str">
        <f>IF(A163="","",IFERROR(INDEX(tblReg[FirstName],MATCH(A163,tblReg[Bib],0)),""))</f>
        <v/>
      </c>
      <c r="D163" t="str">
        <f>IF(A163="","",IFERROR(INDEX(tblReg[LastName],MATCH(A163,tblReg[Bib],0)),""))</f>
        <v/>
      </c>
      <c r="E163" t="str">
        <f>IF(A163="","",IFERROR(INDEX(tblReg[Team],MATCH(A163,tblReg[Bib],0)),""))</f>
        <v/>
      </c>
      <c r="F163" s="4" t="s">
        <v>103</v>
      </c>
      <c r="G163" t="str">
        <f t="shared" si="8"/>
        <v/>
      </c>
      <c r="H163" t="str">
        <f t="shared" si="9"/>
        <v/>
      </c>
      <c r="I163">
        <f>IF(H163="",0,IFERROR(INDEX(Config!$J$4:$J$6,MATCH(H163,Config!$H$4:$H$6,0)),0))</f>
        <v>0</v>
      </c>
      <c r="J163" t="str">
        <f t="shared" si="10"/>
        <v/>
      </c>
      <c r="K163" s="5" t="str">
        <f t="shared" si="11"/>
        <v/>
      </c>
      <c r="L163">
        <f>IF(A163="",999,IFERROR(MATCH(B163,Config!$A$4:$A$7,0),99)*10+IF(ISNUMBER(F163),1,IF(F163="",2,IF(UPPER(F163)="DNF",3,IF(UPPER(F163)="DNS",4,8)))))</f>
        <v>999</v>
      </c>
    </row>
    <row r="164" spans="2:12" x14ac:dyDescent="0.25">
      <c r="B164" t="str">
        <f>IF(A164="","",IFERROR(INDEX(tblReg[Field],MATCH(A164,tblReg[Bib],0)),""))</f>
        <v/>
      </c>
      <c r="C164" t="str">
        <f>IF(A164="","",IFERROR(INDEX(tblReg[FirstName],MATCH(A164,tblReg[Bib],0)),""))</f>
        <v/>
      </c>
      <c r="D164" t="str">
        <f>IF(A164="","",IFERROR(INDEX(tblReg[LastName],MATCH(A164,tblReg[Bib],0)),""))</f>
        <v/>
      </c>
      <c r="E164" t="str">
        <f>IF(A164="","",IFERROR(INDEX(tblReg[Team],MATCH(A164,tblReg[Bib],0)),""))</f>
        <v/>
      </c>
      <c r="F164" s="4" t="s">
        <v>103</v>
      </c>
      <c r="G164" t="str">
        <f t="shared" si="8"/>
        <v/>
      </c>
      <c r="H164" t="str">
        <f t="shared" si="9"/>
        <v/>
      </c>
      <c r="I164">
        <f>IF(H164="",0,IFERROR(INDEX(Config!$J$4:$J$6,MATCH(H164,Config!$H$4:$H$6,0)),0))</f>
        <v>0</v>
      </c>
      <c r="J164" t="str">
        <f t="shared" si="10"/>
        <v/>
      </c>
      <c r="K164" s="5" t="str">
        <f t="shared" si="11"/>
        <v/>
      </c>
      <c r="L164">
        <f>IF(A164="",999,IFERROR(MATCH(B164,Config!$A$4:$A$7,0),99)*10+IF(ISNUMBER(F164),1,IF(F164="",2,IF(UPPER(F164)="DNF",3,IF(UPPER(F164)="DNS",4,8)))))</f>
        <v>999</v>
      </c>
    </row>
    <row r="165" spans="2:12" x14ac:dyDescent="0.25">
      <c r="B165" t="str">
        <f>IF(A165="","",IFERROR(INDEX(tblReg[Field],MATCH(A165,tblReg[Bib],0)),""))</f>
        <v/>
      </c>
      <c r="C165" t="str">
        <f>IF(A165="","",IFERROR(INDEX(tblReg[FirstName],MATCH(A165,tblReg[Bib],0)),""))</f>
        <v/>
      </c>
      <c r="D165" t="str">
        <f>IF(A165="","",IFERROR(INDEX(tblReg[LastName],MATCH(A165,tblReg[Bib],0)),""))</f>
        <v/>
      </c>
      <c r="E165" t="str">
        <f>IF(A165="","",IFERROR(INDEX(tblReg[Team],MATCH(A165,tblReg[Bib],0)),""))</f>
        <v/>
      </c>
      <c r="F165" s="4" t="s">
        <v>103</v>
      </c>
      <c r="G165" t="str">
        <f t="shared" si="8"/>
        <v/>
      </c>
      <c r="H165" t="str">
        <f t="shared" si="9"/>
        <v/>
      </c>
      <c r="I165">
        <f>IF(H165="",0,IFERROR(INDEX(Config!$J$4:$J$6,MATCH(H165,Config!$H$4:$H$6,0)),0))</f>
        <v>0</v>
      </c>
      <c r="J165" t="str">
        <f t="shared" si="10"/>
        <v/>
      </c>
      <c r="K165" s="5" t="str">
        <f t="shared" si="11"/>
        <v/>
      </c>
      <c r="L165">
        <f>IF(A165="",999,IFERROR(MATCH(B165,Config!$A$4:$A$7,0),99)*10+IF(ISNUMBER(F165),1,IF(F165="",2,IF(UPPER(F165)="DNF",3,IF(UPPER(F165)="DNS",4,8)))))</f>
        <v>999</v>
      </c>
    </row>
    <row r="166" spans="2:12" x14ac:dyDescent="0.25">
      <c r="B166" t="str">
        <f>IF(A166="","",IFERROR(INDEX(tblReg[Field],MATCH(A166,tblReg[Bib],0)),""))</f>
        <v/>
      </c>
      <c r="C166" t="str">
        <f>IF(A166="","",IFERROR(INDEX(tblReg[FirstName],MATCH(A166,tblReg[Bib],0)),""))</f>
        <v/>
      </c>
      <c r="D166" t="str">
        <f>IF(A166="","",IFERROR(INDEX(tblReg[LastName],MATCH(A166,tblReg[Bib],0)),""))</f>
        <v/>
      </c>
      <c r="E166" t="str">
        <f>IF(A166="","",IFERROR(INDEX(tblReg[Team],MATCH(A166,tblReg[Bib],0)),""))</f>
        <v/>
      </c>
      <c r="F166" s="4" t="s">
        <v>103</v>
      </c>
      <c r="G166" t="str">
        <f t="shared" si="8"/>
        <v/>
      </c>
      <c r="H166" t="str">
        <f t="shared" si="9"/>
        <v/>
      </c>
      <c r="I166">
        <f>IF(H166="",0,IFERROR(INDEX(Config!$J$4:$J$6,MATCH(H166,Config!$H$4:$H$6,0)),0))</f>
        <v>0</v>
      </c>
      <c r="J166" t="str">
        <f t="shared" si="10"/>
        <v/>
      </c>
      <c r="K166" s="5" t="str">
        <f t="shared" si="11"/>
        <v/>
      </c>
      <c r="L166">
        <f>IF(A166="",999,IFERROR(MATCH(B166,Config!$A$4:$A$7,0),99)*10+IF(ISNUMBER(F166),1,IF(F166="",2,IF(UPPER(F166)="DNF",3,IF(UPPER(F166)="DNS",4,8)))))</f>
        <v>999</v>
      </c>
    </row>
    <row r="167" spans="2:12" x14ac:dyDescent="0.25">
      <c r="B167" t="str">
        <f>IF(A167="","",IFERROR(INDEX(tblReg[Field],MATCH(A167,tblReg[Bib],0)),""))</f>
        <v/>
      </c>
      <c r="C167" t="str">
        <f>IF(A167="","",IFERROR(INDEX(tblReg[FirstName],MATCH(A167,tblReg[Bib],0)),""))</f>
        <v/>
      </c>
      <c r="D167" t="str">
        <f>IF(A167="","",IFERROR(INDEX(tblReg[LastName],MATCH(A167,tblReg[Bib],0)),""))</f>
        <v/>
      </c>
      <c r="E167" t="str">
        <f>IF(A167="","",IFERROR(INDEX(tblReg[Team],MATCH(A167,tblReg[Bib],0)),""))</f>
        <v/>
      </c>
      <c r="F167" s="4" t="s">
        <v>103</v>
      </c>
      <c r="G167" t="str">
        <f t="shared" si="8"/>
        <v/>
      </c>
      <c r="H167" t="str">
        <f t="shared" si="9"/>
        <v/>
      </c>
      <c r="I167">
        <f>IF(H167="",0,IFERROR(INDEX(Config!$J$4:$J$6,MATCH(H167,Config!$H$4:$H$6,0)),0))</f>
        <v>0</v>
      </c>
      <c r="J167" t="str">
        <f t="shared" si="10"/>
        <v/>
      </c>
      <c r="K167" s="5" t="str">
        <f t="shared" si="11"/>
        <v/>
      </c>
      <c r="L167">
        <f>IF(A167="",999,IFERROR(MATCH(B167,Config!$A$4:$A$7,0),99)*10+IF(ISNUMBER(F167),1,IF(F167="",2,IF(UPPER(F167)="DNF",3,IF(UPPER(F167)="DNS",4,8)))))</f>
        <v>999</v>
      </c>
    </row>
    <row r="168" spans="2:12" x14ac:dyDescent="0.25">
      <c r="B168" t="str">
        <f>IF(A168="","",IFERROR(INDEX(tblReg[Field],MATCH(A168,tblReg[Bib],0)),""))</f>
        <v/>
      </c>
      <c r="C168" t="str">
        <f>IF(A168="","",IFERROR(INDEX(tblReg[FirstName],MATCH(A168,tblReg[Bib],0)),""))</f>
        <v/>
      </c>
      <c r="D168" t="str">
        <f>IF(A168="","",IFERROR(INDEX(tblReg[LastName],MATCH(A168,tblReg[Bib],0)),""))</f>
        <v/>
      </c>
      <c r="E168" t="str">
        <f>IF(A168="","",IFERROR(INDEX(tblReg[Team],MATCH(A168,tblReg[Bib],0)),""))</f>
        <v/>
      </c>
      <c r="F168" s="4" t="s">
        <v>103</v>
      </c>
      <c r="G168" t="str">
        <f t="shared" si="8"/>
        <v/>
      </c>
      <c r="H168" t="str">
        <f t="shared" si="9"/>
        <v/>
      </c>
      <c r="I168">
        <f>IF(H168="",0,IFERROR(INDEX(Config!$J$4:$J$6,MATCH(H168,Config!$H$4:$H$6,0)),0))</f>
        <v>0</v>
      </c>
      <c r="J168" t="str">
        <f t="shared" si="10"/>
        <v/>
      </c>
      <c r="K168" s="5" t="str">
        <f t="shared" si="11"/>
        <v/>
      </c>
      <c r="L168">
        <f>IF(A168="",999,IFERROR(MATCH(B168,Config!$A$4:$A$7,0),99)*10+IF(ISNUMBER(F168),1,IF(F168="",2,IF(UPPER(F168)="DNF",3,IF(UPPER(F168)="DNS",4,8)))))</f>
        <v>999</v>
      </c>
    </row>
    <row r="169" spans="2:12" x14ac:dyDescent="0.25">
      <c r="B169" t="str">
        <f>IF(A169="","",IFERROR(INDEX(tblReg[Field],MATCH(A169,tblReg[Bib],0)),""))</f>
        <v/>
      </c>
      <c r="C169" t="str">
        <f>IF(A169="","",IFERROR(INDEX(tblReg[FirstName],MATCH(A169,tblReg[Bib],0)),""))</f>
        <v/>
      </c>
      <c r="D169" t="str">
        <f>IF(A169="","",IFERROR(INDEX(tblReg[LastName],MATCH(A169,tblReg[Bib],0)),""))</f>
        <v/>
      </c>
      <c r="E169" t="str">
        <f>IF(A169="","",IFERROR(INDEX(tblReg[Team],MATCH(A169,tblReg[Bib],0)),""))</f>
        <v/>
      </c>
      <c r="F169" s="4" t="s">
        <v>103</v>
      </c>
      <c r="G169" t="str">
        <f t="shared" si="8"/>
        <v/>
      </c>
      <c r="H169" t="str">
        <f t="shared" si="9"/>
        <v/>
      </c>
      <c r="I169">
        <f>IF(H169="",0,IFERROR(INDEX(Config!$J$4:$J$6,MATCH(H169,Config!$H$4:$H$6,0)),0))</f>
        <v>0</v>
      </c>
      <c r="J169" t="str">
        <f t="shared" si="10"/>
        <v/>
      </c>
      <c r="K169" s="5" t="str">
        <f t="shared" si="11"/>
        <v/>
      </c>
      <c r="L169">
        <f>IF(A169="",999,IFERROR(MATCH(B169,Config!$A$4:$A$7,0),99)*10+IF(ISNUMBER(F169),1,IF(F169="",2,IF(UPPER(F169)="DNF",3,IF(UPPER(F169)="DNS",4,8)))))</f>
        <v>999</v>
      </c>
    </row>
    <row r="170" spans="2:12" x14ac:dyDescent="0.25">
      <c r="B170" t="str">
        <f>IF(A170="","",IFERROR(INDEX(tblReg[Field],MATCH(A170,tblReg[Bib],0)),""))</f>
        <v/>
      </c>
      <c r="C170" t="str">
        <f>IF(A170="","",IFERROR(INDEX(tblReg[FirstName],MATCH(A170,tblReg[Bib],0)),""))</f>
        <v/>
      </c>
      <c r="D170" t="str">
        <f>IF(A170="","",IFERROR(INDEX(tblReg[LastName],MATCH(A170,tblReg[Bib],0)),""))</f>
        <v/>
      </c>
      <c r="E170" t="str">
        <f>IF(A170="","",IFERROR(INDEX(tblReg[Team],MATCH(A170,tblReg[Bib],0)),""))</f>
        <v/>
      </c>
      <c r="F170" s="4" t="s">
        <v>103</v>
      </c>
      <c r="G170" t="str">
        <f t="shared" si="8"/>
        <v/>
      </c>
      <c r="H170" t="str">
        <f t="shared" si="9"/>
        <v/>
      </c>
      <c r="I170">
        <f>IF(H170="",0,IFERROR(INDEX(Config!$J$4:$J$6,MATCH(H170,Config!$H$4:$H$6,0)),0))</f>
        <v>0</v>
      </c>
      <c r="J170" t="str">
        <f t="shared" si="10"/>
        <v/>
      </c>
      <c r="K170" s="5" t="str">
        <f t="shared" si="11"/>
        <v/>
      </c>
      <c r="L170">
        <f>IF(A170="",999,IFERROR(MATCH(B170,Config!$A$4:$A$7,0),99)*10+IF(ISNUMBER(F170),1,IF(F170="",2,IF(UPPER(F170)="DNF",3,IF(UPPER(F170)="DNS",4,8)))))</f>
        <v>999</v>
      </c>
    </row>
    <row r="171" spans="2:12" x14ac:dyDescent="0.25">
      <c r="B171" t="str">
        <f>IF(A171="","",IFERROR(INDEX(tblReg[Field],MATCH(A171,tblReg[Bib],0)),""))</f>
        <v/>
      </c>
      <c r="C171" t="str">
        <f>IF(A171="","",IFERROR(INDEX(tblReg[FirstName],MATCH(A171,tblReg[Bib],0)),""))</f>
        <v/>
      </c>
      <c r="D171" t="str">
        <f>IF(A171="","",IFERROR(INDEX(tblReg[LastName],MATCH(A171,tblReg[Bib],0)),""))</f>
        <v/>
      </c>
      <c r="E171" t="str">
        <f>IF(A171="","",IFERROR(INDEX(tblReg[Team],MATCH(A171,tblReg[Bib],0)),""))</f>
        <v/>
      </c>
      <c r="F171" s="4" t="s">
        <v>103</v>
      </c>
      <c r="G171" t="str">
        <f t="shared" si="8"/>
        <v/>
      </c>
      <c r="H171" t="str">
        <f t="shared" si="9"/>
        <v/>
      </c>
      <c r="I171">
        <f>IF(H171="",0,IFERROR(INDEX(Config!$J$4:$J$6,MATCH(H171,Config!$H$4:$H$6,0)),0))</f>
        <v>0</v>
      </c>
      <c r="J171" t="str">
        <f t="shared" si="10"/>
        <v/>
      </c>
      <c r="K171" s="5" t="str">
        <f t="shared" si="11"/>
        <v/>
      </c>
      <c r="L171">
        <f>IF(A171="",999,IFERROR(MATCH(B171,Config!$A$4:$A$7,0),99)*10+IF(ISNUMBER(F171),1,IF(F171="",2,IF(UPPER(F171)="DNF",3,IF(UPPER(F171)="DNS",4,8)))))</f>
        <v>999</v>
      </c>
    </row>
    <row r="172" spans="2:12" x14ac:dyDescent="0.25">
      <c r="B172" t="str">
        <f>IF(A172="","",IFERROR(INDEX(tblReg[Field],MATCH(A172,tblReg[Bib],0)),""))</f>
        <v/>
      </c>
      <c r="C172" t="str">
        <f>IF(A172="","",IFERROR(INDEX(tblReg[FirstName],MATCH(A172,tblReg[Bib],0)),""))</f>
        <v/>
      </c>
      <c r="D172" t="str">
        <f>IF(A172="","",IFERROR(INDEX(tblReg[LastName],MATCH(A172,tblReg[Bib],0)),""))</f>
        <v/>
      </c>
      <c r="E172" t="str">
        <f>IF(A172="","",IFERROR(INDEX(tblReg[Team],MATCH(A172,tblReg[Bib],0)),""))</f>
        <v/>
      </c>
      <c r="F172" s="4" t="s">
        <v>103</v>
      </c>
      <c r="G172" t="str">
        <f t="shared" si="8"/>
        <v/>
      </c>
      <c r="H172" t="str">
        <f t="shared" si="9"/>
        <v/>
      </c>
      <c r="I172">
        <f>IF(H172="",0,IFERROR(INDEX(Config!$J$4:$J$6,MATCH(H172,Config!$H$4:$H$6,0)),0))</f>
        <v>0</v>
      </c>
      <c r="J172" t="str">
        <f t="shared" si="10"/>
        <v/>
      </c>
      <c r="K172" s="5" t="str">
        <f t="shared" si="11"/>
        <v/>
      </c>
      <c r="L172">
        <f>IF(A172="",999,IFERROR(MATCH(B172,Config!$A$4:$A$7,0),99)*10+IF(ISNUMBER(F172),1,IF(F172="",2,IF(UPPER(F172)="DNF",3,IF(UPPER(F172)="DNS",4,8)))))</f>
        <v>999</v>
      </c>
    </row>
    <row r="173" spans="2:12" x14ac:dyDescent="0.25">
      <c r="B173" t="str">
        <f>IF(A173="","",IFERROR(INDEX(tblReg[Field],MATCH(A173,tblReg[Bib],0)),""))</f>
        <v/>
      </c>
      <c r="C173" t="str">
        <f>IF(A173="","",IFERROR(INDEX(tblReg[FirstName],MATCH(A173,tblReg[Bib],0)),""))</f>
        <v/>
      </c>
      <c r="D173" t="str">
        <f>IF(A173="","",IFERROR(INDEX(tblReg[LastName],MATCH(A173,tblReg[Bib],0)),""))</f>
        <v/>
      </c>
      <c r="E173" t="str">
        <f>IF(A173="","",IFERROR(INDEX(tblReg[Team],MATCH(A173,tblReg[Bib],0)),""))</f>
        <v/>
      </c>
      <c r="F173" s="4" t="s">
        <v>103</v>
      </c>
      <c r="G173" t="str">
        <f t="shared" si="8"/>
        <v/>
      </c>
      <c r="H173" t="str">
        <f t="shared" si="9"/>
        <v/>
      </c>
      <c r="I173">
        <f>IF(H173="",0,IFERROR(INDEX(Config!$J$4:$J$6,MATCH(H173,Config!$H$4:$H$6,0)),0))</f>
        <v>0</v>
      </c>
      <c r="J173" t="str">
        <f t="shared" si="10"/>
        <v/>
      </c>
      <c r="K173" s="5" t="str">
        <f t="shared" si="11"/>
        <v/>
      </c>
      <c r="L173">
        <f>IF(A173="",999,IFERROR(MATCH(B173,Config!$A$4:$A$7,0),99)*10+IF(ISNUMBER(F173),1,IF(F173="",2,IF(UPPER(F173)="DNF",3,IF(UPPER(F173)="DNS",4,8)))))</f>
        <v>999</v>
      </c>
    </row>
    <row r="174" spans="2:12" x14ac:dyDescent="0.25">
      <c r="B174" t="str">
        <f>IF(A174="","",IFERROR(INDEX(tblReg[Field],MATCH(A174,tblReg[Bib],0)),""))</f>
        <v/>
      </c>
      <c r="C174" t="str">
        <f>IF(A174="","",IFERROR(INDEX(tblReg[FirstName],MATCH(A174,tblReg[Bib],0)),""))</f>
        <v/>
      </c>
      <c r="D174" t="str">
        <f>IF(A174="","",IFERROR(INDEX(tblReg[LastName],MATCH(A174,tblReg[Bib],0)),""))</f>
        <v/>
      </c>
      <c r="E174" t="str">
        <f>IF(A174="","",IFERROR(INDEX(tblReg[Team],MATCH(A174,tblReg[Bib],0)),""))</f>
        <v/>
      </c>
      <c r="F174" s="4" t="s">
        <v>103</v>
      </c>
      <c r="G174" t="str">
        <f t="shared" si="8"/>
        <v/>
      </c>
      <c r="H174" t="str">
        <f t="shared" si="9"/>
        <v/>
      </c>
      <c r="I174">
        <f>IF(H174="",0,IFERROR(INDEX(Config!$J$4:$J$6,MATCH(H174,Config!$H$4:$H$6,0)),0))</f>
        <v>0</v>
      </c>
      <c r="J174" t="str">
        <f t="shared" si="10"/>
        <v/>
      </c>
      <c r="K174" s="5" t="str">
        <f t="shared" si="11"/>
        <v/>
      </c>
      <c r="L174">
        <f>IF(A174="",999,IFERROR(MATCH(B174,Config!$A$4:$A$7,0),99)*10+IF(ISNUMBER(F174),1,IF(F174="",2,IF(UPPER(F174)="DNF",3,IF(UPPER(F174)="DNS",4,8)))))</f>
        <v>999</v>
      </c>
    </row>
    <row r="175" spans="2:12" x14ac:dyDescent="0.25">
      <c r="B175" t="str">
        <f>IF(A175="","",IFERROR(INDEX(tblReg[Field],MATCH(A175,tblReg[Bib],0)),""))</f>
        <v/>
      </c>
      <c r="C175" t="str">
        <f>IF(A175="","",IFERROR(INDEX(tblReg[FirstName],MATCH(A175,tblReg[Bib],0)),""))</f>
        <v/>
      </c>
      <c r="D175" t="str">
        <f>IF(A175="","",IFERROR(INDEX(tblReg[LastName],MATCH(A175,tblReg[Bib],0)),""))</f>
        <v/>
      </c>
      <c r="E175" t="str">
        <f>IF(A175="","",IFERROR(INDEX(tblReg[Team],MATCH(A175,tblReg[Bib],0)),""))</f>
        <v/>
      </c>
      <c r="F175" s="4" t="s">
        <v>103</v>
      </c>
      <c r="G175" t="str">
        <f t="shared" si="8"/>
        <v/>
      </c>
      <c r="H175" t="str">
        <f t="shared" si="9"/>
        <v/>
      </c>
      <c r="I175">
        <f>IF(H175="",0,IFERROR(INDEX(Config!$J$4:$J$6,MATCH(H175,Config!$H$4:$H$6,0)),0))</f>
        <v>0</v>
      </c>
      <c r="J175" t="str">
        <f t="shared" si="10"/>
        <v/>
      </c>
      <c r="K175" s="5" t="str">
        <f t="shared" si="11"/>
        <v/>
      </c>
      <c r="L175">
        <f>IF(A175="",999,IFERROR(MATCH(B175,Config!$A$4:$A$7,0),99)*10+IF(ISNUMBER(F175),1,IF(F175="",2,IF(UPPER(F175)="DNF",3,IF(UPPER(F175)="DNS",4,8)))))</f>
        <v>999</v>
      </c>
    </row>
    <row r="176" spans="2:12" x14ac:dyDescent="0.25">
      <c r="B176" t="str">
        <f>IF(A176="","",IFERROR(INDEX(tblReg[Field],MATCH(A176,tblReg[Bib],0)),""))</f>
        <v/>
      </c>
      <c r="C176" t="str">
        <f>IF(A176="","",IFERROR(INDEX(tblReg[FirstName],MATCH(A176,tblReg[Bib],0)),""))</f>
        <v/>
      </c>
      <c r="D176" t="str">
        <f>IF(A176="","",IFERROR(INDEX(tblReg[LastName],MATCH(A176,tblReg[Bib],0)),""))</f>
        <v/>
      </c>
      <c r="E176" t="str">
        <f>IF(A176="","",IFERROR(INDEX(tblReg[Team],MATCH(A176,tblReg[Bib],0)),""))</f>
        <v/>
      </c>
      <c r="F176" s="4" t="s">
        <v>103</v>
      </c>
      <c r="G176" t="str">
        <f t="shared" si="8"/>
        <v/>
      </c>
      <c r="H176" t="str">
        <f t="shared" si="9"/>
        <v/>
      </c>
      <c r="I176">
        <f>IF(H176="",0,IFERROR(INDEX(Config!$J$4:$J$6,MATCH(H176,Config!$H$4:$H$6,0)),0))</f>
        <v>0</v>
      </c>
      <c r="J176" t="str">
        <f t="shared" si="10"/>
        <v/>
      </c>
      <c r="K176" s="5" t="str">
        <f t="shared" si="11"/>
        <v/>
      </c>
      <c r="L176">
        <f>IF(A176="",999,IFERROR(MATCH(B176,Config!$A$4:$A$7,0),99)*10+IF(ISNUMBER(F176),1,IF(F176="",2,IF(UPPER(F176)="DNF",3,IF(UPPER(F176)="DNS",4,8)))))</f>
        <v>999</v>
      </c>
    </row>
    <row r="177" spans="2:12" x14ac:dyDescent="0.25">
      <c r="B177" t="str">
        <f>IF(A177="","",IFERROR(INDEX(tblReg[Field],MATCH(A177,tblReg[Bib],0)),""))</f>
        <v/>
      </c>
      <c r="C177" t="str">
        <f>IF(A177="","",IFERROR(INDEX(tblReg[FirstName],MATCH(A177,tblReg[Bib],0)),""))</f>
        <v/>
      </c>
      <c r="D177" t="str">
        <f>IF(A177="","",IFERROR(INDEX(tblReg[LastName],MATCH(A177,tblReg[Bib],0)),""))</f>
        <v/>
      </c>
      <c r="E177" t="str">
        <f>IF(A177="","",IFERROR(INDEX(tblReg[Team],MATCH(A177,tblReg[Bib],0)),""))</f>
        <v/>
      </c>
      <c r="F177" s="4" t="s">
        <v>103</v>
      </c>
      <c r="G177" t="str">
        <f t="shared" si="8"/>
        <v/>
      </c>
      <c r="H177" t="str">
        <f t="shared" si="9"/>
        <v/>
      </c>
      <c r="I177">
        <f>IF(H177="",0,IFERROR(INDEX(Config!$J$4:$J$6,MATCH(H177,Config!$H$4:$H$6,0)),0))</f>
        <v>0</v>
      </c>
      <c r="J177" t="str">
        <f t="shared" si="10"/>
        <v/>
      </c>
      <c r="K177" s="5" t="str">
        <f t="shared" si="11"/>
        <v/>
      </c>
      <c r="L177">
        <f>IF(A177="",999,IFERROR(MATCH(B177,Config!$A$4:$A$7,0),99)*10+IF(ISNUMBER(F177),1,IF(F177="",2,IF(UPPER(F177)="DNF",3,IF(UPPER(F177)="DNS",4,8)))))</f>
        <v>999</v>
      </c>
    </row>
    <row r="178" spans="2:12" x14ac:dyDescent="0.25">
      <c r="B178" t="str">
        <f>IF(A178="","",IFERROR(INDEX(tblReg[Field],MATCH(A178,tblReg[Bib],0)),""))</f>
        <v/>
      </c>
      <c r="C178" t="str">
        <f>IF(A178="","",IFERROR(INDEX(tblReg[FirstName],MATCH(A178,tblReg[Bib],0)),""))</f>
        <v/>
      </c>
      <c r="D178" t="str">
        <f>IF(A178="","",IFERROR(INDEX(tblReg[LastName],MATCH(A178,tblReg[Bib],0)),""))</f>
        <v/>
      </c>
      <c r="E178" t="str">
        <f>IF(A178="","",IFERROR(INDEX(tblReg[Team],MATCH(A178,tblReg[Bib],0)),""))</f>
        <v/>
      </c>
      <c r="F178" s="4" t="s">
        <v>103</v>
      </c>
      <c r="G178" t="str">
        <f t="shared" si="8"/>
        <v/>
      </c>
      <c r="H178" t="str">
        <f t="shared" si="9"/>
        <v/>
      </c>
      <c r="I178">
        <f>IF(H178="",0,IFERROR(INDEX(Config!$J$4:$J$6,MATCH(H178,Config!$H$4:$H$6,0)),0))</f>
        <v>0</v>
      </c>
      <c r="J178" t="str">
        <f t="shared" si="10"/>
        <v/>
      </c>
      <c r="K178" s="5" t="str">
        <f t="shared" si="11"/>
        <v/>
      </c>
      <c r="L178">
        <f>IF(A178="",999,IFERROR(MATCH(B178,Config!$A$4:$A$7,0),99)*10+IF(ISNUMBER(F178),1,IF(F178="",2,IF(UPPER(F178)="DNF",3,IF(UPPER(F178)="DNS",4,8)))))</f>
        <v>999</v>
      </c>
    </row>
    <row r="179" spans="2:12" x14ac:dyDescent="0.25">
      <c r="B179" t="str">
        <f>IF(A179="","",IFERROR(INDEX(tblReg[Field],MATCH(A179,tblReg[Bib],0)),""))</f>
        <v/>
      </c>
      <c r="C179" t="str">
        <f>IF(A179="","",IFERROR(INDEX(tblReg[FirstName],MATCH(A179,tblReg[Bib],0)),""))</f>
        <v/>
      </c>
      <c r="D179" t="str">
        <f>IF(A179="","",IFERROR(INDEX(tblReg[LastName],MATCH(A179,tblReg[Bib],0)),""))</f>
        <v/>
      </c>
      <c r="E179" t="str">
        <f>IF(A179="","",IFERROR(INDEX(tblReg[Team],MATCH(A179,tblReg[Bib],0)),""))</f>
        <v/>
      </c>
      <c r="F179" s="4" t="s">
        <v>103</v>
      </c>
      <c r="G179" t="str">
        <f t="shared" si="8"/>
        <v/>
      </c>
      <c r="H179" t="str">
        <f t="shared" si="9"/>
        <v/>
      </c>
      <c r="I179">
        <f>IF(H179="",0,IFERROR(INDEX(Config!$J$4:$J$6,MATCH(H179,Config!$H$4:$H$6,0)),0))</f>
        <v>0</v>
      </c>
      <c r="J179" t="str">
        <f t="shared" si="10"/>
        <v/>
      </c>
      <c r="K179" s="5" t="str">
        <f t="shared" si="11"/>
        <v/>
      </c>
      <c r="L179">
        <f>IF(A179="",999,IFERROR(MATCH(B179,Config!$A$4:$A$7,0),99)*10+IF(ISNUMBER(F179),1,IF(F179="",2,IF(UPPER(F179)="DNF",3,IF(UPPER(F179)="DNS",4,8)))))</f>
        <v>999</v>
      </c>
    </row>
    <row r="180" spans="2:12" x14ac:dyDescent="0.25">
      <c r="B180" t="str">
        <f>IF(A180="","",IFERROR(INDEX(tblReg[Field],MATCH(A180,tblReg[Bib],0)),""))</f>
        <v/>
      </c>
      <c r="C180" t="str">
        <f>IF(A180="","",IFERROR(INDEX(tblReg[FirstName],MATCH(A180,tblReg[Bib],0)),""))</f>
        <v/>
      </c>
      <c r="D180" t="str">
        <f>IF(A180="","",IFERROR(INDEX(tblReg[LastName],MATCH(A180,tblReg[Bib],0)),""))</f>
        <v/>
      </c>
      <c r="E180" t="str">
        <f>IF(A180="","",IFERROR(INDEX(tblReg[Team],MATCH(A180,tblReg[Bib],0)),""))</f>
        <v/>
      </c>
      <c r="F180" s="4" t="s">
        <v>103</v>
      </c>
      <c r="G180" t="str">
        <f t="shared" si="8"/>
        <v/>
      </c>
      <c r="H180" t="str">
        <f t="shared" si="9"/>
        <v/>
      </c>
      <c r="I180">
        <f>IF(H180="",0,IFERROR(INDEX(Config!$J$4:$J$6,MATCH(H180,Config!$H$4:$H$6,0)),0))</f>
        <v>0</v>
      </c>
      <c r="J180" t="str">
        <f t="shared" si="10"/>
        <v/>
      </c>
      <c r="K180" s="5" t="str">
        <f t="shared" si="11"/>
        <v/>
      </c>
      <c r="L180">
        <f>IF(A180="",999,IFERROR(MATCH(B180,Config!$A$4:$A$7,0),99)*10+IF(ISNUMBER(F180),1,IF(F180="",2,IF(UPPER(F180)="DNF",3,IF(UPPER(F180)="DNS",4,8)))))</f>
        <v>999</v>
      </c>
    </row>
    <row r="181" spans="2:12" x14ac:dyDescent="0.25">
      <c r="B181" t="str">
        <f>IF(A181="","",IFERROR(INDEX(tblReg[Field],MATCH(A181,tblReg[Bib],0)),""))</f>
        <v/>
      </c>
      <c r="C181" t="str">
        <f>IF(A181="","",IFERROR(INDEX(tblReg[FirstName],MATCH(A181,tblReg[Bib],0)),""))</f>
        <v/>
      </c>
      <c r="D181" t="str">
        <f>IF(A181="","",IFERROR(INDEX(tblReg[LastName],MATCH(A181,tblReg[Bib],0)),""))</f>
        <v/>
      </c>
      <c r="E181" t="str">
        <f>IF(A181="","",IFERROR(INDEX(tblReg[Team],MATCH(A181,tblReg[Bib],0)),""))</f>
        <v/>
      </c>
      <c r="F181" s="4" t="s">
        <v>103</v>
      </c>
      <c r="G181" t="str">
        <f t="shared" si="8"/>
        <v/>
      </c>
      <c r="H181" t="str">
        <f t="shared" si="9"/>
        <v/>
      </c>
      <c r="I181">
        <f>IF(H181="",0,IFERROR(INDEX(Config!$J$4:$J$6,MATCH(H181,Config!$H$4:$H$6,0)),0))</f>
        <v>0</v>
      </c>
      <c r="J181" t="str">
        <f t="shared" si="10"/>
        <v/>
      </c>
      <c r="K181" s="5" t="str">
        <f t="shared" si="11"/>
        <v/>
      </c>
      <c r="L181">
        <f>IF(A181="",999,IFERROR(MATCH(B181,Config!$A$4:$A$7,0),99)*10+IF(ISNUMBER(F181),1,IF(F181="",2,IF(UPPER(F181)="DNF",3,IF(UPPER(F181)="DNS",4,8)))))</f>
        <v>999</v>
      </c>
    </row>
    <row r="182" spans="2:12" x14ac:dyDescent="0.25">
      <c r="B182" t="str">
        <f>IF(A182="","",IFERROR(INDEX(tblReg[Field],MATCH(A182,tblReg[Bib],0)),""))</f>
        <v/>
      </c>
      <c r="C182" t="str">
        <f>IF(A182="","",IFERROR(INDEX(tblReg[FirstName],MATCH(A182,tblReg[Bib],0)),""))</f>
        <v/>
      </c>
      <c r="D182" t="str">
        <f>IF(A182="","",IFERROR(INDEX(tblReg[LastName],MATCH(A182,tblReg[Bib],0)),""))</f>
        <v/>
      </c>
      <c r="E182" t="str">
        <f>IF(A182="","",IFERROR(INDEX(tblReg[Team],MATCH(A182,tblReg[Bib],0)),""))</f>
        <v/>
      </c>
      <c r="F182" s="4" t="s">
        <v>103</v>
      </c>
      <c r="G182" t="str">
        <f t="shared" si="8"/>
        <v/>
      </c>
      <c r="H182" t="str">
        <f t="shared" si="9"/>
        <v/>
      </c>
      <c r="I182">
        <f>IF(H182="",0,IFERROR(INDEX(Config!$J$4:$J$6,MATCH(H182,Config!$H$4:$H$6,0)),0))</f>
        <v>0</v>
      </c>
      <c r="J182" t="str">
        <f t="shared" si="10"/>
        <v/>
      </c>
      <c r="K182" s="5" t="str">
        <f t="shared" si="11"/>
        <v/>
      </c>
      <c r="L182">
        <f>IF(A182="",999,IFERROR(MATCH(B182,Config!$A$4:$A$7,0),99)*10+IF(ISNUMBER(F182),1,IF(F182="",2,IF(UPPER(F182)="DNF",3,IF(UPPER(F182)="DNS",4,8)))))</f>
        <v>999</v>
      </c>
    </row>
    <row r="183" spans="2:12" x14ac:dyDescent="0.25">
      <c r="B183" t="str">
        <f>IF(A183="","",IFERROR(INDEX(tblReg[Field],MATCH(A183,tblReg[Bib],0)),""))</f>
        <v/>
      </c>
      <c r="C183" t="str">
        <f>IF(A183="","",IFERROR(INDEX(tblReg[FirstName],MATCH(A183,tblReg[Bib],0)),""))</f>
        <v/>
      </c>
      <c r="D183" t="str">
        <f>IF(A183="","",IFERROR(INDEX(tblReg[LastName],MATCH(A183,tblReg[Bib],0)),""))</f>
        <v/>
      </c>
      <c r="E183" t="str">
        <f>IF(A183="","",IFERROR(INDEX(tblReg[Team],MATCH(A183,tblReg[Bib],0)),""))</f>
        <v/>
      </c>
      <c r="F183" s="4" t="s">
        <v>103</v>
      </c>
      <c r="G183" t="str">
        <f t="shared" si="8"/>
        <v/>
      </c>
      <c r="H183" t="str">
        <f t="shared" si="9"/>
        <v/>
      </c>
      <c r="I183">
        <f>IF(H183="",0,IFERROR(INDEX(Config!$J$4:$J$6,MATCH(H183,Config!$H$4:$H$6,0)),0))</f>
        <v>0</v>
      </c>
      <c r="J183" t="str">
        <f t="shared" si="10"/>
        <v/>
      </c>
      <c r="K183" s="5" t="str">
        <f t="shared" si="11"/>
        <v/>
      </c>
      <c r="L183">
        <f>IF(A183="",999,IFERROR(MATCH(B183,Config!$A$4:$A$7,0),99)*10+IF(ISNUMBER(F183),1,IF(F183="",2,IF(UPPER(F183)="DNF",3,IF(UPPER(F183)="DNS",4,8)))))</f>
        <v>999</v>
      </c>
    </row>
    <row r="184" spans="2:12" x14ac:dyDescent="0.25">
      <c r="B184" t="str">
        <f>IF(A184="","",IFERROR(INDEX(tblReg[Field],MATCH(A184,tblReg[Bib],0)),""))</f>
        <v/>
      </c>
      <c r="C184" t="str">
        <f>IF(A184="","",IFERROR(INDEX(tblReg[FirstName],MATCH(A184,tblReg[Bib],0)),""))</f>
        <v/>
      </c>
      <c r="D184" t="str">
        <f>IF(A184="","",IFERROR(INDEX(tblReg[LastName],MATCH(A184,tblReg[Bib],0)),""))</f>
        <v/>
      </c>
      <c r="E184" t="str">
        <f>IF(A184="","",IFERROR(INDEX(tblReg[Team],MATCH(A184,tblReg[Bib],0)),""))</f>
        <v/>
      </c>
      <c r="F184" s="4" t="s">
        <v>103</v>
      </c>
      <c r="G184" t="str">
        <f t="shared" si="8"/>
        <v/>
      </c>
      <c r="H184" t="str">
        <f t="shared" si="9"/>
        <v/>
      </c>
      <c r="I184">
        <f>IF(H184="",0,IFERROR(INDEX(Config!$J$4:$J$6,MATCH(H184,Config!$H$4:$H$6,0)),0))</f>
        <v>0</v>
      </c>
      <c r="J184" t="str">
        <f t="shared" si="10"/>
        <v/>
      </c>
      <c r="K184" s="5" t="str">
        <f t="shared" si="11"/>
        <v/>
      </c>
      <c r="L184">
        <f>IF(A184="",999,IFERROR(MATCH(B184,Config!$A$4:$A$7,0),99)*10+IF(ISNUMBER(F184),1,IF(F184="",2,IF(UPPER(F184)="DNF",3,IF(UPPER(F184)="DNS",4,8)))))</f>
        <v>999</v>
      </c>
    </row>
    <row r="185" spans="2:12" x14ac:dyDescent="0.25">
      <c r="B185" t="str">
        <f>IF(A185="","",IFERROR(INDEX(tblReg[Field],MATCH(A185,tblReg[Bib],0)),""))</f>
        <v/>
      </c>
      <c r="C185" t="str">
        <f>IF(A185="","",IFERROR(INDEX(tblReg[FirstName],MATCH(A185,tblReg[Bib],0)),""))</f>
        <v/>
      </c>
      <c r="D185" t="str">
        <f>IF(A185="","",IFERROR(INDEX(tblReg[LastName],MATCH(A185,tblReg[Bib],0)),""))</f>
        <v/>
      </c>
      <c r="E185" t="str">
        <f>IF(A185="","",IFERROR(INDEX(tblReg[Team],MATCH(A185,tblReg[Bib],0)),""))</f>
        <v/>
      </c>
      <c r="F185" s="4" t="s">
        <v>103</v>
      </c>
      <c r="G185" t="str">
        <f t="shared" si="8"/>
        <v/>
      </c>
      <c r="H185" t="str">
        <f t="shared" si="9"/>
        <v/>
      </c>
      <c r="I185">
        <f>IF(H185="",0,IFERROR(INDEX(Config!$J$4:$J$6,MATCH(H185,Config!$H$4:$H$6,0)),0))</f>
        <v>0</v>
      </c>
      <c r="J185" t="str">
        <f t="shared" si="10"/>
        <v/>
      </c>
      <c r="K185" s="5" t="str">
        <f t="shared" si="11"/>
        <v/>
      </c>
      <c r="L185">
        <f>IF(A185="",999,IFERROR(MATCH(B185,Config!$A$4:$A$7,0),99)*10+IF(ISNUMBER(F185),1,IF(F185="",2,IF(UPPER(F185)="DNF",3,IF(UPPER(F185)="DNS",4,8)))))</f>
        <v>999</v>
      </c>
    </row>
    <row r="186" spans="2:12" x14ac:dyDescent="0.25">
      <c r="B186" t="str">
        <f>IF(A186="","",IFERROR(INDEX(tblReg[Field],MATCH(A186,tblReg[Bib],0)),""))</f>
        <v/>
      </c>
      <c r="C186" t="str">
        <f>IF(A186="","",IFERROR(INDEX(tblReg[FirstName],MATCH(A186,tblReg[Bib],0)),""))</f>
        <v/>
      </c>
      <c r="D186" t="str">
        <f>IF(A186="","",IFERROR(INDEX(tblReg[LastName],MATCH(A186,tblReg[Bib],0)),""))</f>
        <v/>
      </c>
      <c r="E186" t="str">
        <f>IF(A186="","",IFERROR(INDEX(tblReg[Team],MATCH(A186,tblReg[Bib],0)),""))</f>
        <v/>
      </c>
      <c r="F186" s="4" t="s">
        <v>103</v>
      </c>
      <c r="G186" t="str">
        <f t="shared" si="8"/>
        <v/>
      </c>
      <c r="H186" t="str">
        <f t="shared" si="9"/>
        <v/>
      </c>
      <c r="I186">
        <f>IF(H186="",0,IFERROR(INDEX(Config!$J$4:$J$6,MATCH(H186,Config!$H$4:$H$6,0)),0))</f>
        <v>0</v>
      </c>
      <c r="J186" t="str">
        <f t="shared" si="10"/>
        <v/>
      </c>
      <c r="K186" s="5" t="str">
        <f t="shared" si="11"/>
        <v/>
      </c>
      <c r="L186">
        <f>IF(A186="",999,IFERROR(MATCH(B186,Config!$A$4:$A$7,0),99)*10+IF(ISNUMBER(F186),1,IF(F186="",2,IF(UPPER(F186)="DNF",3,IF(UPPER(F186)="DNS",4,8)))))</f>
        <v>999</v>
      </c>
    </row>
    <row r="187" spans="2:12" x14ac:dyDescent="0.25">
      <c r="B187" t="str">
        <f>IF(A187="","",IFERROR(INDEX(tblReg[Field],MATCH(A187,tblReg[Bib],0)),""))</f>
        <v/>
      </c>
      <c r="C187" t="str">
        <f>IF(A187="","",IFERROR(INDEX(tblReg[FirstName],MATCH(A187,tblReg[Bib],0)),""))</f>
        <v/>
      </c>
      <c r="D187" t="str">
        <f>IF(A187="","",IFERROR(INDEX(tblReg[LastName],MATCH(A187,tblReg[Bib],0)),""))</f>
        <v/>
      </c>
      <c r="E187" t="str">
        <f>IF(A187="","",IFERROR(INDEX(tblReg[Team],MATCH(A187,tblReg[Bib],0)),""))</f>
        <v/>
      </c>
      <c r="F187" s="4" t="s">
        <v>103</v>
      </c>
      <c r="G187" t="str">
        <f t="shared" si="8"/>
        <v/>
      </c>
      <c r="H187" t="str">
        <f t="shared" si="9"/>
        <v/>
      </c>
      <c r="I187">
        <f>IF(H187="",0,IFERROR(INDEX(Config!$J$4:$J$6,MATCH(H187,Config!$H$4:$H$6,0)),0))</f>
        <v>0</v>
      </c>
      <c r="J187" t="str">
        <f t="shared" si="10"/>
        <v/>
      </c>
      <c r="K187" s="5" t="str">
        <f t="shared" si="11"/>
        <v/>
      </c>
      <c r="L187">
        <f>IF(A187="",999,IFERROR(MATCH(B187,Config!$A$4:$A$7,0),99)*10+IF(ISNUMBER(F187),1,IF(F187="",2,IF(UPPER(F187)="DNF",3,IF(UPPER(F187)="DNS",4,8)))))</f>
        <v>999</v>
      </c>
    </row>
    <row r="188" spans="2:12" x14ac:dyDescent="0.25">
      <c r="B188" t="str">
        <f>IF(A188="","",IFERROR(INDEX(tblReg[Field],MATCH(A188,tblReg[Bib],0)),""))</f>
        <v/>
      </c>
      <c r="C188" t="str">
        <f>IF(A188="","",IFERROR(INDEX(tblReg[FirstName],MATCH(A188,tblReg[Bib],0)),""))</f>
        <v/>
      </c>
      <c r="D188" t="str">
        <f>IF(A188="","",IFERROR(INDEX(tblReg[LastName],MATCH(A188,tblReg[Bib],0)),""))</f>
        <v/>
      </c>
      <c r="E188" t="str">
        <f>IF(A188="","",IFERROR(INDEX(tblReg[Team],MATCH(A188,tblReg[Bib],0)),""))</f>
        <v/>
      </c>
      <c r="F188" s="4" t="s">
        <v>103</v>
      </c>
      <c r="G188" t="str">
        <f t="shared" si="8"/>
        <v/>
      </c>
      <c r="H188" t="str">
        <f t="shared" si="9"/>
        <v/>
      </c>
      <c r="I188">
        <f>IF(H188="",0,IFERROR(INDEX(Config!$J$4:$J$6,MATCH(H188,Config!$H$4:$H$6,0)),0))</f>
        <v>0</v>
      </c>
      <c r="J188" t="str">
        <f t="shared" si="10"/>
        <v/>
      </c>
      <c r="K188" s="5" t="str">
        <f t="shared" si="11"/>
        <v/>
      </c>
      <c r="L188">
        <f>IF(A188="",999,IFERROR(MATCH(B188,Config!$A$4:$A$7,0),99)*10+IF(ISNUMBER(F188),1,IF(F188="",2,IF(UPPER(F188)="DNF",3,IF(UPPER(F188)="DNS",4,8)))))</f>
        <v>999</v>
      </c>
    </row>
    <row r="189" spans="2:12" x14ac:dyDescent="0.25">
      <c r="B189" t="str">
        <f>IF(A189="","",IFERROR(INDEX(tblReg[Field],MATCH(A189,tblReg[Bib],0)),""))</f>
        <v/>
      </c>
      <c r="C189" t="str">
        <f>IF(A189="","",IFERROR(INDEX(tblReg[FirstName],MATCH(A189,tblReg[Bib],0)),""))</f>
        <v/>
      </c>
      <c r="D189" t="str">
        <f>IF(A189="","",IFERROR(INDEX(tblReg[LastName],MATCH(A189,tblReg[Bib],0)),""))</f>
        <v/>
      </c>
      <c r="E189" t="str">
        <f>IF(A189="","",IFERROR(INDEX(tblReg[Team],MATCH(A189,tblReg[Bib],0)),""))</f>
        <v/>
      </c>
      <c r="F189" s="4" t="s">
        <v>103</v>
      </c>
      <c r="G189" t="str">
        <f t="shared" si="8"/>
        <v/>
      </c>
      <c r="H189" t="str">
        <f t="shared" si="9"/>
        <v/>
      </c>
      <c r="I189">
        <f>IF(H189="",0,IFERROR(INDEX(Config!$J$4:$J$6,MATCH(H189,Config!$H$4:$H$6,0)),0))</f>
        <v>0</v>
      </c>
      <c r="J189" t="str">
        <f t="shared" si="10"/>
        <v/>
      </c>
      <c r="K189" s="5" t="str">
        <f t="shared" si="11"/>
        <v/>
      </c>
      <c r="L189">
        <f>IF(A189="",999,IFERROR(MATCH(B189,Config!$A$4:$A$7,0),99)*10+IF(ISNUMBER(F189),1,IF(F189="",2,IF(UPPER(F189)="DNF",3,IF(UPPER(F189)="DNS",4,8)))))</f>
        <v>999</v>
      </c>
    </row>
    <row r="190" spans="2:12" x14ac:dyDescent="0.25">
      <c r="B190" t="str">
        <f>IF(A190="","",IFERROR(INDEX(tblReg[Field],MATCH(A190,tblReg[Bib],0)),""))</f>
        <v/>
      </c>
      <c r="C190" t="str">
        <f>IF(A190="","",IFERROR(INDEX(tblReg[FirstName],MATCH(A190,tblReg[Bib],0)),""))</f>
        <v/>
      </c>
      <c r="D190" t="str">
        <f>IF(A190="","",IFERROR(INDEX(tblReg[LastName],MATCH(A190,tblReg[Bib],0)),""))</f>
        <v/>
      </c>
      <c r="E190" t="str">
        <f>IF(A190="","",IFERROR(INDEX(tblReg[Team],MATCH(A190,tblReg[Bib],0)),""))</f>
        <v/>
      </c>
      <c r="F190" s="4" t="s">
        <v>103</v>
      </c>
      <c r="G190" t="str">
        <f t="shared" si="8"/>
        <v/>
      </c>
      <c r="H190" t="str">
        <f t="shared" si="9"/>
        <v/>
      </c>
      <c r="I190">
        <f>IF(H190="",0,IFERROR(INDEX(Config!$J$4:$J$6,MATCH(H190,Config!$H$4:$H$6,0)),0))</f>
        <v>0</v>
      </c>
      <c r="J190" t="str">
        <f t="shared" si="10"/>
        <v/>
      </c>
      <c r="K190" s="5" t="str">
        <f t="shared" si="11"/>
        <v/>
      </c>
      <c r="L190">
        <f>IF(A190="",999,IFERROR(MATCH(B190,Config!$A$4:$A$7,0),99)*10+IF(ISNUMBER(F190),1,IF(F190="",2,IF(UPPER(F190)="DNF",3,IF(UPPER(F190)="DNS",4,8)))))</f>
        <v>999</v>
      </c>
    </row>
    <row r="191" spans="2:12" x14ac:dyDescent="0.25">
      <c r="B191" t="str">
        <f>IF(A191="","",IFERROR(INDEX(tblReg[Field],MATCH(A191,tblReg[Bib],0)),""))</f>
        <v/>
      </c>
      <c r="C191" t="str">
        <f>IF(A191="","",IFERROR(INDEX(tblReg[FirstName],MATCH(A191,tblReg[Bib],0)),""))</f>
        <v/>
      </c>
      <c r="D191" t="str">
        <f>IF(A191="","",IFERROR(INDEX(tblReg[LastName],MATCH(A191,tblReg[Bib],0)),""))</f>
        <v/>
      </c>
      <c r="E191" t="str">
        <f>IF(A191="","",IFERROR(INDEX(tblReg[Team],MATCH(A191,tblReg[Bib],0)),""))</f>
        <v/>
      </c>
      <c r="F191" s="4" t="s">
        <v>103</v>
      </c>
      <c r="G191" t="str">
        <f t="shared" si="8"/>
        <v/>
      </c>
      <c r="H191" t="str">
        <f t="shared" si="9"/>
        <v/>
      </c>
      <c r="I191">
        <f>IF(H191="",0,IFERROR(INDEX(Config!$J$4:$J$6,MATCH(H191,Config!$H$4:$H$6,0)),0))</f>
        <v>0</v>
      </c>
      <c r="J191" t="str">
        <f t="shared" si="10"/>
        <v/>
      </c>
      <c r="K191" s="5" t="str">
        <f t="shared" si="11"/>
        <v/>
      </c>
      <c r="L191">
        <f>IF(A191="",999,IFERROR(MATCH(B191,Config!$A$4:$A$7,0),99)*10+IF(ISNUMBER(F191),1,IF(F191="",2,IF(UPPER(F191)="DNF",3,IF(UPPER(F191)="DNS",4,8)))))</f>
        <v>999</v>
      </c>
    </row>
    <row r="192" spans="2:12" x14ac:dyDescent="0.25">
      <c r="B192" t="str">
        <f>IF(A192="","",IFERROR(INDEX(tblReg[Field],MATCH(A192,tblReg[Bib],0)),""))</f>
        <v/>
      </c>
      <c r="C192" t="str">
        <f>IF(A192="","",IFERROR(INDEX(tblReg[FirstName],MATCH(A192,tblReg[Bib],0)),""))</f>
        <v/>
      </c>
      <c r="D192" t="str">
        <f>IF(A192="","",IFERROR(INDEX(tblReg[LastName],MATCH(A192,tblReg[Bib],0)),""))</f>
        <v/>
      </c>
      <c r="E192" t="str">
        <f>IF(A192="","",IFERROR(INDEX(tblReg[Team],MATCH(A192,tblReg[Bib],0)),""))</f>
        <v/>
      </c>
      <c r="F192" s="4" t="s">
        <v>103</v>
      </c>
      <c r="G192" t="str">
        <f t="shared" si="8"/>
        <v/>
      </c>
      <c r="H192" t="str">
        <f t="shared" si="9"/>
        <v/>
      </c>
      <c r="I192">
        <f>IF(H192="",0,IFERROR(INDEX(Config!$J$4:$J$6,MATCH(H192,Config!$H$4:$H$6,0)),0))</f>
        <v>0</v>
      </c>
      <c r="J192" t="str">
        <f t="shared" si="10"/>
        <v/>
      </c>
      <c r="K192" s="5" t="str">
        <f t="shared" si="11"/>
        <v/>
      </c>
      <c r="L192">
        <f>IF(A192="",999,IFERROR(MATCH(B192,Config!$A$4:$A$7,0),99)*10+IF(ISNUMBER(F192),1,IF(F192="",2,IF(UPPER(F192)="DNF",3,IF(UPPER(F192)="DNS",4,8)))))</f>
        <v>999</v>
      </c>
    </row>
    <row r="193" spans="2:12" x14ac:dyDescent="0.25">
      <c r="B193" t="str">
        <f>IF(A193="","",IFERROR(INDEX(tblReg[Field],MATCH(A193,tblReg[Bib],0)),""))</f>
        <v/>
      </c>
      <c r="C193" t="str">
        <f>IF(A193="","",IFERROR(INDEX(tblReg[FirstName],MATCH(A193,tblReg[Bib],0)),""))</f>
        <v/>
      </c>
      <c r="D193" t="str">
        <f>IF(A193="","",IFERROR(INDEX(tblReg[LastName],MATCH(A193,tblReg[Bib],0)),""))</f>
        <v/>
      </c>
      <c r="E193" t="str">
        <f>IF(A193="","",IFERROR(INDEX(tblReg[Team],MATCH(A193,tblReg[Bib],0)),""))</f>
        <v/>
      </c>
      <c r="F193" s="4" t="s">
        <v>103</v>
      </c>
      <c r="G193" t="str">
        <f t="shared" si="8"/>
        <v/>
      </c>
      <c r="H193" t="str">
        <f t="shared" si="9"/>
        <v/>
      </c>
      <c r="I193">
        <f>IF(H193="",0,IFERROR(INDEX(Config!$J$4:$J$6,MATCH(H193,Config!$H$4:$H$6,0)),0))</f>
        <v>0</v>
      </c>
      <c r="J193" t="str">
        <f t="shared" si="10"/>
        <v/>
      </c>
      <c r="K193" s="5" t="str">
        <f t="shared" si="11"/>
        <v/>
      </c>
      <c r="L193">
        <f>IF(A193="",999,IFERROR(MATCH(B193,Config!$A$4:$A$7,0),99)*10+IF(ISNUMBER(F193),1,IF(F193="",2,IF(UPPER(F193)="DNF",3,IF(UPPER(F193)="DNS",4,8)))))</f>
        <v>999</v>
      </c>
    </row>
    <row r="194" spans="2:12" x14ac:dyDescent="0.25">
      <c r="B194" t="str">
        <f>IF(A194="","",IFERROR(INDEX(tblReg[Field],MATCH(A194,tblReg[Bib],0)),""))</f>
        <v/>
      </c>
      <c r="C194" t="str">
        <f>IF(A194="","",IFERROR(INDEX(tblReg[FirstName],MATCH(A194,tblReg[Bib],0)),""))</f>
        <v/>
      </c>
      <c r="D194" t="str">
        <f>IF(A194="","",IFERROR(INDEX(tblReg[LastName],MATCH(A194,tblReg[Bib],0)),""))</f>
        <v/>
      </c>
      <c r="E194" t="str">
        <f>IF(A194="","",IFERROR(INDEX(tblReg[Team],MATCH(A194,tblReg[Bib],0)),""))</f>
        <v/>
      </c>
      <c r="F194" s="4" t="s">
        <v>103</v>
      </c>
      <c r="G194" t="str">
        <f t="shared" ref="G194:G251" si="12">IF(OR(F194="",UPPER(F194)="DNF",UPPER(F194)="DNS"),"",HOUR(F194)*3600 + MINUTE(F194)*60 + SECOND(F194))</f>
        <v/>
      </c>
      <c r="H194" t="str">
        <f t="shared" ref="H194:H251" si="13">IF(OR(A194="",B194=""),"",IF(ISNUMBER(G194),1+COUNTIFS($B$2:$B$251,B194,$G$2:$G$251,"&lt;"&amp;G194),IF(F194="",COUNTIFS($B$2:$B$251,B194,$G$2:$G$251,"&gt;=0")+COUNTIFS($B$2:$B$251,B194,$F$2:$F$251,"",$A$2:$A$251,"&lt;"&amp;A194)+1,"")))</f>
        <v/>
      </c>
      <c r="I194">
        <f>IF(H194="",0,IFERROR(INDEX(Config!$J$4:$J$6,MATCH(H194,Config!$H$4:$H$6,0)),0))</f>
        <v>0</v>
      </c>
      <c r="J194" t="str">
        <f t="shared" ref="J194:J251" si="14">IF(G194="","",G194-I194)</f>
        <v/>
      </c>
      <c r="K194" s="5" t="str">
        <f t="shared" ref="K194:K251" si="15">IF(J194="","",J194/86400)</f>
        <v/>
      </c>
      <c r="L194">
        <f>IF(A194="",999,IFERROR(MATCH(B194,Config!$A$4:$A$7,0),99)*10+IF(ISNUMBER(F194),1,IF(F194="",2,IF(UPPER(F194)="DNF",3,IF(UPPER(F194)="DNS",4,8)))))</f>
        <v>999</v>
      </c>
    </row>
    <row r="195" spans="2:12" x14ac:dyDescent="0.25">
      <c r="B195" t="str">
        <f>IF(A195="","",IFERROR(INDEX(tblReg[Field],MATCH(A195,tblReg[Bib],0)),""))</f>
        <v/>
      </c>
      <c r="C195" t="str">
        <f>IF(A195="","",IFERROR(INDEX(tblReg[FirstName],MATCH(A195,tblReg[Bib],0)),""))</f>
        <v/>
      </c>
      <c r="D195" t="str">
        <f>IF(A195="","",IFERROR(INDEX(tblReg[LastName],MATCH(A195,tblReg[Bib],0)),""))</f>
        <v/>
      </c>
      <c r="E195" t="str">
        <f>IF(A195="","",IFERROR(INDEX(tblReg[Team],MATCH(A195,tblReg[Bib],0)),""))</f>
        <v/>
      </c>
      <c r="F195" s="4" t="s">
        <v>103</v>
      </c>
      <c r="G195" t="str">
        <f t="shared" si="12"/>
        <v/>
      </c>
      <c r="H195" t="str">
        <f t="shared" si="13"/>
        <v/>
      </c>
      <c r="I195">
        <f>IF(H195="",0,IFERROR(INDEX(Config!$J$4:$J$6,MATCH(H195,Config!$H$4:$H$6,0)),0))</f>
        <v>0</v>
      </c>
      <c r="J195" t="str">
        <f t="shared" si="14"/>
        <v/>
      </c>
      <c r="K195" s="5" t="str">
        <f t="shared" si="15"/>
        <v/>
      </c>
      <c r="L195">
        <f>IF(A195="",999,IFERROR(MATCH(B195,Config!$A$4:$A$7,0),99)*10+IF(ISNUMBER(F195),1,IF(F195="",2,IF(UPPER(F195)="DNF",3,IF(UPPER(F195)="DNS",4,8)))))</f>
        <v>999</v>
      </c>
    </row>
    <row r="196" spans="2:12" x14ac:dyDescent="0.25">
      <c r="B196" t="str">
        <f>IF(A196="","",IFERROR(INDEX(tblReg[Field],MATCH(A196,tblReg[Bib],0)),""))</f>
        <v/>
      </c>
      <c r="C196" t="str">
        <f>IF(A196="","",IFERROR(INDEX(tblReg[FirstName],MATCH(A196,tblReg[Bib],0)),""))</f>
        <v/>
      </c>
      <c r="D196" t="str">
        <f>IF(A196="","",IFERROR(INDEX(tblReg[LastName],MATCH(A196,tblReg[Bib],0)),""))</f>
        <v/>
      </c>
      <c r="E196" t="str">
        <f>IF(A196="","",IFERROR(INDEX(tblReg[Team],MATCH(A196,tblReg[Bib],0)),""))</f>
        <v/>
      </c>
      <c r="F196" s="4" t="s">
        <v>103</v>
      </c>
      <c r="G196" t="str">
        <f t="shared" si="12"/>
        <v/>
      </c>
      <c r="H196" t="str">
        <f t="shared" si="13"/>
        <v/>
      </c>
      <c r="I196">
        <f>IF(H196="",0,IFERROR(INDEX(Config!$J$4:$J$6,MATCH(H196,Config!$H$4:$H$6,0)),0))</f>
        <v>0</v>
      </c>
      <c r="J196" t="str">
        <f t="shared" si="14"/>
        <v/>
      </c>
      <c r="K196" s="5" t="str">
        <f t="shared" si="15"/>
        <v/>
      </c>
      <c r="L196">
        <f>IF(A196="",999,IFERROR(MATCH(B196,Config!$A$4:$A$7,0),99)*10+IF(ISNUMBER(F196),1,IF(F196="",2,IF(UPPER(F196)="DNF",3,IF(UPPER(F196)="DNS",4,8)))))</f>
        <v>999</v>
      </c>
    </row>
    <row r="197" spans="2:12" x14ac:dyDescent="0.25">
      <c r="B197" t="str">
        <f>IF(A197="","",IFERROR(INDEX(tblReg[Field],MATCH(A197,tblReg[Bib],0)),""))</f>
        <v/>
      </c>
      <c r="C197" t="str">
        <f>IF(A197="","",IFERROR(INDEX(tblReg[FirstName],MATCH(A197,tblReg[Bib],0)),""))</f>
        <v/>
      </c>
      <c r="D197" t="str">
        <f>IF(A197="","",IFERROR(INDEX(tblReg[LastName],MATCH(A197,tblReg[Bib],0)),""))</f>
        <v/>
      </c>
      <c r="E197" t="str">
        <f>IF(A197="","",IFERROR(INDEX(tblReg[Team],MATCH(A197,tblReg[Bib],0)),""))</f>
        <v/>
      </c>
      <c r="F197" s="4" t="s">
        <v>103</v>
      </c>
      <c r="G197" t="str">
        <f t="shared" si="12"/>
        <v/>
      </c>
      <c r="H197" t="str">
        <f t="shared" si="13"/>
        <v/>
      </c>
      <c r="I197">
        <f>IF(H197="",0,IFERROR(INDEX(Config!$J$4:$J$6,MATCH(H197,Config!$H$4:$H$6,0)),0))</f>
        <v>0</v>
      </c>
      <c r="J197" t="str">
        <f t="shared" si="14"/>
        <v/>
      </c>
      <c r="K197" s="5" t="str">
        <f t="shared" si="15"/>
        <v/>
      </c>
      <c r="L197">
        <f>IF(A197="",999,IFERROR(MATCH(B197,Config!$A$4:$A$7,0),99)*10+IF(ISNUMBER(F197),1,IF(F197="",2,IF(UPPER(F197)="DNF",3,IF(UPPER(F197)="DNS",4,8)))))</f>
        <v>999</v>
      </c>
    </row>
    <row r="198" spans="2:12" x14ac:dyDescent="0.25">
      <c r="B198" t="str">
        <f>IF(A198="","",IFERROR(INDEX(tblReg[Field],MATCH(A198,tblReg[Bib],0)),""))</f>
        <v/>
      </c>
      <c r="C198" t="str">
        <f>IF(A198="","",IFERROR(INDEX(tblReg[FirstName],MATCH(A198,tblReg[Bib],0)),""))</f>
        <v/>
      </c>
      <c r="D198" t="str">
        <f>IF(A198="","",IFERROR(INDEX(tblReg[LastName],MATCH(A198,tblReg[Bib],0)),""))</f>
        <v/>
      </c>
      <c r="E198" t="str">
        <f>IF(A198="","",IFERROR(INDEX(tblReg[Team],MATCH(A198,tblReg[Bib],0)),""))</f>
        <v/>
      </c>
      <c r="F198" s="4" t="s">
        <v>103</v>
      </c>
      <c r="G198" t="str">
        <f t="shared" si="12"/>
        <v/>
      </c>
      <c r="H198" t="str">
        <f t="shared" si="13"/>
        <v/>
      </c>
      <c r="I198">
        <f>IF(H198="",0,IFERROR(INDEX(Config!$J$4:$J$6,MATCH(H198,Config!$H$4:$H$6,0)),0))</f>
        <v>0</v>
      </c>
      <c r="J198" t="str">
        <f t="shared" si="14"/>
        <v/>
      </c>
      <c r="K198" s="5" t="str">
        <f t="shared" si="15"/>
        <v/>
      </c>
      <c r="L198">
        <f>IF(A198="",999,IFERROR(MATCH(B198,Config!$A$4:$A$7,0),99)*10+IF(ISNUMBER(F198),1,IF(F198="",2,IF(UPPER(F198)="DNF",3,IF(UPPER(F198)="DNS",4,8)))))</f>
        <v>999</v>
      </c>
    </row>
    <row r="199" spans="2:12" x14ac:dyDescent="0.25">
      <c r="B199" t="str">
        <f>IF(A199="","",IFERROR(INDEX(tblReg[Field],MATCH(A199,tblReg[Bib],0)),""))</f>
        <v/>
      </c>
      <c r="C199" t="str">
        <f>IF(A199="","",IFERROR(INDEX(tblReg[FirstName],MATCH(A199,tblReg[Bib],0)),""))</f>
        <v/>
      </c>
      <c r="D199" t="str">
        <f>IF(A199="","",IFERROR(INDEX(tblReg[LastName],MATCH(A199,tblReg[Bib],0)),""))</f>
        <v/>
      </c>
      <c r="E199" t="str">
        <f>IF(A199="","",IFERROR(INDEX(tblReg[Team],MATCH(A199,tblReg[Bib],0)),""))</f>
        <v/>
      </c>
      <c r="F199" s="4" t="s">
        <v>103</v>
      </c>
      <c r="G199" t="str">
        <f t="shared" si="12"/>
        <v/>
      </c>
      <c r="H199" t="str">
        <f t="shared" si="13"/>
        <v/>
      </c>
      <c r="I199">
        <f>IF(H199="",0,IFERROR(INDEX(Config!$J$4:$J$6,MATCH(H199,Config!$H$4:$H$6,0)),0))</f>
        <v>0</v>
      </c>
      <c r="J199" t="str">
        <f t="shared" si="14"/>
        <v/>
      </c>
      <c r="K199" s="5" t="str">
        <f t="shared" si="15"/>
        <v/>
      </c>
      <c r="L199">
        <f>IF(A199="",999,IFERROR(MATCH(B199,Config!$A$4:$A$7,0),99)*10+IF(ISNUMBER(F199),1,IF(F199="",2,IF(UPPER(F199)="DNF",3,IF(UPPER(F199)="DNS",4,8)))))</f>
        <v>999</v>
      </c>
    </row>
    <row r="200" spans="2:12" x14ac:dyDescent="0.25">
      <c r="B200" t="str">
        <f>IF(A200="","",IFERROR(INDEX(tblReg[Field],MATCH(A200,tblReg[Bib],0)),""))</f>
        <v/>
      </c>
      <c r="C200" t="str">
        <f>IF(A200="","",IFERROR(INDEX(tblReg[FirstName],MATCH(A200,tblReg[Bib],0)),""))</f>
        <v/>
      </c>
      <c r="D200" t="str">
        <f>IF(A200="","",IFERROR(INDEX(tblReg[LastName],MATCH(A200,tblReg[Bib],0)),""))</f>
        <v/>
      </c>
      <c r="E200" t="str">
        <f>IF(A200="","",IFERROR(INDEX(tblReg[Team],MATCH(A200,tblReg[Bib],0)),""))</f>
        <v/>
      </c>
      <c r="F200" s="4" t="s">
        <v>103</v>
      </c>
      <c r="G200" t="str">
        <f t="shared" si="12"/>
        <v/>
      </c>
      <c r="H200" t="str">
        <f t="shared" si="13"/>
        <v/>
      </c>
      <c r="I200">
        <f>IF(H200="",0,IFERROR(INDEX(Config!$J$4:$J$6,MATCH(H200,Config!$H$4:$H$6,0)),0))</f>
        <v>0</v>
      </c>
      <c r="J200" t="str">
        <f t="shared" si="14"/>
        <v/>
      </c>
      <c r="K200" s="5" t="str">
        <f t="shared" si="15"/>
        <v/>
      </c>
      <c r="L200">
        <f>IF(A200="",999,IFERROR(MATCH(B200,Config!$A$4:$A$7,0),99)*10+IF(ISNUMBER(F200),1,IF(F200="",2,IF(UPPER(F200)="DNF",3,IF(UPPER(F200)="DNS",4,8)))))</f>
        <v>999</v>
      </c>
    </row>
    <row r="201" spans="2:12" x14ac:dyDescent="0.25">
      <c r="B201" t="str">
        <f>IF(A201="","",IFERROR(INDEX(tblReg[Field],MATCH(A201,tblReg[Bib],0)),""))</f>
        <v/>
      </c>
      <c r="C201" t="str">
        <f>IF(A201="","",IFERROR(INDEX(tblReg[FirstName],MATCH(A201,tblReg[Bib],0)),""))</f>
        <v/>
      </c>
      <c r="D201" t="str">
        <f>IF(A201="","",IFERROR(INDEX(tblReg[LastName],MATCH(A201,tblReg[Bib],0)),""))</f>
        <v/>
      </c>
      <c r="E201" t="str">
        <f>IF(A201="","",IFERROR(INDEX(tblReg[Team],MATCH(A201,tblReg[Bib],0)),""))</f>
        <v/>
      </c>
      <c r="F201" s="4" t="s">
        <v>103</v>
      </c>
      <c r="G201" t="str">
        <f t="shared" si="12"/>
        <v/>
      </c>
      <c r="H201" t="str">
        <f t="shared" si="13"/>
        <v/>
      </c>
      <c r="I201">
        <f>IF(H201="",0,IFERROR(INDEX(Config!$J$4:$J$6,MATCH(H201,Config!$H$4:$H$6,0)),0))</f>
        <v>0</v>
      </c>
      <c r="J201" t="str">
        <f t="shared" si="14"/>
        <v/>
      </c>
      <c r="K201" s="5" t="str">
        <f t="shared" si="15"/>
        <v/>
      </c>
      <c r="L201">
        <f>IF(A201="",999,IFERROR(MATCH(B201,Config!$A$4:$A$7,0),99)*10+IF(ISNUMBER(F201),1,IF(F201="",2,IF(UPPER(F201)="DNF",3,IF(UPPER(F201)="DNS",4,8)))))</f>
        <v>999</v>
      </c>
    </row>
    <row r="202" spans="2:12" x14ac:dyDescent="0.25">
      <c r="B202" t="str">
        <f>IF(A202="","",IFERROR(INDEX(tblReg[Field],MATCH(A202,tblReg[Bib],0)),""))</f>
        <v/>
      </c>
      <c r="C202" t="str">
        <f>IF(A202="","",IFERROR(INDEX(tblReg[FirstName],MATCH(A202,tblReg[Bib],0)),""))</f>
        <v/>
      </c>
      <c r="D202" t="str">
        <f>IF(A202="","",IFERROR(INDEX(tblReg[LastName],MATCH(A202,tblReg[Bib],0)),""))</f>
        <v/>
      </c>
      <c r="E202" t="str">
        <f>IF(A202="","",IFERROR(INDEX(tblReg[Team],MATCH(A202,tblReg[Bib],0)),""))</f>
        <v/>
      </c>
      <c r="F202" s="4" t="s">
        <v>103</v>
      </c>
      <c r="G202" t="str">
        <f t="shared" si="12"/>
        <v/>
      </c>
      <c r="H202" t="str">
        <f t="shared" si="13"/>
        <v/>
      </c>
      <c r="I202">
        <f>IF(H202="",0,IFERROR(INDEX(Config!$J$4:$J$6,MATCH(H202,Config!$H$4:$H$6,0)),0))</f>
        <v>0</v>
      </c>
      <c r="J202" t="str">
        <f t="shared" si="14"/>
        <v/>
      </c>
      <c r="K202" s="5" t="str">
        <f t="shared" si="15"/>
        <v/>
      </c>
      <c r="L202">
        <f>IF(A202="",999,IFERROR(MATCH(B202,Config!$A$4:$A$7,0),99)*10+IF(ISNUMBER(F202),1,IF(F202="",2,IF(UPPER(F202)="DNF",3,IF(UPPER(F202)="DNS",4,8)))))</f>
        <v>999</v>
      </c>
    </row>
    <row r="203" spans="2:12" x14ac:dyDescent="0.25">
      <c r="B203" t="str">
        <f>IF(A203="","",IFERROR(INDEX(tblReg[Field],MATCH(A203,tblReg[Bib],0)),""))</f>
        <v/>
      </c>
      <c r="C203" t="str">
        <f>IF(A203="","",IFERROR(INDEX(tblReg[FirstName],MATCH(A203,tblReg[Bib],0)),""))</f>
        <v/>
      </c>
      <c r="D203" t="str">
        <f>IF(A203="","",IFERROR(INDEX(tblReg[LastName],MATCH(A203,tblReg[Bib],0)),""))</f>
        <v/>
      </c>
      <c r="E203" t="str">
        <f>IF(A203="","",IFERROR(INDEX(tblReg[Team],MATCH(A203,tblReg[Bib],0)),""))</f>
        <v/>
      </c>
      <c r="F203" s="4" t="s">
        <v>103</v>
      </c>
      <c r="G203" t="str">
        <f t="shared" si="12"/>
        <v/>
      </c>
      <c r="H203" t="str">
        <f t="shared" si="13"/>
        <v/>
      </c>
      <c r="I203">
        <f>IF(H203="",0,IFERROR(INDEX(Config!$J$4:$J$6,MATCH(H203,Config!$H$4:$H$6,0)),0))</f>
        <v>0</v>
      </c>
      <c r="J203" t="str">
        <f t="shared" si="14"/>
        <v/>
      </c>
      <c r="K203" s="5" t="str">
        <f t="shared" si="15"/>
        <v/>
      </c>
      <c r="L203">
        <f>IF(A203="",999,IFERROR(MATCH(B203,Config!$A$4:$A$7,0),99)*10+IF(ISNUMBER(F203),1,IF(F203="",2,IF(UPPER(F203)="DNF",3,IF(UPPER(F203)="DNS",4,8)))))</f>
        <v>999</v>
      </c>
    </row>
    <row r="204" spans="2:12" x14ac:dyDescent="0.25">
      <c r="B204" t="str">
        <f>IF(A204="","",IFERROR(INDEX(tblReg[Field],MATCH(A204,tblReg[Bib],0)),""))</f>
        <v/>
      </c>
      <c r="C204" t="str">
        <f>IF(A204="","",IFERROR(INDEX(tblReg[FirstName],MATCH(A204,tblReg[Bib],0)),""))</f>
        <v/>
      </c>
      <c r="D204" t="str">
        <f>IF(A204="","",IFERROR(INDEX(tblReg[LastName],MATCH(A204,tblReg[Bib],0)),""))</f>
        <v/>
      </c>
      <c r="E204" t="str">
        <f>IF(A204="","",IFERROR(INDEX(tblReg[Team],MATCH(A204,tblReg[Bib],0)),""))</f>
        <v/>
      </c>
      <c r="F204" s="4" t="s">
        <v>103</v>
      </c>
      <c r="G204" t="str">
        <f t="shared" si="12"/>
        <v/>
      </c>
      <c r="H204" t="str">
        <f t="shared" si="13"/>
        <v/>
      </c>
      <c r="I204">
        <f>IF(H204="",0,IFERROR(INDEX(Config!$J$4:$J$6,MATCH(H204,Config!$H$4:$H$6,0)),0))</f>
        <v>0</v>
      </c>
      <c r="J204" t="str">
        <f t="shared" si="14"/>
        <v/>
      </c>
      <c r="K204" s="5" t="str">
        <f t="shared" si="15"/>
        <v/>
      </c>
      <c r="L204">
        <f>IF(A204="",999,IFERROR(MATCH(B204,Config!$A$4:$A$7,0),99)*10+IF(ISNUMBER(F204),1,IF(F204="",2,IF(UPPER(F204)="DNF",3,IF(UPPER(F204)="DNS",4,8)))))</f>
        <v>999</v>
      </c>
    </row>
    <row r="205" spans="2:12" x14ac:dyDescent="0.25">
      <c r="B205" t="str">
        <f>IF(A205="","",IFERROR(INDEX(tblReg[Field],MATCH(A205,tblReg[Bib],0)),""))</f>
        <v/>
      </c>
      <c r="C205" t="str">
        <f>IF(A205="","",IFERROR(INDEX(tblReg[FirstName],MATCH(A205,tblReg[Bib],0)),""))</f>
        <v/>
      </c>
      <c r="D205" t="str">
        <f>IF(A205="","",IFERROR(INDEX(tblReg[LastName],MATCH(A205,tblReg[Bib],0)),""))</f>
        <v/>
      </c>
      <c r="E205" t="str">
        <f>IF(A205="","",IFERROR(INDEX(tblReg[Team],MATCH(A205,tblReg[Bib],0)),""))</f>
        <v/>
      </c>
      <c r="F205" s="4" t="s">
        <v>103</v>
      </c>
      <c r="G205" t="str">
        <f t="shared" si="12"/>
        <v/>
      </c>
      <c r="H205" t="str">
        <f t="shared" si="13"/>
        <v/>
      </c>
      <c r="I205">
        <f>IF(H205="",0,IFERROR(INDEX(Config!$J$4:$J$6,MATCH(H205,Config!$H$4:$H$6,0)),0))</f>
        <v>0</v>
      </c>
      <c r="J205" t="str">
        <f t="shared" si="14"/>
        <v/>
      </c>
      <c r="K205" s="5" t="str">
        <f t="shared" si="15"/>
        <v/>
      </c>
      <c r="L205">
        <f>IF(A205="",999,IFERROR(MATCH(B205,Config!$A$4:$A$7,0),99)*10+IF(ISNUMBER(F205),1,IF(F205="",2,IF(UPPER(F205)="DNF",3,IF(UPPER(F205)="DNS",4,8)))))</f>
        <v>999</v>
      </c>
    </row>
    <row r="206" spans="2:12" x14ac:dyDescent="0.25">
      <c r="B206" t="str">
        <f>IF(A206="","",IFERROR(INDEX(tblReg[Field],MATCH(A206,tblReg[Bib],0)),""))</f>
        <v/>
      </c>
      <c r="C206" t="str">
        <f>IF(A206="","",IFERROR(INDEX(tblReg[FirstName],MATCH(A206,tblReg[Bib],0)),""))</f>
        <v/>
      </c>
      <c r="D206" t="str">
        <f>IF(A206="","",IFERROR(INDEX(tblReg[LastName],MATCH(A206,tblReg[Bib],0)),""))</f>
        <v/>
      </c>
      <c r="E206" t="str">
        <f>IF(A206="","",IFERROR(INDEX(tblReg[Team],MATCH(A206,tblReg[Bib],0)),""))</f>
        <v/>
      </c>
      <c r="F206" s="4" t="s">
        <v>103</v>
      </c>
      <c r="G206" t="str">
        <f t="shared" si="12"/>
        <v/>
      </c>
      <c r="H206" t="str">
        <f t="shared" si="13"/>
        <v/>
      </c>
      <c r="I206">
        <f>IF(H206="",0,IFERROR(INDEX(Config!$J$4:$J$6,MATCH(H206,Config!$H$4:$H$6,0)),0))</f>
        <v>0</v>
      </c>
      <c r="J206" t="str">
        <f t="shared" si="14"/>
        <v/>
      </c>
      <c r="K206" s="5" t="str">
        <f t="shared" si="15"/>
        <v/>
      </c>
      <c r="L206">
        <f>IF(A206="",999,IFERROR(MATCH(B206,Config!$A$4:$A$7,0),99)*10+IF(ISNUMBER(F206),1,IF(F206="",2,IF(UPPER(F206)="DNF",3,IF(UPPER(F206)="DNS",4,8)))))</f>
        <v>999</v>
      </c>
    </row>
    <row r="207" spans="2:12" x14ac:dyDescent="0.25">
      <c r="B207" t="str">
        <f>IF(A207="","",IFERROR(INDEX(tblReg[Field],MATCH(A207,tblReg[Bib],0)),""))</f>
        <v/>
      </c>
      <c r="C207" t="str">
        <f>IF(A207="","",IFERROR(INDEX(tblReg[FirstName],MATCH(A207,tblReg[Bib],0)),""))</f>
        <v/>
      </c>
      <c r="D207" t="str">
        <f>IF(A207="","",IFERROR(INDEX(tblReg[LastName],MATCH(A207,tblReg[Bib],0)),""))</f>
        <v/>
      </c>
      <c r="E207" t="str">
        <f>IF(A207="","",IFERROR(INDEX(tblReg[Team],MATCH(A207,tblReg[Bib],0)),""))</f>
        <v/>
      </c>
      <c r="F207" s="4" t="s">
        <v>103</v>
      </c>
      <c r="G207" t="str">
        <f t="shared" si="12"/>
        <v/>
      </c>
      <c r="H207" t="str">
        <f t="shared" si="13"/>
        <v/>
      </c>
      <c r="I207">
        <f>IF(H207="",0,IFERROR(INDEX(Config!$J$4:$J$6,MATCH(H207,Config!$H$4:$H$6,0)),0))</f>
        <v>0</v>
      </c>
      <c r="J207" t="str">
        <f t="shared" si="14"/>
        <v/>
      </c>
      <c r="K207" s="5" t="str">
        <f t="shared" si="15"/>
        <v/>
      </c>
      <c r="L207">
        <f>IF(A207="",999,IFERROR(MATCH(B207,Config!$A$4:$A$7,0),99)*10+IF(ISNUMBER(F207),1,IF(F207="",2,IF(UPPER(F207)="DNF",3,IF(UPPER(F207)="DNS",4,8)))))</f>
        <v>999</v>
      </c>
    </row>
    <row r="208" spans="2:12" x14ac:dyDescent="0.25">
      <c r="B208" t="str">
        <f>IF(A208="","",IFERROR(INDEX(tblReg[Field],MATCH(A208,tblReg[Bib],0)),""))</f>
        <v/>
      </c>
      <c r="C208" t="str">
        <f>IF(A208="","",IFERROR(INDEX(tblReg[FirstName],MATCH(A208,tblReg[Bib],0)),""))</f>
        <v/>
      </c>
      <c r="D208" t="str">
        <f>IF(A208="","",IFERROR(INDEX(tblReg[LastName],MATCH(A208,tblReg[Bib],0)),""))</f>
        <v/>
      </c>
      <c r="E208" t="str">
        <f>IF(A208="","",IFERROR(INDEX(tblReg[Team],MATCH(A208,tblReg[Bib],0)),""))</f>
        <v/>
      </c>
      <c r="F208" s="4" t="s">
        <v>103</v>
      </c>
      <c r="G208" t="str">
        <f t="shared" si="12"/>
        <v/>
      </c>
      <c r="H208" t="str">
        <f t="shared" si="13"/>
        <v/>
      </c>
      <c r="I208">
        <f>IF(H208="",0,IFERROR(INDEX(Config!$J$4:$J$6,MATCH(H208,Config!$H$4:$H$6,0)),0))</f>
        <v>0</v>
      </c>
      <c r="J208" t="str">
        <f t="shared" si="14"/>
        <v/>
      </c>
      <c r="K208" s="5" t="str">
        <f t="shared" si="15"/>
        <v/>
      </c>
      <c r="L208">
        <f>IF(A208="",999,IFERROR(MATCH(B208,Config!$A$4:$A$7,0),99)*10+IF(ISNUMBER(F208),1,IF(F208="",2,IF(UPPER(F208)="DNF",3,IF(UPPER(F208)="DNS",4,8)))))</f>
        <v>999</v>
      </c>
    </row>
    <row r="209" spans="2:12" x14ac:dyDescent="0.25">
      <c r="B209" t="str">
        <f>IF(A209="","",IFERROR(INDEX(tblReg[Field],MATCH(A209,tblReg[Bib],0)),""))</f>
        <v/>
      </c>
      <c r="C209" t="str">
        <f>IF(A209="","",IFERROR(INDEX(tblReg[FirstName],MATCH(A209,tblReg[Bib],0)),""))</f>
        <v/>
      </c>
      <c r="D209" t="str">
        <f>IF(A209="","",IFERROR(INDEX(tblReg[LastName],MATCH(A209,tblReg[Bib],0)),""))</f>
        <v/>
      </c>
      <c r="E209" t="str">
        <f>IF(A209="","",IFERROR(INDEX(tblReg[Team],MATCH(A209,tblReg[Bib],0)),""))</f>
        <v/>
      </c>
      <c r="F209" s="4" t="s">
        <v>103</v>
      </c>
      <c r="G209" t="str">
        <f t="shared" si="12"/>
        <v/>
      </c>
      <c r="H209" t="str">
        <f t="shared" si="13"/>
        <v/>
      </c>
      <c r="I209">
        <f>IF(H209="",0,IFERROR(INDEX(Config!$J$4:$J$6,MATCH(H209,Config!$H$4:$H$6,0)),0))</f>
        <v>0</v>
      </c>
      <c r="J209" t="str">
        <f t="shared" si="14"/>
        <v/>
      </c>
      <c r="K209" s="5" t="str">
        <f t="shared" si="15"/>
        <v/>
      </c>
      <c r="L209">
        <f>IF(A209="",999,IFERROR(MATCH(B209,Config!$A$4:$A$7,0),99)*10+IF(ISNUMBER(F209),1,IF(F209="",2,IF(UPPER(F209)="DNF",3,IF(UPPER(F209)="DNS",4,8)))))</f>
        <v>999</v>
      </c>
    </row>
    <row r="210" spans="2:12" x14ac:dyDescent="0.25">
      <c r="B210" t="str">
        <f>IF(A210="","",IFERROR(INDEX(tblReg[Field],MATCH(A210,tblReg[Bib],0)),""))</f>
        <v/>
      </c>
      <c r="C210" t="str">
        <f>IF(A210="","",IFERROR(INDEX(tblReg[FirstName],MATCH(A210,tblReg[Bib],0)),""))</f>
        <v/>
      </c>
      <c r="D210" t="str">
        <f>IF(A210="","",IFERROR(INDEX(tblReg[LastName],MATCH(A210,tblReg[Bib],0)),""))</f>
        <v/>
      </c>
      <c r="E210" t="str">
        <f>IF(A210="","",IFERROR(INDEX(tblReg[Team],MATCH(A210,tblReg[Bib],0)),""))</f>
        <v/>
      </c>
      <c r="F210" s="4" t="s">
        <v>103</v>
      </c>
      <c r="G210" t="str">
        <f t="shared" si="12"/>
        <v/>
      </c>
      <c r="H210" t="str">
        <f t="shared" si="13"/>
        <v/>
      </c>
      <c r="I210">
        <f>IF(H210="",0,IFERROR(INDEX(Config!$J$4:$J$6,MATCH(H210,Config!$H$4:$H$6,0)),0))</f>
        <v>0</v>
      </c>
      <c r="J210" t="str">
        <f t="shared" si="14"/>
        <v/>
      </c>
      <c r="K210" s="5" t="str">
        <f t="shared" si="15"/>
        <v/>
      </c>
      <c r="L210">
        <f>IF(A210="",999,IFERROR(MATCH(B210,Config!$A$4:$A$7,0),99)*10+IF(ISNUMBER(F210),1,IF(F210="",2,IF(UPPER(F210)="DNF",3,IF(UPPER(F210)="DNS",4,8)))))</f>
        <v>999</v>
      </c>
    </row>
    <row r="211" spans="2:12" x14ac:dyDescent="0.25">
      <c r="B211" t="str">
        <f>IF(A211="","",IFERROR(INDEX(tblReg[Field],MATCH(A211,tblReg[Bib],0)),""))</f>
        <v/>
      </c>
      <c r="C211" t="str">
        <f>IF(A211="","",IFERROR(INDEX(tblReg[FirstName],MATCH(A211,tblReg[Bib],0)),""))</f>
        <v/>
      </c>
      <c r="D211" t="str">
        <f>IF(A211="","",IFERROR(INDEX(tblReg[LastName],MATCH(A211,tblReg[Bib],0)),""))</f>
        <v/>
      </c>
      <c r="E211" t="str">
        <f>IF(A211="","",IFERROR(INDEX(tblReg[Team],MATCH(A211,tblReg[Bib],0)),""))</f>
        <v/>
      </c>
      <c r="F211" s="4" t="s">
        <v>103</v>
      </c>
      <c r="G211" t="str">
        <f t="shared" si="12"/>
        <v/>
      </c>
      <c r="H211" t="str">
        <f t="shared" si="13"/>
        <v/>
      </c>
      <c r="I211">
        <f>IF(H211="",0,IFERROR(INDEX(Config!$J$4:$J$6,MATCH(H211,Config!$H$4:$H$6,0)),0))</f>
        <v>0</v>
      </c>
      <c r="J211" t="str">
        <f t="shared" si="14"/>
        <v/>
      </c>
      <c r="K211" s="5" t="str">
        <f t="shared" si="15"/>
        <v/>
      </c>
      <c r="L211">
        <f>IF(A211="",999,IFERROR(MATCH(B211,Config!$A$4:$A$7,0),99)*10+IF(ISNUMBER(F211),1,IF(F211="",2,IF(UPPER(F211)="DNF",3,IF(UPPER(F211)="DNS",4,8)))))</f>
        <v>999</v>
      </c>
    </row>
    <row r="212" spans="2:12" x14ac:dyDescent="0.25">
      <c r="B212" t="str">
        <f>IF(A212="","",IFERROR(INDEX(tblReg[Field],MATCH(A212,tblReg[Bib],0)),""))</f>
        <v/>
      </c>
      <c r="C212" t="str">
        <f>IF(A212="","",IFERROR(INDEX(tblReg[FirstName],MATCH(A212,tblReg[Bib],0)),""))</f>
        <v/>
      </c>
      <c r="D212" t="str">
        <f>IF(A212="","",IFERROR(INDEX(tblReg[LastName],MATCH(A212,tblReg[Bib],0)),""))</f>
        <v/>
      </c>
      <c r="E212" t="str">
        <f>IF(A212="","",IFERROR(INDEX(tblReg[Team],MATCH(A212,tblReg[Bib],0)),""))</f>
        <v/>
      </c>
      <c r="F212" s="4" t="s">
        <v>103</v>
      </c>
      <c r="G212" t="str">
        <f t="shared" si="12"/>
        <v/>
      </c>
      <c r="H212" t="str">
        <f t="shared" si="13"/>
        <v/>
      </c>
      <c r="I212">
        <f>IF(H212="",0,IFERROR(INDEX(Config!$J$4:$J$6,MATCH(H212,Config!$H$4:$H$6,0)),0))</f>
        <v>0</v>
      </c>
      <c r="J212" t="str">
        <f t="shared" si="14"/>
        <v/>
      </c>
      <c r="K212" s="5" t="str">
        <f t="shared" si="15"/>
        <v/>
      </c>
      <c r="L212">
        <f>IF(A212="",999,IFERROR(MATCH(B212,Config!$A$4:$A$7,0),99)*10+IF(ISNUMBER(F212),1,IF(F212="",2,IF(UPPER(F212)="DNF",3,IF(UPPER(F212)="DNS",4,8)))))</f>
        <v>999</v>
      </c>
    </row>
    <row r="213" spans="2:12" x14ac:dyDescent="0.25">
      <c r="B213" t="str">
        <f>IF(A213="","",IFERROR(INDEX(tblReg[Field],MATCH(A213,tblReg[Bib],0)),""))</f>
        <v/>
      </c>
      <c r="C213" t="str">
        <f>IF(A213="","",IFERROR(INDEX(tblReg[FirstName],MATCH(A213,tblReg[Bib],0)),""))</f>
        <v/>
      </c>
      <c r="D213" t="str">
        <f>IF(A213="","",IFERROR(INDEX(tblReg[LastName],MATCH(A213,tblReg[Bib],0)),""))</f>
        <v/>
      </c>
      <c r="E213" t="str">
        <f>IF(A213="","",IFERROR(INDEX(tblReg[Team],MATCH(A213,tblReg[Bib],0)),""))</f>
        <v/>
      </c>
      <c r="F213" s="4" t="s">
        <v>103</v>
      </c>
      <c r="G213" t="str">
        <f t="shared" si="12"/>
        <v/>
      </c>
      <c r="H213" t="str">
        <f t="shared" si="13"/>
        <v/>
      </c>
      <c r="I213">
        <f>IF(H213="",0,IFERROR(INDEX(Config!$J$4:$J$6,MATCH(H213,Config!$H$4:$H$6,0)),0))</f>
        <v>0</v>
      </c>
      <c r="J213" t="str">
        <f t="shared" si="14"/>
        <v/>
      </c>
      <c r="K213" s="5" t="str">
        <f t="shared" si="15"/>
        <v/>
      </c>
      <c r="L213">
        <f>IF(A213="",999,IFERROR(MATCH(B213,Config!$A$4:$A$7,0),99)*10+IF(ISNUMBER(F213),1,IF(F213="",2,IF(UPPER(F213)="DNF",3,IF(UPPER(F213)="DNS",4,8)))))</f>
        <v>999</v>
      </c>
    </row>
    <row r="214" spans="2:12" x14ac:dyDescent="0.25">
      <c r="B214" t="str">
        <f>IF(A214="","",IFERROR(INDEX(tblReg[Field],MATCH(A214,tblReg[Bib],0)),""))</f>
        <v/>
      </c>
      <c r="C214" t="str">
        <f>IF(A214="","",IFERROR(INDEX(tblReg[FirstName],MATCH(A214,tblReg[Bib],0)),""))</f>
        <v/>
      </c>
      <c r="D214" t="str">
        <f>IF(A214="","",IFERROR(INDEX(tblReg[LastName],MATCH(A214,tblReg[Bib],0)),""))</f>
        <v/>
      </c>
      <c r="E214" t="str">
        <f>IF(A214="","",IFERROR(INDEX(tblReg[Team],MATCH(A214,tblReg[Bib],0)),""))</f>
        <v/>
      </c>
      <c r="F214" s="4" t="s">
        <v>103</v>
      </c>
      <c r="G214" t="str">
        <f t="shared" si="12"/>
        <v/>
      </c>
      <c r="H214" t="str">
        <f t="shared" si="13"/>
        <v/>
      </c>
      <c r="I214">
        <f>IF(H214="",0,IFERROR(INDEX(Config!$J$4:$J$6,MATCH(H214,Config!$H$4:$H$6,0)),0))</f>
        <v>0</v>
      </c>
      <c r="J214" t="str">
        <f t="shared" si="14"/>
        <v/>
      </c>
      <c r="K214" s="5" t="str">
        <f t="shared" si="15"/>
        <v/>
      </c>
      <c r="L214">
        <f>IF(A214="",999,IFERROR(MATCH(B214,Config!$A$4:$A$7,0),99)*10+IF(ISNUMBER(F214),1,IF(F214="",2,IF(UPPER(F214)="DNF",3,IF(UPPER(F214)="DNS",4,8)))))</f>
        <v>999</v>
      </c>
    </row>
    <row r="215" spans="2:12" x14ac:dyDescent="0.25">
      <c r="B215" t="str">
        <f>IF(A215="","",IFERROR(INDEX(tblReg[Field],MATCH(A215,tblReg[Bib],0)),""))</f>
        <v/>
      </c>
      <c r="C215" t="str">
        <f>IF(A215="","",IFERROR(INDEX(tblReg[FirstName],MATCH(A215,tblReg[Bib],0)),""))</f>
        <v/>
      </c>
      <c r="D215" t="str">
        <f>IF(A215="","",IFERROR(INDEX(tblReg[LastName],MATCH(A215,tblReg[Bib],0)),""))</f>
        <v/>
      </c>
      <c r="E215" t="str">
        <f>IF(A215="","",IFERROR(INDEX(tblReg[Team],MATCH(A215,tblReg[Bib],0)),""))</f>
        <v/>
      </c>
      <c r="F215" s="4" t="s">
        <v>103</v>
      </c>
      <c r="G215" t="str">
        <f t="shared" si="12"/>
        <v/>
      </c>
      <c r="H215" t="str">
        <f t="shared" si="13"/>
        <v/>
      </c>
      <c r="I215">
        <f>IF(H215="",0,IFERROR(INDEX(Config!$J$4:$J$6,MATCH(H215,Config!$H$4:$H$6,0)),0))</f>
        <v>0</v>
      </c>
      <c r="J215" t="str">
        <f t="shared" si="14"/>
        <v/>
      </c>
      <c r="K215" s="5" t="str">
        <f t="shared" si="15"/>
        <v/>
      </c>
      <c r="L215">
        <f>IF(A215="",999,IFERROR(MATCH(B215,Config!$A$4:$A$7,0),99)*10+IF(ISNUMBER(F215),1,IF(F215="",2,IF(UPPER(F215)="DNF",3,IF(UPPER(F215)="DNS",4,8)))))</f>
        <v>999</v>
      </c>
    </row>
    <row r="216" spans="2:12" x14ac:dyDescent="0.25">
      <c r="B216" t="str">
        <f>IF(A216="","",IFERROR(INDEX(tblReg[Field],MATCH(A216,tblReg[Bib],0)),""))</f>
        <v/>
      </c>
      <c r="C216" t="str">
        <f>IF(A216="","",IFERROR(INDEX(tblReg[FirstName],MATCH(A216,tblReg[Bib],0)),""))</f>
        <v/>
      </c>
      <c r="D216" t="str">
        <f>IF(A216="","",IFERROR(INDEX(tblReg[LastName],MATCH(A216,tblReg[Bib],0)),""))</f>
        <v/>
      </c>
      <c r="E216" t="str">
        <f>IF(A216="","",IFERROR(INDEX(tblReg[Team],MATCH(A216,tblReg[Bib],0)),""))</f>
        <v/>
      </c>
      <c r="F216" s="4" t="s">
        <v>103</v>
      </c>
      <c r="G216" t="str">
        <f t="shared" si="12"/>
        <v/>
      </c>
      <c r="H216" t="str">
        <f t="shared" si="13"/>
        <v/>
      </c>
      <c r="I216">
        <f>IF(H216="",0,IFERROR(INDEX(Config!$J$4:$J$6,MATCH(H216,Config!$H$4:$H$6,0)),0))</f>
        <v>0</v>
      </c>
      <c r="J216" t="str">
        <f t="shared" si="14"/>
        <v/>
      </c>
      <c r="K216" s="5" t="str">
        <f t="shared" si="15"/>
        <v/>
      </c>
      <c r="L216">
        <f>IF(A216="",999,IFERROR(MATCH(B216,Config!$A$4:$A$7,0),99)*10+IF(ISNUMBER(F216),1,IF(F216="",2,IF(UPPER(F216)="DNF",3,IF(UPPER(F216)="DNS",4,8)))))</f>
        <v>999</v>
      </c>
    </row>
    <row r="217" spans="2:12" x14ac:dyDescent="0.25">
      <c r="B217" t="str">
        <f>IF(A217="","",IFERROR(INDEX(tblReg[Field],MATCH(A217,tblReg[Bib],0)),""))</f>
        <v/>
      </c>
      <c r="C217" t="str">
        <f>IF(A217="","",IFERROR(INDEX(tblReg[FirstName],MATCH(A217,tblReg[Bib],0)),""))</f>
        <v/>
      </c>
      <c r="D217" t="str">
        <f>IF(A217="","",IFERROR(INDEX(tblReg[LastName],MATCH(A217,tblReg[Bib],0)),""))</f>
        <v/>
      </c>
      <c r="E217" t="str">
        <f>IF(A217="","",IFERROR(INDEX(tblReg[Team],MATCH(A217,tblReg[Bib],0)),""))</f>
        <v/>
      </c>
      <c r="F217" s="4" t="s">
        <v>103</v>
      </c>
      <c r="G217" t="str">
        <f t="shared" si="12"/>
        <v/>
      </c>
      <c r="H217" t="str">
        <f t="shared" si="13"/>
        <v/>
      </c>
      <c r="I217">
        <f>IF(H217="",0,IFERROR(INDEX(Config!$J$4:$J$6,MATCH(H217,Config!$H$4:$H$6,0)),0))</f>
        <v>0</v>
      </c>
      <c r="J217" t="str">
        <f t="shared" si="14"/>
        <v/>
      </c>
      <c r="K217" s="5" t="str">
        <f t="shared" si="15"/>
        <v/>
      </c>
      <c r="L217">
        <f>IF(A217="",999,IFERROR(MATCH(B217,Config!$A$4:$A$7,0),99)*10+IF(ISNUMBER(F217),1,IF(F217="",2,IF(UPPER(F217)="DNF",3,IF(UPPER(F217)="DNS",4,8)))))</f>
        <v>999</v>
      </c>
    </row>
    <row r="218" spans="2:12" x14ac:dyDescent="0.25">
      <c r="B218" t="str">
        <f>IF(A218="","",IFERROR(INDEX(tblReg[Field],MATCH(A218,tblReg[Bib],0)),""))</f>
        <v/>
      </c>
      <c r="C218" t="str">
        <f>IF(A218="","",IFERROR(INDEX(tblReg[FirstName],MATCH(A218,tblReg[Bib],0)),""))</f>
        <v/>
      </c>
      <c r="D218" t="str">
        <f>IF(A218="","",IFERROR(INDEX(tblReg[LastName],MATCH(A218,tblReg[Bib],0)),""))</f>
        <v/>
      </c>
      <c r="E218" t="str">
        <f>IF(A218="","",IFERROR(INDEX(tblReg[Team],MATCH(A218,tblReg[Bib],0)),""))</f>
        <v/>
      </c>
      <c r="F218" s="4" t="s">
        <v>103</v>
      </c>
      <c r="G218" t="str">
        <f t="shared" si="12"/>
        <v/>
      </c>
      <c r="H218" t="str">
        <f t="shared" si="13"/>
        <v/>
      </c>
      <c r="I218">
        <f>IF(H218="",0,IFERROR(INDEX(Config!$J$4:$J$6,MATCH(H218,Config!$H$4:$H$6,0)),0))</f>
        <v>0</v>
      </c>
      <c r="J218" t="str">
        <f t="shared" si="14"/>
        <v/>
      </c>
      <c r="K218" s="5" t="str">
        <f t="shared" si="15"/>
        <v/>
      </c>
      <c r="L218">
        <f>IF(A218="",999,IFERROR(MATCH(B218,Config!$A$4:$A$7,0),99)*10+IF(ISNUMBER(F218),1,IF(F218="",2,IF(UPPER(F218)="DNF",3,IF(UPPER(F218)="DNS",4,8)))))</f>
        <v>999</v>
      </c>
    </row>
    <row r="219" spans="2:12" x14ac:dyDescent="0.25">
      <c r="B219" t="str">
        <f>IF(A219="","",IFERROR(INDEX(tblReg[Field],MATCH(A219,tblReg[Bib],0)),""))</f>
        <v/>
      </c>
      <c r="C219" t="str">
        <f>IF(A219="","",IFERROR(INDEX(tblReg[FirstName],MATCH(A219,tblReg[Bib],0)),""))</f>
        <v/>
      </c>
      <c r="D219" t="str">
        <f>IF(A219="","",IFERROR(INDEX(tblReg[LastName],MATCH(A219,tblReg[Bib],0)),""))</f>
        <v/>
      </c>
      <c r="E219" t="str">
        <f>IF(A219="","",IFERROR(INDEX(tblReg[Team],MATCH(A219,tblReg[Bib],0)),""))</f>
        <v/>
      </c>
      <c r="F219" s="4" t="s">
        <v>103</v>
      </c>
      <c r="G219" t="str">
        <f t="shared" si="12"/>
        <v/>
      </c>
      <c r="H219" t="str">
        <f t="shared" si="13"/>
        <v/>
      </c>
      <c r="I219">
        <f>IF(H219="",0,IFERROR(INDEX(Config!$J$4:$J$6,MATCH(H219,Config!$H$4:$H$6,0)),0))</f>
        <v>0</v>
      </c>
      <c r="J219" t="str">
        <f t="shared" si="14"/>
        <v/>
      </c>
      <c r="K219" s="5" t="str">
        <f t="shared" si="15"/>
        <v/>
      </c>
      <c r="L219">
        <f>IF(A219="",999,IFERROR(MATCH(B219,Config!$A$4:$A$7,0),99)*10+IF(ISNUMBER(F219),1,IF(F219="",2,IF(UPPER(F219)="DNF",3,IF(UPPER(F219)="DNS",4,8)))))</f>
        <v>999</v>
      </c>
    </row>
    <row r="220" spans="2:12" x14ac:dyDescent="0.25">
      <c r="B220" t="str">
        <f>IF(A220="","",IFERROR(INDEX(tblReg[Field],MATCH(A220,tblReg[Bib],0)),""))</f>
        <v/>
      </c>
      <c r="C220" t="str">
        <f>IF(A220="","",IFERROR(INDEX(tblReg[FirstName],MATCH(A220,tblReg[Bib],0)),""))</f>
        <v/>
      </c>
      <c r="D220" t="str">
        <f>IF(A220="","",IFERROR(INDEX(tblReg[LastName],MATCH(A220,tblReg[Bib],0)),""))</f>
        <v/>
      </c>
      <c r="E220" t="str">
        <f>IF(A220="","",IFERROR(INDEX(tblReg[Team],MATCH(A220,tblReg[Bib],0)),""))</f>
        <v/>
      </c>
      <c r="F220" s="4" t="s">
        <v>103</v>
      </c>
      <c r="G220" t="str">
        <f t="shared" si="12"/>
        <v/>
      </c>
      <c r="H220" t="str">
        <f t="shared" si="13"/>
        <v/>
      </c>
      <c r="I220">
        <f>IF(H220="",0,IFERROR(INDEX(Config!$J$4:$J$6,MATCH(H220,Config!$H$4:$H$6,0)),0))</f>
        <v>0</v>
      </c>
      <c r="J220" t="str">
        <f t="shared" si="14"/>
        <v/>
      </c>
      <c r="K220" s="5" t="str">
        <f t="shared" si="15"/>
        <v/>
      </c>
      <c r="L220">
        <f>IF(A220="",999,IFERROR(MATCH(B220,Config!$A$4:$A$7,0),99)*10+IF(ISNUMBER(F220),1,IF(F220="",2,IF(UPPER(F220)="DNF",3,IF(UPPER(F220)="DNS",4,8)))))</f>
        <v>999</v>
      </c>
    </row>
    <row r="221" spans="2:12" x14ac:dyDescent="0.25">
      <c r="B221" t="str">
        <f>IF(A221="","",IFERROR(INDEX(tblReg[Field],MATCH(A221,tblReg[Bib],0)),""))</f>
        <v/>
      </c>
      <c r="C221" t="str">
        <f>IF(A221="","",IFERROR(INDEX(tblReg[FirstName],MATCH(A221,tblReg[Bib],0)),""))</f>
        <v/>
      </c>
      <c r="D221" t="str">
        <f>IF(A221="","",IFERROR(INDEX(tblReg[LastName],MATCH(A221,tblReg[Bib],0)),""))</f>
        <v/>
      </c>
      <c r="E221" t="str">
        <f>IF(A221="","",IFERROR(INDEX(tblReg[Team],MATCH(A221,tblReg[Bib],0)),""))</f>
        <v/>
      </c>
      <c r="F221" s="4" t="s">
        <v>103</v>
      </c>
      <c r="G221" t="str">
        <f t="shared" si="12"/>
        <v/>
      </c>
      <c r="H221" t="str">
        <f t="shared" si="13"/>
        <v/>
      </c>
      <c r="I221">
        <f>IF(H221="",0,IFERROR(INDEX(Config!$J$4:$J$6,MATCH(H221,Config!$H$4:$H$6,0)),0))</f>
        <v>0</v>
      </c>
      <c r="J221" t="str">
        <f t="shared" si="14"/>
        <v/>
      </c>
      <c r="K221" s="5" t="str">
        <f t="shared" si="15"/>
        <v/>
      </c>
      <c r="L221">
        <f>IF(A221="",999,IFERROR(MATCH(B221,Config!$A$4:$A$7,0),99)*10+IF(ISNUMBER(F221),1,IF(F221="",2,IF(UPPER(F221)="DNF",3,IF(UPPER(F221)="DNS",4,8)))))</f>
        <v>999</v>
      </c>
    </row>
    <row r="222" spans="2:12" x14ac:dyDescent="0.25">
      <c r="B222" t="str">
        <f>IF(A222="","",IFERROR(INDEX(tblReg[Field],MATCH(A222,tblReg[Bib],0)),""))</f>
        <v/>
      </c>
      <c r="C222" t="str">
        <f>IF(A222="","",IFERROR(INDEX(tblReg[FirstName],MATCH(A222,tblReg[Bib],0)),""))</f>
        <v/>
      </c>
      <c r="D222" t="str">
        <f>IF(A222="","",IFERROR(INDEX(tblReg[LastName],MATCH(A222,tblReg[Bib],0)),""))</f>
        <v/>
      </c>
      <c r="E222" t="str">
        <f>IF(A222="","",IFERROR(INDEX(tblReg[Team],MATCH(A222,tblReg[Bib],0)),""))</f>
        <v/>
      </c>
      <c r="F222" s="4" t="s">
        <v>103</v>
      </c>
      <c r="G222" t="str">
        <f t="shared" si="12"/>
        <v/>
      </c>
      <c r="H222" t="str">
        <f t="shared" si="13"/>
        <v/>
      </c>
      <c r="I222">
        <f>IF(H222="",0,IFERROR(INDEX(Config!$J$4:$J$6,MATCH(H222,Config!$H$4:$H$6,0)),0))</f>
        <v>0</v>
      </c>
      <c r="J222" t="str">
        <f t="shared" si="14"/>
        <v/>
      </c>
      <c r="K222" s="5" t="str">
        <f t="shared" si="15"/>
        <v/>
      </c>
      <c r="L222">
        <f>IF(A222="",999,IFERROR(MATCH(B222,Config!$A$4:$A$7,0),99)*10+IF(ISNUMBER(F222),1,IF(F222="",2,IF(UPPER(F222)="DNF",3,IF(UPPER(F222)="DNS",4,8)))))</f>
        <v>999</v>
      </c>
    </row>
    <row r="223" spans="2:12" x14ac:dyDescent="0.25">
      <c r="B223" t="str">
        <f>IF(A223="","",IFERROR(INDEX(tblReg[Field],MATCH(A223,tblReg[Bib],0)),""))</f>
        <v/>
      </c>
      <c r="C223" t="str">
        <f>IF(A223="","",IFERROR(INDEX(tblReg[FirstName],MATCH(A223,tblReg[Bib],0)),""))</f>
        <v/>
      </c>
      <c r="D223" t="str">
        <f>IF(A223="","",IFERROR(INDEX(tblReg[LastName],MATCH(A223,tblReg[Bib],0)),""))</f>
        <v/>
      </c>
      <c r="E223" t="str">
        <f>IF(A223="","",IFERROR(INDEX(tblReg[Team],MATCH(A223,tblReg[Bib],0)),""))</f>
        <v/>
      </c>
      <c r="F223" s="4" t="s">
        <v>103</v>
      </c>
      <c r="G223" t="str">
        <f t="shared" si="12"/>
        <v/>
      </c>
      <c r="H223" t="str">
        <f t="shared" si="13"/>
        <v/>
      </c>
      <c r="I223">
        <f>IF(H223="",0,IFERROR(INDEX(Config!$J$4:$J$6,MATCH(H223,Config!$H$4:$H$6,0)),0))</f>
        <v>0</v>
      </c>
      <c r="J223" t="str">
        <f t="shared" si="14"/>
        <v/>
      </c>
      <c r="K223" s="5" t="str">
        <f t="shared" si="15"/>
        <v/>
      </c>
      <c r="L223">
        <f>IF(A223="",999,IFERROR(MATCH(B223,Config!$A$4:$A$7,0),99)*10+IF(ISNUMBER(F223),1,IF(F223="",2,IF(UPPER(F223)="DNF",3,IF(UPPER(F223)="DNS",4,8)))))</f>
        <v>999</v>
      </c>
    </row>
    <row r="224" spans="2:12" x14ac:dyDescent="0.25">
      <c r="B224" t="str">
        <f>IF(A224="","",IFERROR(INDEX(tblReg[Field],MATCH(A224,tblReg[Bib],0)),""))</f>
        <v/>
      </c>
      <c r="C224" t="str">
        <f>IF(A224="","",IFERROR(INDEX(tblReg[FirstName],MATCH(A224,tblReg[Bib],0)),""))</f>
        <v/>
      </c>
      <c r="D224" t="str">
        <f>IF(A224="","",IFERROR(INDEX(tblReg[LastName],MATCH(A224,tblReg[Bib],0)),""))</f>
        <v/>
      </c>
      <c r="E224" t="str">
        <f>IF(A224="","",IFERROR(INDEX(tblReg[Team],MATCH(A224,tblReg[Bib],0)),""))</f>
        <v/>
      </c>
      <c r="F224" s="4" t="s">
        <v>103</v>
      </c>
      <c r="G224" t="str">
        <f t="shared" si="12"/>
        <v/>
      </c>
      <c r="H224" t="str">
        <f t="shared" si="13"/>
        <v/>
      </c>
      <c r="I224">
        <f>IF(H224="",0,IFERROR(INDEX(Config!$J$4:$J$6,MATCH(H224,Config!$H$4:$H$6,0)),0))</f>
        <v>0</v>
      </c>
      <c r="J224" t="str">
        <f t="shared" si="14"/>
        <v/>
      </c>
      <c r="K224" s="5" t="str">
        <f t="shared" si="15"/>
        <v/>
      </c>
      <c r="L224">
        <f>IF(A224="",999,IFERROR(MATCH(B224,Config!$A$4:$A$7,0),99)*10+IF(ISNUMBER(F224),1,IF(F224="",2,IF(UPPER(F224)="DNF",3,IF(UPPER(F224)="DNS",4,8)))))</f>
        <v>999</v>
      </c>
    </row>
    <row r="225" spans="2:12" x14ac:dyDescent="0.25">
      <c r="B225" t="str">
        <f>IF(A225="","",IFERROR(INDEX(tblReg[Field],MATCH(A225,tblReg[Bib],0)),""))</f>
        <v/>
      </c>
      <c r="C225" t="str">
        <f>IF(A225="","",IFERROR(INDEX(tblReg[FirstName],MATCH(A225,tblReg[Bib],0)),""))</f>
        <v/>
      </c>
      <c r="D225" t="str">
        <f>IF(A225="","",IFERROR(INDEX(tblReg[LastName],MATCH(A225,tblReg[Bib],0)),""))</f>
        <v/>
      </c>
      <c r="E225" t="str">
        <f>IF(A225="","",IFERROR(INDEX(tblReg[Team],MATCH(A225,tblReg[Bib],0)),""))</f>
        <v/>
      </c>
      <c r="F225" s="4" t="s">
        <v>103</v>
      </c>
      <c r="G225" t="str">
        <f t="shared" si="12"/>
        <v/>
      </c>
      <c r="H225" t="str">
        <f t="shared" si="13"/>
        <v/>
      </c>
      <c r="I225">
        <f>IF(H225="",0,IFERROR(INDEX(Config!$J$4:$J$6,MATCH(H225,Config!$H$4:$H$6,0)),0))</f>
        <v>0</v>
      </c>
      <c r="J225" t="str">
        <f t="shared" si="14"/>
        <v/>
      </c>
      <c r="K225" s="5" t="str">
        <f t="shared" si="15"/>
        <v/>
      </c>
      <c r="L225">
        <f>IF(A225="",999,IFERROR(MATCH(B225,Config!$A$4:$A$7,0),99)*10+IF(ISNUMBER(F225),1,IF(F225="",2,IF(UPPER(F225)="DNF",3,IF(UPPER(F225)="DNS",4,8)))))</f>
        <v>999</v>
      </c>
    </row>
    <row r="226" spans="2:12" x14ac:dyDescent="0.25">
      <c r="B226" t="str">
        <f>IF(A226="","",IFERROR(INDEX(tblReg[Field],MATCH(A226,tblReg[Bib],0)),""))</f>
        <v/>
      </c>
      <c r="C226" t="str">
        <f>IF(A226="","",IFERROR(INDEX(tblReg[FirstName],MATCH(A226,tblReg[Bib],0)),""))</f>
        <v/>
      </c>
      <c r="D226" t="str">
        <f>IF(A226="","",IFERROR(INDEX(tblReg[LastName],MATCH(A226,tblReg[Bib],0)),""))</f>
        <v/>
      </c>
      <c r="E226" t="str">
        <f>IF(A226="","",IFERROR(INDEX(tblReg[Team],MATCH(A226,tblReg[Bib],0)),""))</f>
        <v/>
      </c>
      <c r="F226" s="4" t="s">
        <v>103</v>
      </c>
      <c r="G226" t="str">
        <f t="shared" si="12"/>
        <v/>
      </c>
      <c r="H226" t="str">
        <f t="shared" si="13"/>
        <v/>
      </c>
      <c r="I226">
        <f>IF(H226="",0,IFERROR(INDEX(Config!$J$4:$J$6,MATCH(H226,Config!$H$4:$H$6,0)),0))</f>
        <v>0</v>
      </c>
      <c r="J226" t="str">
        <f t="shared" si="14"/>
        <v/>
      </c>
      <c r="K226" s="5" t="str">
        <f t="shared" si="15"/>
        <v/>
      </c>
      <c r="L226">
        <f>IF(A226="",999,IFERROR(MATCH(B226,Config!$A$4:$A$7,0),99)*10+IF(ISNUMBER(F226),1,IF(F226="",2,IF(UPPER(F226)="DNF",3,IF(UPPER(F226)="DNS",4,8)))))</f>
        <v>999</v>
      </c>
    </row>
    <row r="227" spans="2:12" x14ac:dyDescent="0.25">
      <c r="B227" t="str">
        <f>IF(A227="","",IFERROR(INDEX(tblReg[Field],MATCH(A227,tblReg[Bib],0)),""))</f>
        <v/>
      </c>
      <c r="C227" t="str">
        <f>IF(A227="","",IFERROR(INDEX(tblReg[FirstName],MATCH(A227,tblReg[Bib],0)),""))</f>
        <v/>
      </c>
      <c r="D227" t="str">
        <f>IF(A227="","",IFERROR(INDEX(tblReg[LastName],MATCH(A227,tblReg[Bib],0)),""))</f>
        <v/>
      </c>
      <c r="E227" t="str">
        <f>IF(A227="","",IFERROR(INDEX(tblReg[Team],MATCH(A227,tblReg[Bib],0)),""))</f>
        <v/>
      </c>
      <c r="F227" s="4" t="s">
        <v>103</v>
      </c>
      <c r="G227" t="str">
        <f t="shared" si="12"/>
        <v/>
      </c>
      <c r="H227" t="str">
        <f t="shared" si="13"/>
        <v/>
      </c>
      <c r="I227">
        <f>IF(H227="",0,IFERROR(INDEX(Config!$J$4:$J$6,MATCH(H227,Config!$H$4:$H$6,0)),0))</f>
        <v>0</v>
      </c>
      <c r="J227" t="str">
        <f t="shared" si="14"/>
        <v/>
      </c>
      <c r="K227" s="5" t="str">
        <f t="shared" si="15"/>
        <v/>
      </c>
      <c r="L227">
        <f>IF(A227="",999,IFERROR(MATCH(B227,Config!$A$4:$A$7,0),99)*10+IF(ISNUMBER(F227),1,IF(F227="",2,IF(UPPER(F227)="DNF",3,IF(UPPER(F227)="DNS",4,8)))))</f>
        <v>999</v>
      </c>
    </row>
    <row r="228" spans="2:12" x14ac:dyDescent="0.25">
      <c r="B228" t="str">
        <f>IF(A228="","",IFERROR(INDEX(tblReg[Field],MATCH(A228,tblReg[Bib],0)),""))</f>
        <v/>
      </c>
      <c r="C228" t="str">
        <f>IF(A228="","",IFERROR(INDEX(tblReg[FirstName],MATCH(A228,tblReg[Bib],0)),""))</f>
        <v/>
      </c>
      <c r="D228" t="str">
        <f>IF(A228="","",IFERROR(INDEX(tblReg[LastName],MATCH(A228,tblReg[Bib],0)),""))</f>
        <v/>
      </c>
      <c r="E228" t="str">
        <f>IF(A228="","",IFERROR(INDEX(tblReg[Team],MATCH(A228,tblReg[Bib],0)),""))</f>
        <v/>
      </c>
      <c r="F228" s="4" t="s">
        <v>103</v>
      </c>
      <c r="G228" t="str">
        <f t="shared" si="12"/>
        <v/>
      </c>
      <c r="H228" t="str">
        <f t="shared" si="13"/>
        <v/>
      </c>
      <c r="I228">
        <f>IF(H228="",0,IFERROR(INDEX(Config!$J$4:$J$6,MATCH(H228,Config!$H$4:$H$6,0)),0))</f>
        <v>0</v>
      </c>
      <c r="J228" t="str">
        <f t="shared" si="14"/>
        <v/>
      </c>
      <c r="K228" s="5" t="str">
        <f t="shared" si="15"/>
        <v/>
      </c>
      <c r="L228">
        <f>IF(A228="",999,IFERROR(MATCH(B228,Config!$A$4:$A$7,0),99)*10+IF(ISNUMBER(F228),1,IF(F228="",2,IF(UPPER(F228)="DNF",3,IF(UPPER(F228)="DNS",4,8)))))</f>
        <v>999</v>
      </c>
    </row>
    <row r="229" spans="2:12" x14ac:dyDescent="0.25">
      <c r="B229" t="str">
        <f>IF(A229="","",IFERROR(INDEX(tblReg[Field],MATCH(A229,tblReg[Bib],0)),""))</f>
        <v/>
      </c>
      <c r="C229" t="str">
        <f>IF(A229="","",IFERROR(INDEX(tblReg[FirstName],MATCH(A229,tblReg[Bib],0)),""))</f>
        <v/>
      </c>
      <c r="D229" t="str">
        <f>IF(A229="","",IFERROR(INDEX(tblReg[LastName],MATCH(A229,tblReg[Bib],0)),""))</f>
        <v/>
      </c>
      <c r="E229" t="str">
        <f>IF(A229="","",IFERROR(INDEX(tblReg[Team],MATCH(A229,tblReg[Bib],0)),""))</f>
        <v/>
      </c>
      <c r="F229" s="4" t="s">
        <v>103</v>
      </c>
      <c r="G229" t="str">
        <f t="shared" si="12"/>
        <v/>
      </c>
      <c r="H229" t="str">
        <f t="shared" si="13"/>
        <v/>
      </c>
      <c r="I229">
        <f>IF(H229="",0,IFERROR(INDEX(Config!$J$4:$J$6,MATCH(H229,Config!$H$4:$H$6,0)),0))</f>
        <v>0</v>
      </c>
      <c r="J229" t="str">
        <f t="shared" si="14"/>
        <v/>
      </c>
      <c r="K229" s="5" t="str">
        <f t="shared" si="15"/>
        <v/>
      </c>
      <c r="L229">
        <f>IF(A229="",999,IFERROR(MATCH(B229,Config!$A$4:$A$7,0),99)*10+IF(ISNUMBER(F229),1,IF(F229="",2,IF(UPPER(F229)="DNF",3,IF(UPPER(F229)="DNS",4,8)))))</f>
        <v>999</v>
      </c>
    </row>
    <row r="230" spans="2:12" x14ac:dyDescent="0.25">
      <c r="B230" t="str">
        <f>IF(A230="","",IFERROR(INDEX(tblReg[Field],MATCH(A230,tblReg[Bib],0)),""))</f>
        <v/>
      </c>
      <c r="C230" t="str">
        <f>IF(A230="","",IFERROR(INDEX(tblReg[FirstName],MATCH(A230,tblReg[Bib],0)),""))</f>
        <v/>
      </c>
      <c r="D230" t="str">
        <f>IF(A230="","",IFERROR(INDEX(tblReg[LastName],MATCH(A230,tblReg[Bib],0)),""))</f>
        <v/>
      </c>
      <c r="E230" t="str">
        <f>IF(A230="","",IFERROR(INDEX(tblReg[Team],MATCH(A230,tblReg[Bib],0)),""))</f>
        <v/>
      </c>
      <c r="F230" s="4" t="s">
        <v>103</v>
      </c>
      <c r="G230" t="str">
        <f t="shared" si="12"/>
        <v/>
      </c>
      <c r="H230" t="str">
        <f t="shared" si="13"/>
        <v/>
      </c>
      <c r="I230">
        <f>IF(H230="",0,IFERROR(INDEX(Config!$J$4:$J$6,MATCH(H230,Config!$H$4:$H$6,0)),0))</f>
        <v>0</v>
      </c>
      <c r="J230" t="str">
        <f t="shared" si="14"/>
        <v/>
      </c>
      <c r="K230" s="5" t="str">
        <f t="shared" si="15"/>
        <v/>
      </c>
      <c r="L230">
        <f>IF(A230="",999,IFERROR(MATCH(B230,Config!$A$4:$A$7,0),99)*10+IF(ISNUMBER(F230),1,IF(F230="",2,IF(UPPER(F230)="DNF",3,IF(UPPER(F230)="DNS",4,8)))))</f>
        <v>999</v>
      </c>
    </row>
    <row r="231" spans="2:12" x14ac:dyDescent="0.25">
      <c r="B231" t="str">
        <f>IF(A231="","",IFERROR(INDEX(tblReg[Field],MATCH(A231,tblReg[Bib],0)),""))</f>
        <v/>
      </c>
      <c r="C231" t="str">
        <f>IF(A231="","",IFERROR(INDEX(tblReg[FirstName],MATCH(A231,tblReg[Bib],0)),""))</f>
        <v/>
      </c>
      <c r="D231" t="str">
        <f>IF(A231="","",IFERROR(INDEX(tblReg[LastName],MATCH(A231,tblReg[Bib],0)),""))</f>
        <v/>
      </c>
      <c r="E231" t="str">
        <f>IF(A231="","",IFERROR(INDEX(tblReg[Team],MATCH(A231,tblReg[Bib],0)),""))</f>
        <v/>
      </c>
      <c r="F231" s="4" t="s">
        <v>103</v>
      </c>
      <c r="G231" t="str">
        <f t="shared" si="12"/>
        <v/>
      </c>
      <c r="H231" t="str">
        <f t="shared" si="13"/>
        <v/>
      </c>
      <c r="I231">
        <f>IF(H231="",0,IFERROR(INDEX(Config!$J$4:$J$6,MATCH(H231,Config!$H$4:$H$6,0)),0))</f>
        <v>0</v>
      </c>
      <c r="J231" t="str">
        <f t="shared" si="14"/>
        <v/>
      </c>
      <c r="K231" s="5" t="str">
        <f t="shared" si="15"/>
        <v/>
      </c>
      <c r="L231">
        <f>IF(A231="",999,IFERROR(MATCH(B231,Config!$A$4:$A$7,0),99)*10+IF(ISNUMBER(F231),1,IF(F231="",2,IF(UPPER(F231)="DNF",3,IF(UPPER(F231)="DNS",4,8)))))</f>
        <v>999</v>
      </c>
    </row>
    <row r="232" spans="2:12" x14ac:dyDescent="0.25">
      <c r="B232" t="str">
        <f>IF(A232="","",IFERROR(INDEX(tblReg[Field],MATCH(A232,tblReg[Bib],0)),""))</f>
        <v/>
      </c>
      <c r="C232" t="str">
        <f>IF(A232="","",IFERROR(INDEX(tblReg[FirstName],MATCH(A232,tblReg[Bib],0)),""))</f>
        <v/>
      </c>
      <c r="D232" t="str">
        <f>IF(A232="","",IFERROR(INDEX(tblReg[LastName],MATCH(A232,tblReg[Bib],0)),""))</f>
        <v/>
      </c>
      <c r="E232" t="str">
        <f>IF(A232="","",IFERROR(INDEX(tblReg[Team],MATCH(A232,tblReg[Bib],0)),""))</f>
        <v/>
      </c>
      <c r="F232" s="4" t="s">
        <v>103</v>
      </c>
      <c r="G232" t="str">
        <f t="shared" si="12"/>
        <v/>
      </c>
      <c r="H232" t="str">
        <f t="shared" si="13"/>
        <v/>
      </c>
      <c r="I232">
        <f>IF(H232="",0,IFERROR(INDEX(Config!$J$4:$J$6,MATCH(H232,Config!$H$4:$H$6,0)),0))</f>
        <v>0</v>
      </c>
      <c r="J232" t="str">
        <f t="shared" si="14"/>
        <v/>
      </c>
      <c r="K232" s="5" t="str">
        <f t="shared" si="15"/>
        <v/>
      </c>
      <c r="L232">
        <f>IF(A232="",999,IFERROR(MATCH(B232,Config!$A$4:$A$7,0),99)*10+IF(ISNUMBER(F232),1,IF(F232="",2,IF(UPPER(F232)="DNF",3,IF(UPPER(F232)="DNS",4,8)))))</f>
        <v>999</v>
      </c>
    </row>
    <row r="233" spans="2:12" x14ac:dyDescent="0.25">
      <c r="B233" t="str">
        <f>IF(A233="","",IFERROR(INDEX(tblReg[Field],MATCH(A233,tblReg[Bib],0)),""))</f>
        <v/>
      </c>
      <c r="C233" t="str">
        <f>IF(A233="","",IFERROR(INDEX(tblReg[FirstName],MATCH(A233,tblReg[Bib],0)),""))</f>
        <v/>
      </c>
      <c r="D233" t="str">
        <f>IF(A233="","",IFERROR(INDEX(tblReg[LastName],MATCH(A233,tblReg[Bib],0)),""))</f>
        <v/>
      </c>
      <c r="E233" t="str">
        <f>IF(A233="","",IFERROR(INDEX(tblReg[Team],MATCH(A233,tblReg[Bib],0)),""))</f>
        <v/>
      </c>
      <c r="F233" s="4" t="s">
        <v>103</v>
      </c>
      <c r="G233" t="str">
        <f t="shared" si="12"/>
        <v/>
      </c>
      <c r="H233" t="str">
        <f t="shared" si="13"/>
        <v/>
      </c>
      <c r="I233">
        <f>IF(H233="",0,IFERROR(INDEX(Config!$J$4:$J$6,MATCH(H233,Config!$H$4:$H$6,0)),0))</f>
        <v>0</v>
      </c>
      <c r="J233" t="str">
        <f t="shared" si="14"/>
        <v/>
      </c>
      <c r="K233" s="5" t="str">
        <f t="shared" si="15"/>
        <v/>
      </c>
      <c r="L233">
        <f>IF(A233="",999,IFERROR(MATCH(B233,Config!$A$4:$A$7,0),99)*10+IF(ISNUMBER(F233),1,IF(F233="",2,IF(UPPER(F233)="DNF",3,IF(UPPER(F233)="DNS",4,8)))))</f>
        <v>999</v>
      </c>
    </row>
    <row r="234" spans="2:12" x14ac:dyDescent="0.25">
      <c r="B234" t="str">
        <f>IF(A234="","",IFERROR(INDEX(tblReg[Field],MATCH(A234,tblReg[Bib],0)),""))</f>
        <v/>
      </c>
      <c r="C234" t="str">
        <f>IF(A234="","",IFERROR(INDEX(tblReg[FirstName],MATCH(A234,tblReg[Bib],0)),""))</f>
        <v/>
      </c>
      <c r="D234" t="str">
        <f>IF(A234="","",IFERROR(INDEX(tblReg[LastName],MATCH(A234,tblReg[Bib],0)),""))</f>
        <v/>
      </c>
      <c r="E234" t="str">
        <f>IF(A234="","",IFERROR(INDEX(tblReg[Team],MATCH(A234,tblReg[Bib],0)),""))</f>
        <v/>
      </c>
      <c r="F234" s="4" t="s">
        <v>103</v>
      </c>
      <c r="G234" t="str">
        <f t="shared" si="12"/>
        <v/>
      </c>
      <c r="H234" t="str">
        <f t="shared" si="13"/>
        <v/>
      </c>
      <c r="I234">
        <f>IF(H234="",0,IFERROR(INDEX(Config!$J$4:$J$6,MATCH(H234,Config!$H$4:$H$6,0)),0))</f>
        <v>0</v>
      </c>
      <c r="J234" t="str">
        <f t="shared" si="14"/>
        <v/>
      </c>
      <c r="K234" s="5" t="str">
        <f t="shared" si="15"/>
        <v/>
      </c>
      <c r="L234">
        <f>IF(A234="",999,IFERROR(MATCH(B234,Config!$A$4:$A$7,0),99)*10+IF(ISNUMBER(F234),1,IF(F234="",2,IF(UPPER(F234)="DNF",3,IF(UPPER(F234)="DNS",4,8)))))</f>
        <v>999</v>
      </c>
    </row>
    <row r="235" spans="2:12" x14ac:dyDescent="0.25">
      <c r="B235" t="str">
        <f>IF(A235="","",IFERROR(INDEX(tblReg[Field],MATCH(A235,tblReg[Bib],0)),""))</f>
        <v/>
      </c>
      <c r="C235" t="str">
        <f>IF(A235="","",IFERROR(INDEX(tblReg[FirstName],MATCH(A235,tblReg[Bib],0)),""))</f>
        <v/>
      </c>
      <c r="D235" t="str">
        <f>IF(A235="","",IFERROR(INDEX(tblReg[LastName],MATCH(A235,tblReg[Bib],0)),""))</f>
        <v/>
      </c>
      <c r="E235" t="str">
        <f>IF(A235="","",IFERROR(INDEX(tblReg[Team],MATCH(A235,tblReg[Bib],0)),""))</f>
        <v/>
      </c>
      <c r="F235" s="4" t="s">
        <v>103</v>
      </c>
      <c r="G235" t="str">
        <f t="shared" si="12"/>
        <v/>
      </c>
      <c r="H235" t="str">
        <f t="shared" si="13"/>
        <v/>
      </c>
      <c r="I235">
        <f>IF(H235="",0,IFERROR(INDEX(Config!$J$4:$J$6,MATCH(H235,Config!$H$4:$H$6,0)),0))</f>
        <v>0</v>
      </c>
      <c r="J235" t="str">
        <f t="shared" si="14"/>
        <v/>
      </c>
      <c r="K235" s="5" t="str">
        <f t="shared" si="15"/>
        <v/>
      </c>
      <c r="L235">
        <f>IF(A235="",999,IFERROR(MATCH(B235,Config!$A$4:$A$7,0),99)*10+IF(ISNUMBER(F235),1,IF(F235="",2,IF(UPPER(F235)="DNF",3,IF(UPPER(F235)="DNS",4,8)))))</f>
        <v>999</v>
      </c>
    </row>
    <row r="236" spans="2:12" x14ac:dyDescent="0.25">
      <c r="B236" t="str">
        <f>IF(A236="","",IFERROR(INDEX(tblReg[Field],MATCH(A236,tblReg[Bib],0)),""))</f>
        <v/>
      </c>
      <c r="C236" t="str">
        <f>IF(A236="","",IFERROR(INDEX(tblReg[FirstName],MATCH(A236,tblReg[Bib],0)),""))</f>
        <v/>
      </c>
      <c r="D236" t="str">
        <f>IF(A236="","",IFERROR(INDEX(tblReg[LastName],MATCH(A236,tblReg[Bib],0)),""))</f>
        <v/>
      </c>
      <c r="E236" t="str">
        <f>IF(A236="","",IFERROR(INDEX(tblReg[Team],MATCH(A236,tblReg[Bib],0)),""))</f>
        <v/>
      </c>
      <c r="F236" s="4" t="s">
        <v>103</v>
      </c>
      <c r="G236" t="str">
        <f t="shared" si="12"/>
        <v/>
      </c>
      <c r="H236" t="str">
        <f t="shared" si="13"/>
        <v/>
      </c>
      <c r="I236">
        <f>IF(H236="",0,IFERROR(INDEX(Config!$J$4:$J$6,MATCH(H236,Config!$H$4:$H$6,0)),0))</f>
        <v>0</v>
      </c>
      <c r="J236" t="str">
        <f t="shared" si="14"/>
        <v/>
      </c>
      <c r="K236" s="5" t="str">
        <f t="shared" si="15"/>
        <v/>
      </c>
      <c r="L236">
        <f>IF(A236="",999,IFERROR(MATCH(B236,Config!$A$4:$A$7,0),99)*10+IF(ISNUMBER(F236),1,IF(F236="",2,IF(UPPER(F236)="DNF",3,IF(UPPER(F236)="DNS",4,8)))))</f>
        <v>999</v>
      </c>
    </row>
    <row r="237" spans="2:12" x14ac:dyDescent="0.25">
      <c r="B237" t="str">
        <f>IF(A237="","",IFERROR(INDEX(tblReg[Field],MATCH(A237,tblReg[Bib],0)),""))</f>
        <v/>
      </c>
      <c r="C237" t="str">
        <f>IF(A237="","",IFERROR(INDEX(tblReg[FirstName],MATCH(A237,tblReg[Bib],0)),""))</f>
        <v/>
      </c>
      <c r="D237" t="str">
        <f>IF(A237="","",IFERROR(INDEX(tblReg[LastName],MATCH(A237,tblReg[Bib],0)),""))</f>
        <v/>
      </c>
      <c r="E237" t="str">
        <f>IF(A237="","",IFERROR(INDEX(tblReg[Team],MATCH(A237,tblReg[Bib],0)),""))</f>
        <v/>
      </c>
      <c r="F237" s="4" t="s">
        <v>103</v>
      </c>
      <c r="G237" t="str">
        <f t="shared" si="12"/>
        <v/>
      </c>
      <c r="H237" t="str">
        <f t="shared" si="13"/>
        <v/>
      </c>
      <c r="I237">
        <f>IF(H237="",0,IFERROR(INDEX(Config!$J$4:$J$6,MATCH(H237,Config!$H$4:$H$6,0)),0))</f>
        <v>0</v>
      </c>
      <c r="J237" t="str">
        <f t="shared" si="14"/>
        <v/>
      </c>
      <c r="K237" s="5" t="str">
        <f t="shared" si="15"/>
        <v/>
      </c>
      <c r="L237">
        <f>IF(A237="",999,IFERROR(MATCH(B237,Config!$A$4:$A$7,0),99)*10+IF(ISNUMBER(F237),1,IF(F237="",2,IF(UPPER(F237)="DNF",3,IF(UPPER(F237)="DNS",4,8)))))</f>
        <v>999</v>
      </c>
    </row>
    <row r="238" spans="2:12" x14ac:dyDescent="0.25">
      <c r="B238" t="str">
        <f>IF(A238="","",IFERROR(INDEX(tblReg[Field],MATCH(A238,tblReg[Bib],0)),""))</f>
        <v/>
      </c>
      <c r="C238" t="str">
        <f>IF(A238="","",IFERROR(INDEX(tblReg[FirstName],MATCH(A238,tblReg[Bib],0)),""))</f>
        <v/>
      </c>
      <c r="D238" t="str">
        <f>IF(A238="","",IFERROR(INDEX(tblReg[LastName],MATCH(A238,tblReg[Bib],0)),""))</f>
        <v/>
      </c>
      <c r="E238" t="str">
        <f>IF(A238="","",IFERROR(INDEX(tblReg[Team],MATCH(A238,tblReg[Bib],0)),""))</f>
        <v/>
      </c>
      <c r="F238" s="4" t="s">
        <v>103</v>
      </c>
      <c r="G238" t="str">
        <f t="shared" si="12"/>
        <v/>
      </c>
      <c r="H238" t="str">
        <f t="shared" si="13"/>
        <v/>
      </c>
      <c r="I238">
        <f>IF(H238="",0,IFERROR(INDEX(Config!$J$4:$J$6,MATCH(H238,Config!$H$4:$H$6,0)),0))</f>
        <v>0</v>
      </c>
      <c r="J238" t="str">
        <f t="shared" si="14"/>
        <v/>
      </c>
      <c r="K238" s="5" t="str">
        <f t="shared" si="15"/>
        <v/>
      </c>
      <c r="L238">
        <f>IF(A238="",999,IFERROR(MATCH(B238,Config!$A$4:$A$7,0),99)*10+IF(ISNUMBER(F238),1,IF(F238="",2,IF(UPPER(F238)="DNF",3,IF(UPPER(F238)="DNS",4,8)))))</f>
        <v>999</v>
      </c>
    </row>
    <row r="239" spans="2:12" x14ac:dyDescent="0.25">
      <c r="B239" t="str">
        <f>IF(A239="","",IFERROR(INDEX(tblReg[Field],MATCH(A239,tblReg[Bib],0)),""))</f>
        <v/>
      </c>
      <c r="C239" t="str">
        <f>IF(A239="","",IFERROR(INDEX(tblReg[FirstName],MATCH(A239,tblReg[Bib],0)),""))</f>
        <v/>
      </c>
      <c r="D239" t="str">
        <f>IF(A239="","",IFERROR(INDEX(tblReg[LastName],MATCH(A239,tblReg[Bib],0)),""))</f>
        <v/>
      </c>
      <c r="E239" t="str">
        <f>IF(A239="","",IFERROR(INDEX(tblReg[Team],MATCH(A239,tblReg[Bib],0)),""))</f>
        <v/>
      </c>
      <c r="F239" s="4" t="s">
        <v>103</v>
      </c>
      <c r="G239" t="str">
        <f t="shared" si="12"/>
        <v/>
      </c>
      <c r="H239" t="str">
        <f t="shared" si="13"/>
        <v/>
      </c>
      <c r="I239">
        <f>IF(H239="",0,IFERROR(INDEX(Config!$J$4:$J$6,MATCH(H239,Config!$H$4:$H$6,0)),0))</f>
        <v>0</v>
      </c>
      <c r="J239" t="str">
        <f t="shared" si="14"/>
        <v/>
      </c>
      <c r="K239" s="5" t="str">
        <f t="shared" si="15"/>
        <v/>
      </c>
      <c r="L239">
        <f>IF(A239="",999,IFERROR(MATCH(B239,Config!$A$4:$A$7,0),99)*10+IF(ISNUMBER(F239),1,IF(F239="",2,IF(UPPER(F239)="DNF",3,IF(UPPER(F239)="DNS",4,8)))))</f>
        <v>999</v>
      </c>
    </row>
    <row r="240" spans="2:12" x14ac:dyDescent="0.25">
      <c r="B240" t="str">
        <f>IF(A240="","",IFERROR(INDEX(tblReg[Field],MATCH(A240,tblReg[Bib],0)),""))</f>
        <v/>
      </c>
      <c r="C240" t="str">
        <f>IF(A240="","",IFERROR(INDEX(tblReg[FirstName],MATCH(A240,tblReg[Bib],0)),""))</f>
        <v/>
      </c>
      <c r="D240" t="str">
        <f>IF(A240="","",IFERROR(INDEX(tblReg[LastName],MATCH(A240,tblReg[Bib],0)),""))</f>
        <v/>
      </c>
      <c r="E240" t="str">
        <f>IF(A240="","",IFERROR(INDEX(tblReg[Team],MATCH(A240,tblReg[Bib],0)),""))</f>
        <v/>
      </c>
      <c r="F240" s="4" t="s">
        <v>103</v>
      </c>
      <c r="G240" t="str">
        <f t="shared" si="12"/>
        <v/>
      </c>
      <c r="H240" t="str">
        <f t="shared" si="13"/>
        <v/>
      </c>
      <c r="I240">
        <f>IF(H240="",0,IFERROR(INDEX(Config!$J$4:$J$6,MATCH(H240,Config!$H$4:$H$6,0)),0))</f>
        <v>0</v>
      </c>
      <c r="J240" t="str">
        <f t="shared" si="14"/>
        <v/>
      </c>
      <c r="K240" s="5" t="str">
        <f t="shared" si="15"/>
        <v/>
      </c>
      <c r="L240">
        <f>IF(A240="",999,IFERROR(MATCH(B240,Config!$A$4:$A$7,0),99)*10+IF(ISNUMBER(F240),1,IF(F240="",2,IF(UPPER(F240)="DNF",3,IF(UPPER(F240)="DNS",4,8)))))</f>
        <v>999</v>
      </c>
    </row>
    <row r="241" spans="2:12" x14ac:dyDescent="0.25">
      <c r="B241" t="str">
        <f>IF(A241="","",IFERROR(INDEX(tblReg[Field],MATCH(A241,tblReg[Bib],0)),""))</f>
        <v/>
      </c>
      <c r="C241" t="str">
        <f>IF(A241="","",IFERROR(INDEX(tblReg[FirstName],MATCH(A241,tblReg[Bib],0)),""))</f>
        <v/>
      </c>
      <c r="D241" t="str">
        <f>IF(A241="","",IFERROR(INDEX(tblReg[LastName],MATCH(A241,tblReg[Bib],0)),""))</f>
        <v/>
      </c>
      <c r="E241" t="str">
        <f>IF(A241="","",IFERROR(INDEX(tblReg[Team],MATCH(A241,tblReg[Bib],0)),""))</f>
        <v/>
      </c>
      <c r="F241" s="4" t="s">
        <v>103</v>
      </c>
      <c r="G241" t="str">
        <f t="shared" si="12"/>
        <v/>
      </c>
      <c r="H241" t="str">
        <f t="shared" si="13"/>
        <v/>
      </c>
      <c r="I241">
        <f>IF(H241="",0,IFERROR(INDEX(Config!$J$4:$J$6,MATCH(H241,Config!$H$4:$H$6,0)),0))</f>
        <v>0</v>
      </c>
      <c r="J241" t="str">
        <f t="shared" si="14"/>
        <v/>
      </c>
      <c r="K241" s="5" t="str">
        <f t="shared" si="15"/>
        <v/>
      </c>
      <c r="L241">
        <f>IF(A241="",999,IFERROR(MATCH(B241,Config!$A$4:$A$7,0),99)*10+IF(ISNUMBER(F241),1,IF(F241="",2,IF(UPPER(F241)="DNF",3,IF(UPPER(F241)="DNS",4,8)))))</f>
        <v>999</v>
      </c>
    </row>
    <row r="242" spans="2:12" x14ac:dyDescent="0.25">
      <c r="B242" t="str">
        <f>IF(A242="","",IFERROR(INDEX(tblReg[Field],MATCH(A242,tblReg[Bib],0)),""))</f>
        <v/>
      </c>
      <c r="C242" t="str">
        <f>IF(A242="","",IFERROR(INDEX(tblReg[FirstName],MATCH(A242,tblReg[Bib],0)),""))</f>
        <v/>
      </c>
      <c r="D242" t="str">
        <f>IF(A242="","",IFERROR(INDEX(tblReg[LastName],MATCH(A242,tblReg[Bib],0)),""))</f>
        <v/>
      </c>
      <c r="E242" t="str">
        <f>IF(A242="","",IFERROR(INDEX(tblReg[Team],MATCH(A242,tblReg[Bib],0)),""))</f>
        <v/>
      </c>
      <c r="F242" s="4" t="s">
        <v>103</v>
      </c>
      <c r="G242" t="str">
        <f t="shared" si="12"/>
        <v/>
      </c>
      <c r="H242" t="str">
        <f t="shared" si="13"/>
        <v/>
      </c>
      <c r="I242">
        <f>IF(H242="",0,IFERROR(INDEX(Config!$J$4:$J$6,MATCH(H242,Config!$H$4:$H$6,0)),0))</f>
        <v>0</v>
      </c>
      <c r="J242" t="str">
        <f t="shared" si="14"/>
        <v/>
      </c>
      <c r="K242" s="5" t="str">
        <f t="shared" si="15"/>
        <v/>
      </c>
      <c r="L242">
        <f>IF(A242="",999,IFERROR(MATCH(B242,Config!$A$4:$A$7,0),99)*10+IF(ISNUMBER(F242),1,IF(F242="",2,IF(UPPER(F242)="DNF",3,IF(UPPER(F242)="DNS",4,8)))))</f>
        <v>999</v>
      </c>
    </row>
    <row r="243" spans="2:12" x14ac:dyDescent="0.25">
      <c r="B243" t="str">
        <f>IF(A243="","",IFERROR(INDEX(tblReg[Field],MATCH(A243,tblReg[Bib],0)),""))</f>
        <v/>
      </c>
      <c r="C243" t="str">
        <f>IF(A243="","",IFERROR(INDEX(tblReg[FirstName],MATCH(A243,tblReg[Bib],0)),""))</f>
        <v/>
      </c>
      <c r="D243" t="str">
        <f>IF(A243="","",IFERROR(INDEX(tblReg[LastName],MATCH(A243,tblReg[Bib],0)),""))</f>
        <v/>
      </c>
      <c r="E243" t="str">
        <f>IF(A243="","",IFERROR(INDEX(tblReg[Team],MATCH(A243,tblReg[Bib],0)),""))</f>
        <v/>
      </c>
      <c r="F243" s="4" t="s">
        <v>103</v>
      </c>
      <c r="G243" t="str">
        <f t="shared" si="12"/>
        <v/>
      </c>
      <c r="H243" t="str">
        <f t="shared" si="13"/>
        <v/>
      </c>
      <c r="I243">
        <f>IF(H243="",0,IFERROR(INDEX(Config!$J$4:$J$6,MATCH(H243,Config!$H$4:$H$6,0)),0))</f>
        <v>0</v>
      </c>
      <c r="J243" t="str">
        <f t="shared" si="14"/>
        <v/>
      </c>
      <c r="K243" s="5" t="str">
        <f t="shared" si="15"/>
        <v/>
      </c>
      <c r="L243">
        <f>IF(A243="",999,IFERROR(MATCH(B243,Config!$A$4:$A$7,0),99)*10+IF(ISNUMBER(F243),1,IF(F243="",2,IF(UPPER(F243)="DNF",3,IF(UPPER(F243)="DNS",4,8)))))</f>
        <v>999</v>
      </c>
    </row>
    <row r="244" spans="2:12" x14ac:dyDescent="0.25">
      <c r="B244" t="str">
        <f>IF(A244="","",IFERROR(INDEX(tblReg[Field],MATCH(A244,tblReg[Bib],0)),""))</f>
        <v/>
      </c>
      <c r="C244" t="str">
        <f>IF(A244="","",IFERROR(INDEX(tblReg[FirstName],MATCH(A244,tblReg[Bib],0)),""))</f>
        <v/>
      </c>
      <c r="D244" t="str">
        <f>IF(A244="","",IFERROR(INDEX(tblReg[LastName],MATCH(A244,tblReg[Bib],0)),""))</f>
        <v/>
      </c>
      <c r="E244" t="str">
        <f>IF(A244="","",IFERROR(INDEX(tblReg[Team],MATCH(A244,tblReg[Bib],0)),""))</f>
        <v/>
      </c>
      <c r="F244" s="4" t="s">
        <v>103</v>
      </c>
      <c r="G244" t="str">
        <f t="shared" si="12"/>
        <v/>
      </c>
      <c r="H244" t="str">
        <f t="shared" si="13"/>
        <v/>
      </c>
      <c r="I244">
        <f>IF(H244="",0,IFERROR(INDEX(Config!$J$4:$J$6,MATCH(H244,Config!$H$4:$H$6,0)),0))</f>
        <v>0</v>
      </c>
      <c r="J244" t="str">
        <f t="shared" si="14"/>
        <v/>
      </c>
      <c r="K244" s="5" t="str">
        <f t="shared" si="15"/>
        <v/>
      </c>
      <c r="L244">
        <f>IF(A244="",999,IFERROR(MATCH(B244,Config!$A$4:$A$7,0),99)*10+IF(ISNUMBER(F244),1,IF(F244="",2,IF(UPPER(F244)="DNF",3,IF(UPPER(F244)="DNS",4,8)))))</f>
        <v>999</v>
      </c>
    </row>
    <row r="245" spans="2:12" x14ac:dyDescent="0.25">
      <c r="B245" t="str">
        <f>IF(A245="","",IFERROR(INDEX(tblReg[Field],MATCH(A245,tblReg[Bib],0)),""))</f>
        <v/>
      </c>
      <c r="C245" t="str">
        <f>IF(A245="","",IFERROR(INDEX(tblReg[FirstName],MATCH(A245,tblReg[Bib],0)),""))</f>
        <v/>
      </c>
      <c r="D245" t="str">
        <f>IF(A245="","",IFERROR(INDEX(tblReg[LastName],MATCH(A245,tblReg[Bib],0)),""))</f>
        <v/>
      </c>
      <c r="E245" t="str">
        <f>IF(A245="","",IFERROR(INDEX(tblReg[Team],MATCH(A245,tblReg[Bib],0)),""))</f>
        <v/>
      </c>
      <c r="F245" s="4" t="s">
        <v>103</v>
      </c>
      <c r="G245" t="str">
        <f t="shared" si="12"/>
        <v/>
      </c>
      <c r="H245" t="str">
        <f t="shared" si="13"/>
        <v/>
      </c>
      <c r="I245">
        <f>IF(H245="",0,IFERROR(INDEX(Config!$J$4:$J$6,MATCH(H245,Config!$H$4:$H$6,0)),0))</f>
        <v>0</v>
      </c>
      <c r="J245" t="str">
        <f t="shared" si="14"/>
        <v/>
      </c>
      <c r="K245" s="5" t="str">
        <f t="shared" si="15"/>
        <v/>
      </c>
      <c r="L245">
        <f>IF(A245="",999,IFERROR(MATCH(B245,Config!$A$4:$A$7,0),99)*10+IF(ISNUMBER(F245),1,IF(F245="",2,IF(UPPER(F245)="DNF",3,IF(UPPER(F245)="DNS",4,8)))))</f>
        <v>999</v>
      </c>
    </row>
    <row r="246" spans="2:12" x14ac:dyDescent="0.25">
      <c r="B246" t="str">
        <f>IF(A246="","",IFERROR(INDEX(tblReg[Field],MATCH(A246,tblReg[Bib],0)),""))</f>
        <v/>
      </c>
      <c r="C246" t="str">
        <f>IF(A246="","",IFERROR(INDEX(tblReg[FirstName],MATCH(A246,tblReg[Bib],0)),""))</f>
        <v/>
      </c>
      <c r="D246" t="str">
        <f>IF(A246="","",IFERROR(INDEX(tblReg[LastName],MATCH(A246,tblReg[Bib],0)),""))</f>
        <v/>
      </c>
      <c r="E246" t="str">
        <f>IF(A246="","",IFERROR(INDEX(tblReg[Team],MATCH(A246,tblReg[Bib],0)),""))</f>
        <v/>
      </c>
      <c r="F246" s="4" t="s">
        <v>103</v>
      </c>
      <c r="G246" t="str">
        <f t="shared" si="12"/>
        <v/>
      </c>
      <c r="H246" t="str">
        <f t="shared" si="13"/>
        <v/>
      </c>
      <c r="I246">
        <f>IF(H246="",0,IFERROR(INDEX(Config!$J$4:$J$6,MATCH(H246,Config!$H$4:$H$6,0)),0))</f>
        <v>0</v>
      </c>
      <c r="J246" t="str">
        <f t="shared" si="14"/>
        <v/>
      </c>
      <c r="K246" s="5" t="str">
        <f t="shared" si="15"/>
        <v/>
      </c>
      <c r="L246">
        <f>IF(A246="",999,IFERROR(MATCH(B246,Config!$A$4:$A$7,0),99)*10+IF(ISNUMBER(F246),1,IF(F246="",2,IF(UPPER(F246)="DNF",3,IF(UPPER(F246)="DNS",4,8)))))</f>
        <v>999</v>
      </c>
    </row>
    <row r="247" spans="2:12" x14ac:dyDescent="0.25">
      <c r="B247" t="str">
        <f>IF(A247="","",IFERROR(INDEX(tblReg[Field],MATCH(A247,tblReg[Bib],0)),""))</f>
        <v/>
      </c>
      <c r="C247" t="str">
        <f>IF(A247="","",IFERROR(INDEX(tblReg[FirstName],MATCH(A247,tblReg[Bib],0)),""))</f>
        <v/>
      </c>
      <c r="D247" t="str">
        <f>IF(A247="","",IFERROR(INDEX(tblReg[LastName],MATCH(A247,tblReg[Bib],0)),""))</f>
        <v/>
      </c>
      <c r="E247" t="str">
        <f>IF(A247="","",IFERROR(INDEX(tblReg[Team],MATCH(A247,tblReg[Bib],0)),""))</f>
        <v/>
      </c>
      <c r="F247" s="4" t="s">
        <v>103</v>
      </c>
      <c r="G247" t="str">
        <f t="shared" si="12"/>
        <v/>
      </c>
      <c r="H247" t="str">
        <f t="shared" si="13"/>
        <v/>
      </c>
      <c r="I247">
        <f>IF(H247="",0,IFERROR(INDEX(Config!$J$4:$J$6,MATCH(H247,Config!$H$4:$H$6,0)),0))</f>
        <v>0</v>
      </c>
      <c r="J247" t="str">
        <f t="shared" si="14"/>
        <v/>
      </c>
      <c r="K247" s="5" t="str">
        <f t="shared" si="15"/>
        <v/>
      </c>
      <c r="L247">
        <f>IF(A247="",999,IFERROR(MATCH(B247,Config!$A$4:$A$7,0),99)*10+IF(ISNUMBER(F247),1,IF(F247="",2,IF(UPPER(F247)="DNF",3,IF(UPPER(F247)="DNS",4,8)))))</f>
        <v>999</v>
      </c>
    </row>
    <row r="248" spans="2:12" x14ac:dyDescent="0.25">
      <c r="B248" t="str">
        <f>IF(A248="","",IFERROR(INDEX(tblReg[Field],MATCH(A248,tblReg[Bib],0)),""))</f>
        <v/>
      </c>
      <c r="C248" t="str">
        <f>IF(A248="","",IFERROR(INDEX(tblReg[FirstName],MATCH(A248,tblReg[Bib],0)),""))</f>
        <v/>
      </c>
      <c r="D248" t="str">
        <f>IF(A248="","",IFERROR(INDEX(tblReg[LastName],MATCH(A248,tblReg[Bib],0)),""))</f>
        <v/>
      </c>
      <c r="E248" t="str">
        <f>IF(A248="","",IFERROR(INDEX(tblReg[Team],MATCH(A248,tblReg[Bib],0)),""))</f>
        <v/>
      </c>
      <c r="F248" s="4" t="s">
        <v>103</v>
      </c>
      <c r="G248" t="str">
        <f t="shared" si="12"/>
        <v/>
      </c>
      <c r="H248" t="str">
        <f t="shared" si="13"/>
        <v/>
      </c>
      <c r="I248">
        <f>IF(H248="",0,IFERROR(INDEX(Config!$J$4:$J$6,MATCH(H248,Config!$H$4:$H$6,0)),0))</f>
        <v>0</v>
      </c>
      <c r="J248" t="str">
        <f t="shared" si="14"/>
        <v/>
      </c>
      <c r="K248" s="5" t="str">
        <f t="shared" si="15"/>
        <v/>
      </c>
      <c r="L248">
        <f>IF(A248="",999,IFERROR(MATCH(B248,Config!$A$4:$A$7,0),99)*10+IF(ISNUMBER(F248),1,IF(F248="",2,IF(UPPER(F248)="DNF",3,IF(UPPER(F248)="DNS",4,8)))))</f>
        <v>999</v>
      </c>
    </row>
    <row r="249" spans="2:12" x14ac:dyDescent="0.25">
      <c r="B249" t="str">
        <f>IF(A249="","",IFERROR(INDEX(tblReg[Field],MATCH(A249,tblReg[Bib],0)),""))</f>
        <v/>
      </c>
      <c r="C249" t="str">
        <f>IF(A249="","",IFERROR(INDEX(tblReg[FirstName],MATCH(A249,tblReg[Bib],0)),""))</f>
        <v/>
      </c>
      <c r="D249" t="str">
        <f>IF(A249="","",IFERROR(INDEX(tblReg[LastName],MATCH(A249,tblReg[Bib],0)),""))</f>
        <v/>
      </c>
      <c r="E249" t="str">
        <f>IF(A249="","",IFERROR(INDEX(tblReg[Team],MATCH(A249,tblReg[Bib],0)),""))</f>
        <v/>
      </c>
      <c r="F249" s="4" t="s">
        <v>103</v>
      </c>
      <c r="G249" t="str">
        <f t="shared" si="12"/>
        <v/>
      </c>
      <c r="H249" t="str">
        <f t="shared" si="13"/>
        <v/>
      </c>
      <c r="I249">
        <f>IF(H249="",0,IFERROR(INDEX(Config!$J$4:$J$6,MATCH(H249,Config!$H$4:$H$6,0)),0))</f>
        <v>0</v>
      </c>
      <c r="J249" t="str">
        <f t="shared" si="14"/>
        <v/>
      </c>
      <c r="K249" s="5" t="str">
        <f t="shared" si="15"/>
        <v/>
      </c>
      <c r="L249">
        <f>IF(A249="",999,IFERROR(MATCH(B249,Config!$A$4:$A$7,0),99)*10+IF(ISNUMBER(F249),1,IF(F249="",2,IF(UPPER(F249)="DNF",3,IF(UPPER(F249)="DNS",4,8)))))</f>
        <v>999</v>
      </c>
    </row>
    <row r="250" spans="2:12" x14ac:dyDescent="0.25">
      <c r="B250" t="str">
        <f>IF(A250="","",IFERROR(INDEX(tblReg[Field],MATCH(A250,tblReg[Bib],0)),""))</f>
        <v/>
      </c>
      <c r="C250" t="str">
        <f>IF(A250="","",IFERROR(INDEX(tblReg[FirstName],MATCH(A250,tblReg[Bib],0)),""))</f>
        <v/>
      </c>
      <c r="D250" t="str">
        <f>IF(A250="","",IFERROR(INDEX(tblReg[LastName],MATCH(A250,tblReg[Bib],0)),""))</f>
        <v/>
      </c>
      <c r="E250" t="str">
        <f>IF(A250="","",IFERROR(INDEX(tblReg[Team],MATCH(A250,tblReg[Bib],0)),""))</f>
        <v/>
      </c>
      <c r="F250" s="4" t="s">
        <v>103</v>
      </c>
      <c r="G250" t="str">
        <f t="shared" si="12"/>
        <v/>
      </c>
      <c r="H250" t="str">
        <f t="shared" si="13"/>
        <v/>
      </c>
      <c r="I250">
        <f>IF(H250="",0,IFERROR(INDEX(Config!$J$4:$J$6,MATCH(H250,Config!$H$4:$H$6,0)),0))</f>
        <v>0</v>
      </c>
      <c r="J250" t="str">
        <f t="shared" si="14"/>
        <v/>
      </c>
      <c r="K250" s="5" t="str">
        <f t="shared" si="15"/>
        <v/>
      </c>
      <c r="L250">
        <f>IF(A250="",999,IFERROR(MATCH(B250,Config!$A$4:$A$7,0),99)*10+IF(ISNUMBER(F250),1,IF(F250="",2,IF(UPPER(F250)="DNF",3,IF(UPPER(F250)="DNS",4,8)))))</f>
        <v>999</v>
      </c>
    </row>
    <row r="251" spans="2:12" x14ac:dyDescent="0.25">
      <c r="B251" t="str">
        <f>IF(A251="","",IFERROR(INDEX(tblReg[Field],MATCH(A251,tblReg[Bib],0)),""))</f>
        <v/>
      </c>
      <c r="C251" t="str">
        <f>IF(A251="","",IFERROR(INDEX(tblReg[FirstName],MATCH(A251,tblReg[Bib],0)),""))</f>
        <v/>
      </c>
      <c r="D251" t="str">
        <f>IF(A251="","",IFERROR(INDEX(tblReg[LastName],MATCH(A251,tblReg[Bib],0)),""))</f>
        <v/>
      </c>
      <c r="E251" t="str">
        <f>IF(A251="","",IFERROR(INDEX(tblReg[Team],MATCH(A251,tblReg[Bib],0)),""))</f>
        <v/>
      </c>
      <c r="F251" s="4" t="s">
        <v>103</v>
      </c>
      <c r="G251" t="str">
        <f t="shared" si="12"/>
        <v/>
      </c>
      <c r="H251" t="str">
        <f t="shared" si="13"/>
        <v/>
      </c>
      <c r="I251">
        <f>IF(H251="",0,IFERROR(INDEX(Config!$J$4:$J$6,MATCH(H251,Config!$H$4:$H$6,0)),0))</f>
        <v>0</v>
      </c>
      <c r="J251" t="str">
        <f t="shared" si="14"/>
        <v/>
      </c>
      <c r="K251" s="5" t="str">
        <f t="shared" si="15"/>
        <v/>
      </c>
      <c r="L251">
        <f>IF(A251="",999,IFERROR(MATCH(B251,Config!$A$4:$A$7,0),99)*10+IF(ISNUMBER(F251),1,IF(F251="",2,IF(UPPER(F251)="DNF",3,IF(UPPER(F251)="DNS",4,8)))))</f>
        <v>999</v>
      </c>
    </row>
  </sheetData>
  <sheetProtection algorithmName="SHA-512" hashValue="jSxMJPmx8FtmcN7EXICCwdddqLenwapIa1+T9Pg5LBO9W830z9uJLnrD7e8C8EonOTZNcWKLW8R4vPDHFJt//A==" saltValue="KIia0pYjw+dO0XZOE6XOeg==" spinCount="100000" sheet="1" objects="1" scenarios="1" formatCells="0" selectLockedCells="1"/>
  <mergeCells count="2">
    <mergeCell ref="M1:O1"/>
    <mergeCell ref="M3:O3"/>
  </mergeCells>
  <dataValidations count="2">
    <dataValidation type="custom" allowBlank="1" showErrorMessage="1" errorTitle="Invalid Stage Entry" error="Enter a valid time or use DNF/DNS." sqref="F10:F251" xr:uid="{00000000-0002-0000-0300-000002000000}">
      <formula1>OR(F2="",UPPER(F2)="DNF",UPPER(F2)="DNS",ISNUMBER(F2))</formula1>
    </dataValidation>
    <dataValidation type="custom" allowBlank="1" showErrorMessage="1" errorTitle="Invalid Stage Entry" error="Enter a valid time or use DNF/DNS." sqref="F2:F251" xr:uid="{00000000-0002-0000-0300-000003000000}">
      <formula1>OR(F2="",UPPER(F2)="DNF",UPPER(F2)="DNS",ISNUMBER(F2))</formula1>
    </dataValidation>
  </dataValidations>
  <pageMargins left="0.7" right="0.7" top="0.75" bottom="0.75" header="0.3" footer="0.3"/>
  <pageSetup orientation="portrait" useFirstPageNumber="1" horizontalDpi="4294967295" verticalDpi="4294967295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00000000-0002-0000-0300-000000000000}">
          <x14:formula1>
            <xm:f>Registration!$A$2:$A$201</xm:f>
          </x14:formula1>
          <xm:sqref>A2:A251</xm:sqref>
        </x14:dataValidation>
        <x14:dataValidation type="list" xr:uid="{00000000-0002-0000-0300-000004000000}">
          <x14:formula1>
            <xm:f>Config!$A$4:$A$7</xm:f>
          </x14:formula1>
          <xm:sqref>N2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251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cols>
    <col min="1" max="4" width="14" customWidth="1"/>
    <col min="5" max="5" width="18" customWidth="1"/>
    <col min="6" max="11" width="14" customWidth="1"/>
    <col min="12" max="12" width="14" hidden="1" customWidth="1"/>
    <col min="13" max="13" width="14" customWidth="1"/>
  </cols>
  <sheetData>
    <row r="1" spans="1:15" x14ac:dyDescent="0.25">
      <c r="A1" s="2" t="s">
        <v>15</v>
      </c>
      <c r="B1" s="2" t="s">
        <v>18</v>
      </c>
      <c r="C1" s="2" t="s">
        <v>16</v>
      </c>
      <c r="D1" s="2" t="s">
        <v>17</v>
      </c>
      <c r="E1" s="2" t="s">
        <v>19</v>
      </c>
      <c r="F1" s="2" t="s">
        <v>104</v>
      </c>
      <c r="G1" s="2" t="s">
        <v>105</v>
      </c>
      <c r="H1" s="2" t="s">
        <v>106</v>
      </c>
      <c r="I1" s="2" t="s">
        <v>107</v>
      </c>
      <c r="J1" s="2" t="s">
        <v>108</v>
      </c>
      <c r="K1" s="2" t="s">
        <v>109</v>
      </c>
      <c r="L1" s="2" t="s">
        <v>110</v>
      </c>
      <c r="M1" s="9" t="s">
        <v>111</v>
      </c>
      <c r="N1" s="9"/>
      <c r="O1" s="9"/>
    </row>
    <row r="2" spans="1:15" x14ac:dyDescent="0.25">
      <c r="A2">
        <v>1</v>
      </c>
      <c r="B2" t="str">
        <f>IF(A2="","",IFERROR(INDEX(tblReg[Field],MATCH(A2,tblReg[Bib],0)),""))</f>
        <v>Men Under 40</v>
      </c>
      <c r="C2" t="str">
        <f>IF(A2="","",IFERROR(INDEX(tblReg[FirstName],MATCH(A2,tblReg[Bib],0)),""))</f>
        <v>Nora</v>
      </c>
      <c r="D2" t="str">
        <f>IF(A2="","",IFERROR(INDEX(tblReg[LastName],MATCH(A2,tblReg[Bib],0)),""))</f>
        <v>Lopez</v>
      </c>
      <c r="E2" t="str">
        <f>IF(A2="","",IFERROR(INDEX(tblReg[Team],MATCH(A2,tblReg[Bib],0)),""))</f>
        <v>Apex Cycling</v>
      </c>
      <c r="F2" s="4" t="s">
        <v>114</v>
      </c>
      <c r="G2" t="str">
        <f t="shared" ref="G2:G65" si="0">IF(OR(F2="",UPPER(F2)="DNF",UPPER(F2)="DNS"),"",HOUR(F2)*3600 + MINUTE(F2)*60 + SECOND(F2))</f>
        <v/>
      </c>
      <c r="H2" t="str">
        <f t="shared" ref="H2:H65" si="1">IF(OR(A2="",B2=""),"",IF(ISNUMBER(G2),1+COUNTIFS($B$2:$B$251,B2,$G$2:$G$251,"&lt;"&amp;G2),IF(F2="",COUNTIFS($B$2:$B$251,B2,$G$2:$G$251,"&gt;=0")+COUNTIFS($B$2:$B$251,B2,$F$2:$F$251,"",$A$2:$A$251,"&lt;"&amp;A2)+1,"")))</f>
        <v/>
      </c>
      <c r="I2">
        <f>IF(H2="",0,IFERROR(INDEX(Config!$K$4:$K$6,MATCH(H2,Config!$H$4:$H$6,0)),0))</f>
        <v>0</v>
      </c>
      <c r="J2" t="str">
        <f t="shared" ref="J2:J65" si="2">IF(G2="","",G2-I2)</f>
        <v/>
      </c>
      <c r="K2" s="5" t="str">
        <f t="shared" ref="K2:K65" si="3">IF(J2="","",J2/86400)</f>
        <v/>
      </c>
      <c r="L2">
        <f>IF(A2="",999,IFERROR(MATCH(B2,Config!$A$4:$A$7,0),99)*10+IF(ISNUMBER(F2),1,IF(F2="",2,IF(UPPER(F2)="DNF",3,IF(UPPER(F2)="DNS",4,8)))))</f>
        <v>13</v>
      </c>
      <c r="M2" t="s">
        <v>18</v>
      </c>
      <c r="N2" t="s">
        <v>8</v>
      </c>
    </row>
    <row r="3" spans="1:15" x14ac:dyDescent="0.25">
      <c r="A3">
        <v>2</v>
      </c>
      <c r="B3" t="str">
        <f>IF(A3="","",IFERROR(INDEX(tblReg[Field],MATCH(A3,tblReg[Bib],0)),""))</f>
        <v>Men Under 40</v>
      </c>
      <c r="C3" t="str">
        <f>IF(A3="","",IFERROR(INDEX(tblReg[FirstName],MATCH(A3,tblReg[Bib],0)),""))</f>
        <v>Ruby</v>
      </c>
      <c r="D3" t="str">
        <f>IF(A3="","",IFERROR(INDEX(tblReg[LastName],MATCH(A3,tblReg[Bib],0)),""))</f>
        <v>Garcia</v>
      </c>
      <c r="E3" t="str">
        <f>IF(A3="","",IFERROR(INDEX(tblReg[Team],MATCH(A3,tblReg[Bib],0)),""))</f>
        <v>Rapid Chain</v>
      </c>
      <c r="F3" s="4">
        <v>7.2800925925925922E-2</v>
      </c>
      <c r="G3">
        <f t="shared" si="0"/>
        <v>6290</v>
      </c>
      <c r="H3">
        <f t="shared" si="1"/>
        <v>6</v>
      </c>
      <c r="I3">
        <f>IF(H3="",0,IFERROR(INDEX(Config!$K$4:$K$6,MATCH(H3,Config!$H$4:$H$6,0)),0))</f>
        <v>0</v>
      </c>
      <c r="J3">
        <f t="shared" si="2"/>
        <v>6290</v>
      </c>
      <c r="K3" s="5">
        <f t="shared" si="3"/>
        <v>7.2800925925925922E-2</v>
      </c>
      <c r="L3">
        <f>IF(A3="",999,IFERROR(MATCH(B3,Config!$A$4:$A$7,0),99)*10+IF(ISNUMBER(F3),1,IF(F3="",2,IF(UPPER(F3)="DNF",3,IF(UPPER(F3)="DNS",4,8)))))</f>
        <v>11</v>
      </c>
      <c r="M3" s="9" t="s">
        <v>112</v>
      </c>
      <c r="N3" s="9"/>
      <c r="O3" s="9"/>
    </row>
    <row r="4" spans="1:15" x14ac:dyDescent="0.25">
      <c r="A4">
        <v>3</v>
      </c>
      <c r="B4" t="str">
        <f>IF(A4="","",IFERROR(INDEX(tblReg[Field],MATCH(A4,tblReg[Bib],0)),""))</f>
        <v>Men Under 40</v>
      </c>
      <c r="C4" t="str">
        <f>IF(A4="","",IFERROR(INDEX(tblReg[FirstName],MATCH(A4,tblReg[Bib],0)),""))</f>
        <v>Ivy</v>
      </c>
      <c r="D4" t="str">
        <f>IF(A4="","",IFERROR(INDEX(tblReg[LastName],MATCH(A4,tblReg[Bib],0)),""))</f>
        <v>Harris</v>
      </c>
      <c r="E4" t="str">
        <f>IF(A4="","",IFERROR(INDEX(tblReg[Team],MATCH(A4,tblReg[Bib],0)),""))</f>
        <v>City Sprint</v>
      </c>
      <c r="F4" s="4">
        <v>7.2071759259259266E-2</v>
      </c>
      <c r="G4">
        <f t="shared" si="0"/>
        <v>6227</v>
      </c>
      <c r="H4">
        <f t="shared" si="1"/>
        <v>4</v>
      </c>
      <c r="I4">
        <f>IF(H4="",0,IFERROR(INDEX(Config!$K$4:$K$6,MATCH(H4,Config!$H$4:$H$6,0)),0))</f>
        <v>0</v>
      </c>
      <c r="J4">
        <f t="shared" si="2"/>
        <v>6227</v>
      </c>
      <c r="K4" s="5">
        <f t="shared" si="3"/>
        <v>7.2071759259259266E-2</v>
      </c>
      <c r="L4">
        <f>IF(A4="",999,IFERROR(MATCH(B4,Config!$A$4:$A$7,0),99)*10+IF(ISNUMBER(F4),1,IF(F4="",2,IF(UPPER(F4)="DNF",3,IF(UPPER(F4)="DNS",4,8)))))</f>
        <v>11</v>
      </c>
      <c r="M4" t="s">
        <v>113</v>
      </c>
    </row>
    <row r="5" spans="1:15" x14ac:dyDescent="0.25">
      <c r="A5">
        <v>4</v>
      </c>
      <c r="B5" t="str">
        <f>IF(A5="","",IFERROR(INDEX(tblReg[Field],MATCH(A5,tblReg[Bib],0)),""))</f>
        <v>Men Under 40</v>
      </c>
      <c r="C5" t="str">
        <f>IF(A5="","",IFERROR(INDEX(tblReg[FirstName],MATCH(A5,tblReg[Bib],0)),""))</f>
        <v>Nora</v>
      </c>
      <c r="D5" t="str">
        <f>IF(A5="","",IFERROR(INDEX(tblReg[LastName],MATCH(A5,tblReg[Bib],0)),""))</f>
        <v>Moore</v>
      </c>
      <c r="E5" t="str">
        <f>IF(A5="","",IFERROR(INDEX(tblReg[Team],MATCH(A5,tblReg[Bib],0)),""))</f>
        <v>Northwind Velo</v>
      </c>
      <c r="F5" s="4">
        <v>6.7696759259259262E-2</v>
      </c>
      <c r="G5">
        <f t="shared" si="0"/>
        <v>5849</v>
      </c>
      <c r="H5">
        <f t="shared" si="1"/>
        <v>1</v>
      </c>
      <c r="I5">
        <f>IF(H5="",0,IFERROR(INDEX(Config!$K$4:$K$6,MATCH(H5,Config!$H$4:$H$6,0)),0))</f>
        <v>0</v>
      </c>
      <c r="J5">
        <f t="shared" si="2"/>
        <v>5849</v>
      </c>
      <c r="K5" s="5">
        <f t="shared" si="3"/>
        <v>6.7696759259259262E-2</v>
      </c>
      <c r="L5">
        <f>IF(A5="",999,IFERROR(MATCH(B5,Config!$A$4:$A$7,0),99)*10+IF(ISNUMBER(F5),1,IF(F5="",2,IF(UPPER(F5)="DNF",3,IF(UPPER(F5)="DNS",4,8)))))</f>
        <v>11</v>
      </c>
    </row>
    <row r="6" spans="1:15" x14ac:dyDescent="0.25">
      <c r="A6">
        <v>5</v>
      </c>
      <c r="B6" t="str">
        <f>IF(A6="","",IFERROR(INDEX(tblReg[Field],MATCH(A6,tblReg[Bib],0)),""))</f>
        <v>Men Under 40</v>
      </c>
      <c r="C6" t="str">
        <f>IF(A6="","",IFERROR(INDEX(tblReg[FirstName],MATCH(A6,tblReg[Bib],0)),""))</f>
        <v>Mila</v>
      </c>
      <c r="D6" t="str">
        <f>IF(A6="","",IFERROR(INDEX(tblReg[LastName],MATCH(A6,tblReg[Bib],0)),""))</f>
        <v>Harris</v>
      </c>
      <c r="E6" t="str">
        <f>IF(A6="","",IFERROR(INDEX(tblReg[Team],MATCH(A6,tblReg[Bib],0)),""))</f>
        <v>Summit Wheels</v>
      </c>
      <c r="F6" s="4">
        <v>7.9131944444444449E-2</v>
      </c>
      <c r="G6">
        <f t="shared" si="0"/>
        <v>6837</v>
      </c>
      <c r="H6">
        <f t="shared" si="1"/>
        <v>9</v>
      </c>
      <c r="I6">
        <f>IF(H6="",0,IFERROR(INDEX(Config!$K$4:$K$6,MATCH(H6,Config!$H$4:$H$6,0)),0))</f>
        <v>0</v>
      </c>
      <c r="J6">
        <f t="shared" si="2"/>
        <v>6837</v>
      </c>
      <c r="K6" s="5">
        <f t="shared" si="3"/>
        <v>7.9131944444444449E-2</v>
      </c>
      <c r="L6">
        <f>IF(A6="",999,IFERROR(MATCH(B6,Config!$A$4:$A$7,0),99)*10+IF(ISNUMBER(F6),1,IF(F6="",2,IF(UPPER(F6)="DNF",3,IF(UPPER(F6)="DNS",4,8)))))</f>
        <v>11</v>
      </c>
    </row>
    <row r="7" spans="1:15" x14ac:dyDescent="0.25">
      <c r="A7">
        <v>6</v>
      </c>
      <c r="B7" t="str">
        <f>IF(A7="","",IFERROR(INDEX(tblReg[Field],MATCH(A7,tblReg[Bib],0)),""))</f>
        <v>Men Under 40</v>
      </c>
      <c r="C7" t="str">
        <f>IF(A7="","",IFERROR(INDEX(tblReg[FirstName],MATCH(A7,tblReg[Bib],0)),""))</f>
        <v>Jude</v>
      </c>
      <c r="D7" t="str">
        <f>IF(A7="","",IFERROR(INDEX(tblReg[LastName],MATCH(A7,tblReg[Bib],0)),""))</f>
        <v>Johnson</v>
      </c>
      <c r="E7" t="str">
        <f>IF(A7="","",IFERROR(INDEX(tblReg[Team],MATCH(A7,tblReg[Bib],0)),""))</f>
        <v>Summit Wheels</v>
      </c>
      <c r="F7" s="4">
        <v>7.1793981481481486E-2</v>
      </c>
      <c r="G7">
        <f t="shared" si="0"/>
        <v>6203</v>
      </c>
      <c r="H7">
        <f t="shared" si="1"/>
        <v>3</v>
      </c>
      <c r="I7">
        <f>IF(H7="",0,IFERROR(INDEX(Config!$K$4:$K$6,MATCH(H7,Config!$H$4:$H$6,0)),0))</f>
        <v>0</v>
      </c>
      <c r="J7">
        <f t="shared" si="2"/>
        <v>6203</v>
      </c>
      <c r="K7" s="5">
        <f t="shared" si="3"/>
        <v>7.1793981481481486E-2</v>
      </c>
      <c r="L7">
        <f>IF(A7="",999,IFERROR(MATCH(B7,Config!$A$4:$A$7,0),99)*10+IF(ISNUMBER(F7),1,IF(F7="",2,IF(UPPER(F7)="DNF",3,IF(UPPER(F7)="DNS",4,8)))))</f>
        <v>11</v>
      </c>
    </row>
    <row r="8" spans="1:15" x14ac:dyDescent="0.25">
      <c r="A8">
        <v>7</v>
      </c>
      <c r="B8" t="str">
        <f>IF(A8="","",IFERROR(INDEX(tblReg[Field],MATCH(A8,tblReg[Bib],0)),""))</f>
        <v>Men Under 40</v>
      </c>
      <c r="C8" t="str">
        <f>IF(A8="","",IFERROR(INDEX(tblReg[FirstName],MATCH(A8,tblReg[Bib],0)),""))</f>
        <v>Ivy</v>
      </c>
      <c r="D8" t="str">
        <f>IF(A8="","",IFERROR(INDEX(tblReg[LastName],MATCH(A8,tblReg[Bib],0)),""))</f>
        <v>Garcia</v>
      </c>
      <c r="E8" t="str">
        <f>IF(A8="","",IFERROR(INDEX(tblReg[Team],MATCH(A8,tblReg[Bib],0)),""))</f>
        <v>Apex Cycling</v>
      </c>
      <c r="F8" s="4">
        <v>7.3541666666666672E-2</v>
      </c>
      <c r="G8">
        <f t="shared" si="0"/>
        <v>6354</v>
      </c>
      <c r="H8">
        <f t="shared" si="1"/>
        <v>7</v>
      </c>
      <c r="I8">
        <f>IF(H8="",0,IFERROR(INDEX(Config!$K$4:$K$6,MATCH(H8,Config!$H$4:$H$6,0)),0))</f>
        <v>0</v>
      </c>
      <c r="J8">
        <f t="shared" si="2"/>
        <v>6354</v>
      </c>
      <c r="K8" s="5">
        <f t="shared" si="3"/>
        <v>7.3541666666666672E-2</v>
      </c>
      <c r="L8">
        <f>IF(A8="",999,IFERROR(MATCH(B8,Config!$A$4:$A$7,0),99)*10+IF(ISNUMBER(F8),1,IF(F8="",2,IF(UPPER(F8)="DNF",3,IF(UPPER(F8)="DNS",4,8)))))</f>
        <v>11</v>
      </c>
    </row>
    <row r="9" spans="1:15" x14ac:dyDescent="0.25">
      <c r="A9">
        <v>8</v>
      </c>
      <c r="B9" t="str">
        <f>IF(A9="","",IFERROR(INDEX(tblReg[Field],MATCH(A9,tblReg[Bib],0)),""))</f>
        <v>Men Under 40</v>
      </c>
      <c r="C9" t="str">
        <f>IF(A9="","",IFERROR(INDEX(tblReg[FirstName],MATCH(A9,tblReg[Bib],0)),""))</f>
        <v>Aria</v>
      </c>
      <c r="D9" t="str">
        <f>IF(A9="","",IFERROR(INDEX(tblReg[LastName],MATCH(A9,tblReg[Bib],0)),""))</f>
        <v>Moore</v>
      </c>
      <c r="E9" t="str">
        <f>IF(A9="","",IFERROR(INDEX(tblReg[Team],MATCH(A9,tblReg[Bib],0)),""))</f>
        <v>Nomad CC</v>
      </c>
      <c r="F9" s="4">
        <v>7.7384259259259264E-2</v>
      </c>
      <c r="G9">
        <f t="shared" si="0"/>
        <v>6686</v>
      </c>
      <c r="H9">
        <f t="shared" si="1"/>
        <v>8</v>
      </c>
      <c r="I9">
        <f>IF(H9="",0,IFERROR(INDEX(Config!$K$4:$K$6,MATCH(H9,Config!$H$4:$H$6,0)),0))</f>
        <v>0</v>
      </c>
      <c r="J9">
        <f t="shared" si="2"/>
        <v>6686</v>
      </c>
      <c r="K9" s="5">
        <f t="shared" si="3"/>
        <v>7.7384259259259264E-2</v>
      </c>
      <c r="L9">
        <f>IF(A9="",999,IFERROR(MATCH(B9,Config!$A$4:$A$7,0),99)*10+IF(ISNUMBER(F9),1,IF(F9="",2,IF(UPPER(F9)="DNF",3,IF(UPPER(F9)="DNS",4,8)))))</f>
        <v>11</v>
      </c>
    </row>
    <row r="10" spans="1:15" x14ac:dyDescent="0.25">
      <c r="A10">
        <v>9</v>
      </c>
      <c r="B10" t="str">
        <f>IF(A10="","",IFERROR(INDEX(tblReg[Field],MATCH(A10,tblReg[Bib],0)),""))</f>
        <v>Men Under 40</v>
      </c>
      <c r="C10" t="str">
        <f>IF(A10="","",IFERROR(INDEX(tblReg[FirstName],MATCH(A10,tblReg[Bib],0)),""))</f>
        <v>Aria</v>
      </c>
      <c r="D10" t="str">
        <f>IF(A10="","",IFERROR(INDEX(tblReg[LastName],MATCH(A10,tblReg[Bib],0)),""))</f>
        <v>Wilson</v>
      </c>
      <c r="E10" t="str">
        <f>IF(A10="","",IFERROR(INDEX(tblReg[Team],MATCH(A10,tblReg[Bib],0)),""))</f>
        <v>Summit Wheels</v>
      </c>
      <c r="F10" s="4">
        <v>7.2384259259259259E-2</v>
      </c>
      <c r="G10">
        <f t="shared" si="0"/>
        <v>6254</v>
      </c>
      <c r="H10">
        <f t="shared" si="1"/>
        <v>5</v>
      </c>
      <c r="I10">
        <f>IF(H10="",0,IFERROR(INDEX(Config!$K$4:$K$6,MATCH(H10,Config!$H$4:$H$6,0)),0))</f>
        <v>0</v>
      </c>
      <c r="J10">
        <f t="shared" si="2"/>
        <v>6254</v>
      </c>
      <c r="K10" s="5">
        <f t="shared" si="3"/>
        <v>7.2384259259259259E-2</v>
      </c>
      <c r="L10">
        <f>IF(A10="",999,IFERROR(MATCH(B10,Config!$A$4:$A$7,0),99)*10+IF(ISNUMBER(F10),1,IF(F10="",2,IF(UPPER(F10)="DNF",3,IF(UPPER(F10)="DNS",4,8)))))</f>
        <v>11</v>
      </c>
    </row>
    <row r="11" spans="1:15" x14ac:dyDescent="0.25">
      <c r="A11">
        <v>10</v>
      </c>
      <c r="B11" t="str">
        <f>IF(A11="","",IFERROR(INDEX(tblReg[Field],MATCH(A11,tblReg[Bib],0)),""))</f>
        <v>Men Under 40</v>
      </c>
      <c r="C11" t="str">
        <f>IF(A11="","",IFERROR(INDEX(tblReg[FirstName],MATCH(A11,tblReg[Bib],0)),""))</f>
        <v>Ivy</v>
      </c>
      <c r="D11" t="str">
        <f>IF(A11="","",IFERROR(INDEX(tblReg[LastName],MATCH(A11,tblReg[Bib],0)),""))</f>
        <v>Park</v>
      </c>
      <c r="E11" t="str">
        <f>IF(A11="","",IFERROR(INDEX(tblReg[Team],MATCH(A11,tblReg[Bib],0)),""))</f>
        <v>Apex Cycling</v>
      </c>
      <c r="F11" s="4">
        <v>6.9780092592592588E-2</v>
      </c>
      <c r="G11">
        <f t="shared" si="0"/>
        <v>6029</v>
      </c>
      <c r="H11">
        <f t="shared" si="1"/>
        <v>2</v>
      </c>
      <c r="I11">
        <f>IF(H11="",0,IFERROR(INDEX(Config!$K$4:$K$6,MATCH(H11,Config!$H$4:$H$6,0)),0))</f>
        <v>0</v>
      </c>
      <c r="J11">
        <f t="shared" si="2"/>
        <v>6029</v>
      </c>
      <c r="K11" s="5">
        <f t="shared" si="3"/>
        <v>6.9780092592592588E-2</v>
      </c>
      <c r="L11">
        <f>IF(A11="",999,IFERROR(MATCH(B11,Config!$A$4:$A$7,0),99)*10+IF(ISNUMBER(F11),1,IF(F11="",2,IF(UPPER(F11)="DNF",3,IF(UPPER(F11)="DNS",4,8)))))</f>
        <v>11</v>
      </c>
    </row>
    <row r="12" spans="1:15" x14ac:dyDescent="0.25">
      <c r="A12">
        <v>51</v>
      </c>
      <c r="B12" t="str">
        <f>IF(A12="","",IFERROR(INDEX(tblReg[Field],MATCH(A12,tblReg[Bib],0)),""))</f>
        <v>Men 40+</v>
      </c>
      <c r="C12" t="str">
        <f>IF(A12="","",IFERROR(INDEX(tblReg[FirstName],MATCH(A12,tblReg[Bib],0)),""))</f>
        <v>Mila</v>
      </c>
      <c r="D12" t="str">
        <f>IF(A12="","",IFERROR(INDEX(tblReg[LastName],MATCH(A12,tblReg[Bib],0)),""))</f>
        <v>Harris</v>
      </c>
      <c r="E12" t="str">
        <f>IF(A12="","",IFERROR(INDEX(tblReg[Team],MATCH(A12,tblReg[Bib],0)),""))</f>
        <v>Nomad CC</v>
      </c>
      <c r="F12" s="4">
        <v>6.8460648148148145E-2</v>
      </c>
      <c r="G12">
        <f t="shared" si="0"/>
        <v>5915</v>
      </c>
      <c r="H12">
        <f t="shared" si="1"/>
        <v>2</v>
      </c>
      <c r="I12">
        <f>IF(H12="",0,IFERROR(INDEX(Config!$K$4:$K$6,MATCH(H12,Config!$H$4:$H$6,0)),0))</f>
        <v>0</v>
      </c>
      <c r="J12">
        <f t="shared" si="2"/>
        <v>5915</v>
      </c>
      <c r="K12" s="5">
        <f t="shared" si="3"/>
        <v>6.8460648148148145E-2</v>
      </c>
      <c r="L12">
        <f>IF(A12="",999,IFERROR(MATCH(B12,Config!$A$4:$A$7,0),99)*10+IF(ISNUMBER(F12),1,IF(F12="",2,IF(UPPER(F12)="DNF",3,IF(UPPER(F12)="DNS",4,8)))))</f>
        <v>21</v>
      </c>
    </row>
    <row r="13" spans="1:15" x14ac:dyDescent="0.25">
      <c r="A13">
        <v>52</v>
      </c>
      <c r="B13" t="str">
        <f>IF(A13="","",IFERROR(INDEX(tblReg[Field],MATCH(A13,tblReg[Bib],0)),""))</f>
        <v>Men 40+</v>
      </c>
      <c r="C13" t="str">
        <f>IF(A13="","",IFERROR(INDEX(tblReg[FirstName],MATCH(A13,tblReg[Bib],0)),""))</f>
        <v>Aria</v>
      </c>
      <c r="D13" t="str">
        <f>IF(A13="","",IFERROR(INDEX(tblReg[LastName],MATCH(A13,tblReg[Bib],0)),""))</f>
        <v>Thomas</v>
      </c>
      <c r="E13" t="str">
        <f>IF(A13="","",IFERROR(INDEX(tblReg[Team],MATCH(A13,tblReg[Bib],0)),""))</f>
        <v>Nomad CC</v>
      </c>
      <c r="F13" s="4">
        <v>7.1759259259259259E-2</v>
      </c>
      <c r="G13">
        <f t="shared" si="0"/>
        <v>6200</v>
      </c>
      <c r="H13">
        <f t="shared" si="1"/>
        <v>5</v>
      </c>
      <c r="I13">
        <f>IF(H13="",0,IFERROR(INDEX(Config!$K$4:$K$6,MATCH(H13,Config!$H$4:$H$6,0)),0))</f>
        <v>0</v>
      </c>
      <c r="J13">
        <f t="shared" si="2"/>
        <v>6200</v>
      </c>
      <c r="K13" s="5">
        <f t="shared" si="3"/>
        <v>7.1759259259259259E-2</v>
      </c>
      <c r="L13">
        <f>IF(A13="",999,IFERROR(MATCH(B13,Config!$A$4:$A$7,0),99)*10+IF(ISNUMBER(F13),1,IF(F13="",2,IF(UPPER(F13)="DNF",3,IF(UPPER(F13)="DNS",4,8)))))</f>
        <v>21</v>
      </c>
    </row>
    <row r="14" spans="1:15" x14ac:dyDescent="0.25">
      <c r="A14">
        <v>53</v>
      </c>
      <c r="B14" t="str">
        <f>IF(A14="","",IFERROR(INDEX(tblReg[Field],MATCH(A14,tblReg[Bib],0)),""))</f>
        <v>Men 40+</v>
      </c>
      <c r="C14" t="str">
        <f>IF(A14="","",IFERROR(INDEX(tblReg[FirstName],MATCH(A14,tblReg[Bib],0)),""))</f>
        <v>Ethan</v>
      </c>
      <c r="D14" t="str">
        <f>IF(A14="","",IFERROR(INDEX(tblReg[LastName],MATCH(A14,tblReg[Bib],0)),""))</f>
        <v>Moore</v>
      </c>
      <c r="E14" t="str">
        <f>IF(A14="","",IFERROR(INDEX(tblReg[Team],MATCH(A14,tblReg[Bib],0)),""))</f>
        <v>Northwind Velo</v>
      </c>
      <c r="F14" s="4">
        <v>7.7013888888888896E-2</v>
      </c>
      <c r="G14">
        <f t="shared" si="0"/>
        <v>6654</v>
      </c>
      <c r="H14">
        <f t="shared" si="1"/>
        <v>7</v>
      </c>
      <c r="I14">
        <f>IF(H14="",0,IFERROR(INDEX(Config!$K$4:$K$6,MATCH(H14,Config!$H$4:$H$6,0)),0))</f>
        <v>0</v>
      </c>
      <c r="J14">
        <f t="shared" si="2"/>
        <v>6654</v>
      </c>
      <c r="K14" s="5">
        <f t="shared" si="3"/>
        <v>7.7013888888888896E-2</v>
      </c>
      <c r="L14">
        <f>IF(A14="",999,IFERROR(MATCH(B14,Config!$A$4:$A$7,0),99)*10+IF(ISNUMBER(F14),1,IF(F14="",2,IF(UPPER(F14)="DNF",3,IF(UPPER(F14)="DNS",4,8)))))</f>
        <v>21</v>
      </c>
    </row>
    <row r="15" spans="1:15" x14ac:dyDescent="0.25">
      <c r="A15">
        <v>54</v>
      </c>
      <c r="B15" t="str">
        <f>IF(A15="","",IFERROR(INDEX(tblReg[Field],MATCH(A15,tblReg[Bib],0)),""))</f>
        <v>Men 40+</v>
      </c>
      <c r="C15" t="str">
        <f>IF(A15="","",IFERROR(INDEX(tblReg[FirstName],MATCH(A15,tblReg[Bib],0)),""))</f>
        <v>Lena</v>
      </c>
      <c r="D15" t="str">
        <f>IF(A15="","",IFERROR(INDEX(tblReg[LastName],MATCH(A15,tblReg[Bib],0)),""))</f>
        <v>Anderson</v>
      </c>
      <c r="E15" t="str">
        <f>IF(A15="","",IFERROR(INDEX(tblReg[Team],MATCH(A15,tblReg[Bib],0)),""))</f>
        <v>Nomad CC</v>
      </c>
      <c r="F15" s="4">
        <v>7.1064814814814817E-2</v>
      </c>
      <c r="G15">
        <f t="shared" si="0"/>
        <v>6140</v>
      </c>
      <c r="H15">
        <f t="shared" si="1"/>
        <v>4</v>
      </c>
      <c r="I15">
        <f>IF(H15="",0,IFERROR(INDEX(Config!$K$4:$K$6,MATCH(H15,Config!$H$4:$H$6,0)),0))</f>
        <v>0</v>
      </c>
      <c r="J15">
        <f t="shared" si="2"/>
        <v>6140</v>
      </c>
      <c r="K15" s="5">
        <f t="shared" si="3"/>
        <v>7.1064814814814817E-2</v>
      </c>
      <c r="L15">
        <f>IF(A15="",999,IFERROR(MATCH(B15,Config!$A$4:$A$7,0),99)*10+IF(ISNUMBER(F15),1,IF(F15="",2,IF(UPPER(F15)="DNF",3,IF(UPPER(F15)="DNS",4,8)))))</f>
        <v>21</v>
      </c>
    </row>
    <row r="16" spans="1:15" x14ac:dyDescent="0.25">
      <c r="A16">
        <v>55</v>
      </c>
      <c r="B16" t="str">
        <f>IF(A16="","",IFERROR(INDEX(tblReg[Field],MATCH(A16,tblReg[Bib],0)),""))</f>
        <v>Men 40+</v>
      </c>
      <c r="C16" t="str">
        <f>IF(A16="","",IFERROR(INDEX(tblReg[FirstName],MATCH(A16,tblReg[Bib],0)),""))</f>
        <v>Noah</v>
      </c>
      <c r="D16" t="str">
        <f>IF(A16="","",IFERROR(INDEX(tblReg[LastName],MATCH(A16,tblReg[Bib],0)),""))</f>
        <v>Martinez</v>
      </c>
      <c r="E16" t="str">
        <f>IF(A16="","",IFERROR(INDEX(tblReg[Team],MATCH(A16,tblReg[Bib],0)),""))</f>
        <v>City Sprint</v>
      </c>
      <c r="F16" s="4">
        <v>7.9826388888888891E-2</v>
      </c>
      <c r="G16">
        <f t="shared" si="0"/>
        <v>6897</v>
      </c>
      <c r="H16">
        <f t="shared" si="1"/>
        <v>9</v>
      </c>
      <c r="I16">
        <f>IF(H16="",0,IFERROR(INDEX(Config!$K$4:$K$6,MATCH(H16,Config!$H$4:$H$6,0)),0))</f>
        <v>0</v>
      </c>
      <c r="J16">
        <f t="shared" si="2"/>
        <v>6897</v>
      </c>
      <c r="K16" s="5">
        <f t="shared" si="3"/>
        <v>7.9826388888888891E-2</v>
      </c>
      <c r="L16">
        <f>IF(A16="",999,IFERROR(MATCH(B16,Config!$A$4:$A$7,0),99)*10+IF(ISNUMBER(F16),1,IF(F16="",2,IF(UPPER(F16)="DNF",3,IF(UPPER(F16)="DNS",4,8)))))</f>
        <v>21</v>
      </c>
    </row>
    <row r="17" spans="1:12" x14ac:dyDescent="0.25">
      <c r="A17">
        <v>56</v>
      </c>
      <c r="B17" t="str">
        <f>IF(A17="","",IFERROR(INDEX(tblReg[Field],MATCH(A17,tblReg[Bib],0)),""))</f>
        <v>Men 40+</v>
      </c>
      <c r="C17" t="str">
        <f>IF(A17="","",IFERROR(INDEX(tblReg[FirstName],MATCH(A17,tblReg[Bib],0)),""))</f>
        <v>Noah</v>
      </c>
      <c r="D17" t="str">
        <f>IF(A17="","",IFERROR(INDEX(tblReg[LastName],MATCH(A17,tblReg[Bib],0)),""))</f>
        <v>Thomas</v>
      </c>
      <c r="E17" t="str">
        <f>IF(A17="","",IFERROR(INDEX(tblReg[Team],MATCH(A17,tblReg[Bib],0)),""))</f>
        <v>Apex Cycling</v>
      </c>
      <c r="F17" s="4" t="s">
        <v>115</v>
      </c>
      <c r="G17" t="str">
        <f t="shared" si="0"/>
        <v/>
      </c>
      <c r="H17" t="str">
        <f t="shared" si="1"/>
        <v/>
      </c>
      <c r="I17">
        <f>IF(H17="",0,IFERROR(INDEX(Config!$K$4:$K$6,MATCH(H17,Config!$H$4:$H$6,0)),0))</f>
        <v>0</v>
      </c>
      <c r="J17" t="str">
        <f t="shared" si="2"/>
        <v/>
      </c>
      <c r="K17" s="5" t="str">
        <f t="shared" si="3"/>
        <v/>
      </c>
      <c r="L17">
        <f>IF(A17="",999,IFERROR(MATCH(B17,Config!$A$4:$A$7,0),99)*10+IF(ISNUMBER(F17),1,IF(F17="",2,IF(UPPER(F17)="DNF",3,IF(UPPER(F17)="DNS",4,8)))))</f>
        <v>24</v>
      </c>
    </row>
    <row r="18" spans="1:12" x14ac:dyDescent="0.25">
      <c r="A18">
        <v>57</v>
      </c>
      <c r="B18" t="str">
        <f>IF(A18="","",IFERROR(INDEX(tblReg[Field],MATCH(A18,tblReg[Bib],0)),""))</f>
        <v>Men 40+</v>
      </c>
      <c r="C18" t="str">
        <f>IF(A18="","",IFERROR(INDEX(tblReg[FirstName],MATCH(A18,tblReg[Bib],0)),""))</f>
        <v>Liam</v>
      </c>
      <c r="D18" t="str">
        <f>IF(A18="","",IFERROR(INDEX(tblReg[LastName],MATCH(A18,tblReg[Bib],0)),""))</f>
        <v>Moore</v>
      </c>
      <c r="E18" t="str">
        <f>IF(A18="","",IFERROR(INDEX(tblReg[Team],MATCH(A18,tblReg[Bib],0)),""))</f>
        <v>Nomad CC</v>
      </c>
      <c r="F18" s="4">
        <v>7.6446759259259256E-2</v>
      </c>
      <c r="G18">
        <f t="shared" si="0"/>
        <v>6605</v>
      </c>
      <c r="H18">
        <f t="shared" si="1"/>
        <v>6</v>
      </c>
      <c r="I18">
        <f>IF(H18="",0,IFERROR(INDEX(Config!$K$4:$K$6,MATCH(H18,Config!$H$4:$H$6,0)),0))</f>
        <v>0</v>
      </c>
      <c r="J18">
        <f t="shared" si="2"/>
        <v>6605</v>
      </c>
      <c r="K18" s="5">
        <f t="shared" si="3"/>
        <v>7.6446759259259256E-2</v>
      </c>
      <c r="L18">
        <f>IF(A18="",999,IFERROR(MATCH(B18,Config!$A$4:$A$7,0),99)*10+IF(ISNUMBER(F18),1,IF(F18="",2,IF(UPPER(F18)="DNF",3,IF(UPPER(F18)="DNS",4,8)))))</f>
        <v>21</v>
      </c>
    </row>
    <row r="19" spans="1:12" x14ac:dyDescent="0.25">
      <c r="A19">
        <v>58</v>
      </c>
      <c r="B19" t="str">
        <f>IF(A19="","",IFERROR(INDEX(tblReg[Field],MATCH(A19,tblReg[Bib],0)),""))</f>
        <v>Men 40+</v>
      </c>
      <c r="C19" t="str">
        <f>IF(A19="","",IFERROR(INDEX(tblReg[FirstName],MATCH(A19,tblReg[Bib],0)),""))</f>
        <v>Ava</v>
      </c>
      <c r="D19" t="str">
        <f>IF(A19="","",IFERROR(INDEX(tblReg[LastName],MATCH(A19,tblReg[Bib],0)),""))</f>
        <v>Kim</v>
      </c>
      <c r="E19" t="str">
        <f>IF(A19="","",IFERROR(INDEX(tblReg[Team],MATCH(A19,tblReg[Bib],0)),""))</f>
        <v>Northwind Velo</v>
      </c>
      <c r="F19" s="4">
        <v>6.8043981481481483E-2</v>
      </c>
      <c r="G19">
        <f t="shared" si="0"/>
        <v>5879</v>
      </c>
      <c r="H19">
        <f t="shared" si="1"/>
        <v>1</v>
      </c>
      <c r="I19">
        <f>IF(H19="",0,IFERROR(INDEX(Config!$K$4:$K$6,MATCH(H19,Config!$H$4:$H$6,0)),0))</f>
        <v>0</v>
      </c>
      <c r="J19">
        <f t="shared" si="2"/>
        <v>5879</v>
      </c>
      <c r="K19" s="5">
        <f t="shared" si="3"/>
        <v>6.8043981481481483E-2</v>
      </c>
      <c r="L19">
        <f>IF(A19="",999,IFERROR(MATCH(B19,Config!$A$4:$A$7,0),99)*10+IF(ISNUMBER(F19),1,IF(F19="",2,IF(UPPER(F19)="DNF",3,IF(UPPER(F19)="DNS",4,8)))))</f>
        <v>21</v>
      </c>
    </row>
    <row r="20" spans="1:12" x14ac:dyDescent="0.25">
      <c r="A20">
        <v>59</v>
      </c>
      <c r="B20" t="str">
        <f>IF(A20="","",IFERROR(INDEX(tblReg[Field],MATCH(A20,tblReg[Bib],0)),""))</f>
        <v>Men 40+</v>
      </c>
      <c r="C20" t="str">
        <f>IF(A20="","",IFERROR(INDEX(tblReg[FirstName],MATCH(A20,tblReg[Bib],0)),""))</f>
        <v>Leo</v>
      </c>
      <c r="D20" t="str">
        <f>IF(A20="","",IFERROR(INDEX(tblReg[LastName],MATCH(A20,tblReg[Bib],0)),""))</f>
        <v>Kim</v>
      </c>
      <c r="E20" t="str">
        <f>IF(A20="","",IFERROR(INDEX(tblReg[Team],MATCH(A20,tblReg[Bib],0)),""))</f>
        <v>Summit Wheels</v>
      </c>
      <c r="F20" s="4">
        <v>6.8807870370370366E-2</v>
      </c>
      <c r="G20">
        <f t="shared" si="0"/>
        <v>5945</v>
      </c>
      <c r="H20">
        <f t="shared" si="1"/>
        <v>3</v>
      </c>
      <c r="I20">
        <f>IF(H20="",0,IFERROR(INDEX(Config!$K$4:$K$6,MATCH(H20,Config!$H$4:$H$6,0)),0))</f>
        <v>0</v>
      </c>
      <c r="J20">
        <f t="shared" si="2"/>
        <v>5945</v>
      </c>
      <c r="K20" s="5">
        <f t="shared" si="3"/>
        <v>6.8807870370370366E-2</v>
      </c>
      <c r="L20">
        <f>IF(A20="",999,IFERROR(MATCH(B20,Config!$A$4:$A$7,0),99)*10+IF(ISNUMBER(F20),1,IF(F20="",2,IF(UPPER(F20)="DNF",3,IF(UPPER(F20)="DNS",4,8)))))</f>
        <v>21</v>
      </c>
    </row>
    <row r="21" spans="1:12" x14ac:dyDescent="0.25">
      <c r="A21">
        <v>60</v>
      </c>
      <c r="B21" t="str">
        <f>IF(A21="","",IFERROR(INDEX(tblReg[Field],MATCH(A21,tblReg[Bib],0)),""))</f>
        <v>Men 40+</v>
      </c>
      <c r="C21" t="str">
        <f>IF(A21="","",IFERROR(INDEX(tblReg[FirstName],MATCH(A21,tblReg[Bib],0)),""))</f>
        <v>Ruby</v>
      </c>
      <c r="D21" t="str">
        <f>IF(A21="","",IFERROR(INDEX(tblReg[LastName],MATCH(A21,tblReg[Bib],0)),""))</f>
        <v>Miller</v>
      </c>
      <c r="E21" t="str">
        <f>IF(A21="","",IFERROR(INDEX(tblReg[Team],MATCH(A21,tblReg[Bib],0)),""))</f>
        <v>Northwind Velo</v>
      </c>
      <c r="F21" s="4">
        <v>7.8518518518518515E-2</v>
      </c>
      <c r="G21">
        <f t="shared" si="0"/>
        <v>6784</v>
      </c>
      <c r="H21">
        <f t="shared" si="1"/>
        <v>8</v>
      </c>
      <c r="I21">
        <f>IF(H21="",0,IFERROR(INDEX(Config!$K$4:$K$6,MATCH(H21,Config!$H$4:$H$6,0)),0))</f>
        <v>0</v>
      </c>
      <c r="J21">
        <f t="shared" si="2"/>
        <v>6784</v>
      </c>
      <c r="K21" s="5">
        <f t="shared" si="3"/>
        <v>7.8518518518518515E-2</v>
      </c>
      <c r="L21">
        <f>IF(A21="",999,IFERROR(MATCH(B21,Config!$A$4:$A$7,0),99)*10+IF(ISNUMBER(F21),1,IF(F21="",2,IF(UPPER(F21)="DNF",3,IF(UPPER(F21)="DNS",4,8)))))</f>
        <v>21</v>
      </c>
    </row>
    <row r="22" spans="1:12" x14ac:dyDescent="0.25">
      <c r="A22">
        <v>101</v>
      </c>
      <c r="B22" t="str">
        <f>IF(A22="","",IFERROR(INDEX(tblReg[Field],MATCH(A22,tblReg[Bib],0)),""))</f>
        <v>Men 50+</v>
      </c>
      <c r="C22" t="str">
        <f>IF(A22="","",IFERROR(INDEX(tblReg[FirstName],MATCH(A22,tblReg[Bib],0)),""))</f>
        <v>Alex</v>
      </c>
      <c r="D22" t="str">
        <f>IF(A22="","",IFERROR(INDEX(tblReg[LastName],MATCH(A22,tblReg[Bib],0)),""))</f>
        <v>Taylor</v>
      </c>
      <c r="E22" t="str">
        <f>IF(A22="","",IFERROR(INDEX(tblReg[Team],MATCH(A22,tblReg[Bib],0)),""))</f>
        <v>Northwind Velo</v>
      </c>
      <c r="F22" s="4">
        <v>7.1979166666666664E-2</v>
      </c>
      <c r="G22">
        <f t="shared" si="0"/>
        <v>6219</v>
      </c>
      <c r="H22">
        <f t="shared" si="1"/>
        <v>6</v>
      </c>
      <c r="I22">
        <f>IF(H22="",0,IFERROR(INDEX(Config!$K$4:$K$6,MATCH(H22,Config!$H$4:$H$6,0)),0))</f>
        <v>0</v>
      </c>
      <c r="J22">
        <f t="shared" si="2"/>
        <v>6219</v>
      </c>
      <c r="K22" s="5">
        <f t="shared" si="3"/>
        <v>7.1979166666666664E-2</v>
      </c>
      <c r="L22">
        <f>IF(A22="",999,IFERROR(MATCH(B22,Config!$A$4:$A$7,0),99)*10+IF(ISNUMBER(F22),1,IF(F22="",2,IF(UPPER(F22)="DNF",3,IF(UPPER(F22)="DNS",4,8)))))</f>
        <v>31</v>
      </c>
    </row>
    <row r="23" spans="1:12" x14ac:dyDescent="0.25">
      <c r="A23">
        <v>102</v>
      </c>
      <c r="B23" t="str">
        <f>IF(A23="","",IFERROR(INDEX(tblReg[Field],MATCH(A23,tblReg[Bib],0)),""))</f>
        <v>Men 50+</v>
      </c>
      <c r="C23" t="str">
        <f>IF(A23="","",IFERROR(INDEX(tblReg[FirstName],MATCH(A23,tblReg[Bib],0)),""))</f>
        <v>Ivy</v>
      </c>
      <c r="D23" t="str">
        <f>IF(A23="","",IFERROR(INDEX(tblReg[LastName],MATCH(A23,tblReg[Bib],0)),""))</f>
        <v>Johnson</v>
      </c>
      <c r="E23" t="str">
        <f>IF(A23="","",IFERROR(INDEX(tblReg[Team],MATCH(A23,tblReg[Bib],0)),""))</f>
        <v>City Sprint</v>
      </c>
      <c r="F23" s="4">
        <v>8.099537037037037E-2</v>
      </c>
      <c r="G23">
        <f t="shared" si="0"/>
        <v>6998</v>
      </c>
      <c r="H23">
        <f t="shared" si="1"/>
        <v>10</v>
      </c>
      <c r="I23">
        <f>IF(H23="",0,IFERROR(INDEX(Config!$K$4:$K$6,MATCH(H23,Config!$H$4:$H$6,0)),0))</f>
        <v>0</v>
      </c>
      <c r="J23">
        <f t="shared" si="2"/>
        <v>6998</v>
      </c>
      <c r="K23" s="5">
        <f t="shared" si="3"/>
        <v>8.099537037037037E-2</v>
      </c>
      <c r="L23">
        <f>IF(A23="",999,IFERROR(MATCH(B23,Config!$A$4:$A$7,0),99)*10+IF(ISNUMBER(F23),1,IF(F23="",2,IF(UPPER(F23)="DNF",3,IF(UPPER(F23)="DNS",4,8)))))</f>
        <v>31</v>
      </c>
    </row>
    <row r="24" spans="1:12" x14ac:dyDescent="0.25">
      <c r="A24">
        <v>103</v>
      </c>
      <c r="B24" t="str">
        <f>IF(A24="","",IFERROR(INDEX(tblReg[Field],MATCH(A24,tblReg[Bib],0)),""))</f>
        <v>Men 50+</v>
      </c>
      <c r="C24" t="str">
        <f>IF(A24="","",IFERROR(INDEX(tblReg[FirstName],MATCH(A24,tblReg[Bib],0)),""))</f>
        <v>Ethan</v>
      </c>
      <c r="D24" t="str">
        <f>IF(A24="","",IFERROR(INDEX(tblReg[LastName],MATCH(A24,tblReg[Bib],0)),""))</f>
        <v>Lewis</v>
      </c>
      <c r="E24" t="str">
        <f>IF(A24="","",IFERROR(INDEX(tblReg[Team],MATCH(A24,tblReg[Bib],0)),""))</f>
        <v>Apex Cycling</v>
      </c>
      <c r="F24" s="4">
        <v>6.8750000000000006E-2</v>
      </c>
      <c r="G24">
        <f t="shared" si="0"/>
        <v>5940</v>
      </c>
      <c r="H24">
        <f t="shared" si="1"/>
        <v>1</v>
      </c>
      <c r="I24">
        <f>IF(H24="",0,IFERROR(INDEX(Config!$K$4:$K$6,MATCH(H24,Config!$H$4:$H$6,0)),0))</f>
        <v>0</v>
      </c>
      <c r="J24">
        <f t="shared" si="2"/>
        <v>5940</v>
      </c>
      <c r="K24" s="5">
        <f t="shared" si="3"/>
        <v>6.8750000000000006E-2</v>
      </c>
      <c r="L24">
        <f>IF(A24="",999,IFERROR(MATCH(B24,Config!$A$4:$A$7,0),99)*10+IF(ISNUMBER(F24),1,IF(F24="",2,IF(UPPER(F24)="DNF",3,IF(UPPER(F24)="DNS",4,8)))))</f>
        <v>31</v>
      </c>
    </row>
    <row r="25" spans="1:12" x14ac:dyDescent="0.25">
      <c r="A25">
        <v>104</v>
      </c>
      <c r="B25" t="str">
        <f>IF(A25="","",IFERROR(INDEX(tblReg[Field],MATCH(A25,tblReg[Bib],0)),""))</f>
        <v>Men 50+</v>
      </c>
      <c r="C25" t="str">
        <f>IF(A25="","",IFERROR(INDEX(tblReg[FirstName],MATCH(A25,tblReg[Bib],0)),""))</f>
        <v>Noah</v>
      </c>
      <c r="D25" t="str">
        <f>IF(A25="","",IFERROR(INDEX(tblReg[LastName],MATCH(A25,tblReg[Bib],0)),""))</f>
        <v>Smith</v>
      </c>
      <c r="E25" t="str">
        <f>IF(A25="","",IFERROR(INDEX(tblReg[Team],MATCH(A25,tblReg[Bib],0)),""))</f>
        <v>Northwind Velo</v>
      </c>
      <c r="F25" s="4">
        <v>7.1145833333333339E-2</v>
      </c>
      <c r="G25">
        <f t="shared" si="0"/>
        <v>6147</v>
      </c>
      <c r="H25">
        <f t="shared" si="1"/>
        <v>3</v>
      </c>
      <c r="I25">
        <f>IF(H25="",0,IFERROR(INDEX(Config!$K$4:$K$6,MATCH(H25,Config!$H$4:$H$6,0)),0))</f>
        <v>0</v>
      </c>
      <c r="J25">
        <f t="shared" si="2"/>
        <v>6147</v>
      </c>
      <c r="K25" s="5">
        <f t="shared" si="3"/>
        <v>7.1145833333333339E-2</v>
      </c>
      <c r="L25">
        <f>IF(A25="",999,IFERROR(MATCH(B25,Config!$A$4:$A$7,0),99)*10+IF(ISNUMBER(F25),1,IF(F25="",2,IF(UPPER(F25)="DNF",3,IF(UPPER(F25)="DNS",4,8)))))</f>
        <v>31</v>
      </c>
    </row>
    <row r="26" spans="1:12" x14ac:dyDescent="0.25">
      <c r="A26">
        <v>105</v>
      </c>
      <c r="B26" t="str">
        <f>IF(A26="","",IFERROR(INDEX(tblReg[Field],MATCH(A26,tblReg[Bib],0)),""))</f>
        <v>Men 50+</v>
      </c>
      <c r="C26" t="str">
        <f>IF(A26="","",IFERROR(INDEX(tblReg[FirstName],MATCH(A26,tblReg[Bib],0)),""))</f>
        <v>Ruby</v>
      </c>
      <c r="D26" t="str">
        <f>IF(A26="","",IFERROR(INDEX(tblReg[LastName],MATCH(A26,tblReg[Bib],0)),""))</f>
        <v>Moore</v>
      </c>
      <c r="E26" t="str">
        <f>IF(A26="","",IFERROR(INDEX(tblReg[Team],MATCH(A26,tblReg[Bib],0)),""))</f>
        <v>Northwind Velo</v>
      </c>
      <c r="F26" s="4">
        <v>7.8657407407407412E-2</v>
      </c>
      <c r="G26">
        <f t="shared" si="0"/>
        <v>6796</v>
      </c>
      <c r="H26">
        <f t="shared" si="1"/>
        <v>8</v>
      </c>
      <c r="I26">
        <f>IF(H26="",0,IFERROR(INDEX(Config!$K$4:$K$6,MATCH(H26,Config!$H$4:$H$6,0)),0))</f>
        <v>0</v>
      </c>
      <c r="J26">
        <f t="shared" si="2"/>
        <v>6796</v>
      </c>
      <c r="K26" s="5">
        <f t="shared" si="3"/>
        <v>7.8657407407407412E-2</v>
      </c>
      <c r="L26">
        <f>IF(A26="",999,IFERROR(MATCH(B26,Config!$A$4:$A$7,0),99)*10+IF(ISNUMBER(F26),1,IF(F26="",2,IF(UPPER(F26)="DNF",3,IF(UPPER(F26)="DNS",4,8)))))</f>
        <v>31</v>
      </c>
    </row>
    <row r="27" spans="1:12" x14ac:dyDescent="0.25">
      <c r="A27">
        <v>106</v>
      </c>
      <c r="B27" t="str">
        <f>IF(A27="","",IFERROR(INDEX(tblReg[Field],MATCH(A27,tblReg[Bib],0)),""))</f>
        <v>Men 50+</v>
      </c>
      <c r="C27" t="str">
        <f>IF(A27="","",IFERROR(INDEX(tblReg[FirstName],MATCH(A27,tblReg[Bib],0)),""))</f>
        <v>Owen</v>
      </c>
      <c r="D27" t="str">
        <f>IF(A27="","",IFERROR(INDEX(tblReg[LastName],MATCH(A27,tblReg[Bib],0)),""))</f>
        <v>Martinez</v>
      </c>
      <c r="E27" t="str">
        <f>IF(A27="","",IFERROR(INDEX(tblReg[Team],MATCH(A27,tblReg[Bib],0)),""))</f>
        <v>Rapid Chain</v>
      </c>
      <c r="F27" s="4">
        <v>7.2245370370370376E-2</v>
      </c>
      <c r="G27">
        <f t="shared" si="0"/>
        <v>6242</v>
      </c>
      <c r="H27">
        <f t="shared" si="1"/>
        <v>7</v>
      </c>
      <c r="I27">
        <f>IF(H27="",0,IFERROR(INDEX(Config!$K$4:$K$6,MATCH(H27,Config!$H$4:$H$6,0)),0))</f>
        <v>0</v>
      </c>
      <c r="J27">
        <f t="shared" si="2"/>
        <v>6242</v>
      </c>
      <c r="K27" s="5">
        <f t="shared" si="3"/>
        <v>7.2245370370370376E-2</v>
      </c>
      <c r="L27">
        <f>IF(A27="",999,IFERROR(MATCH(B27,Config!$A$4:$A$7,0),99)*10+IF(ISNUMBER(F27),1,IF(F27="",2,IF(UPPER(F27)="DNF",3,IF(UPPER(F27)="DNS",4,8)))))</f>
        <v>31</v>
      </c>
    </row>
    <row r="28" spans="1:12" x14ac:dyDescent="0.25">
      <c r="A28">
        <v>107</v>
      </c>
      <c r="B28" t="str">
        <f>IF(A28="","",IFERROR(INDEX(tblReg[Field],MATCH(A28,tblReg[Bib],0)),""))</f>
        <v>Men 50+</v>
      </c>
      <c r="C28" t="str">
        <f>IF(A28="","",IFERROR(INDEX(tblReg[FirstName],MATCH(A28,tblReg[Bib],0)),""))</f>
        <v>Jude</v>
      </c>
      <c r="D28" t="str">
        <f>IF(A28="","",IFERROR(INDEX(tblReg[LastName],MATCH(A28,tblReg[Bib],0)),""))</f>
        <v>Clark</v>
      </c>
      <c r="E28" t="str">
        <f>IF(A28="","",IFERROR(INDEX(tblReg[Team],MATCH(A28,tblReg[Bib],0)),""))</f>
        <v>Northwind Velo</v>
      </c>
      <c r="F28" s="4">
        <v>7.9340277777777773E-2</v>
      </c>
      <c r="G28">
        <f t="shared" si="0"/>
        <v>6855</v>
      </c>
      <c r="H28">
        <f t="shared" si="1"/>
        <v>9</v>
      </c>
      <c r="I28">
        <f>IF(H28="",0,IFERROR(INDEX(Config!$K$4:$K$6,MATCH(H28,Config!$H$4:$H$6,0)),0))</f>
        <v>0</v>
      </c>
      <c r="J28">
        <f t="shared" si="2"/>
        <v>6855</v>
      </c>
      <c r="K28" s="5">
        <f t="shared" si="3"/>
        <v>7.9340277777777773E-2</v>
      </c>
      <c r="L28">
        <f>IF(A28="",999,IFERROR(MATCH(B28,Config!$A$4:$A$7,0),99)*10+IF(ISNUMBER(F28),1,IF(F28="",2,IF(UPPER(F28)="DNF",3,IF(UPPER(F28)="DNS",4,8)))))</f>
        <v>31</v>
      </c>
    </row>
    <row r="29" spans="1:12" x14ac:dyDescent="0.25">
      <c r="A29">
        <v>108</v>
      </c>
      <c r="B29" t="str">
        <f>IF(A29="","",IFERROR(INDEX(tblReg[Field],MATCH(A29,tblReg[Bib],0)),""))</f>
        <v>Men 50+</v>
      </c>
      <c r="C29" t="str">
        <f>IF(A29="","",IFERROR(INDEX(tblReg[FirstName],MATCH(A29,tblReg[Bib],0)),""))</f>
        <v>Ruby</v>
      </c>
      <c r="D29" t="str">
        <f>IF(A29="","",IFERROR(INDEX(tblReg[LastName],MATCH(A29,tblReg[Bib],0)),""))</f>
        <v>Anderson</v>
      </c>
      <c r="E29" t="str">
        <f>IF(A29="","",IFERROR(INDEX(tblReg[Team],MATCH(A29,tblReg[Bib],0)),""))</f>
        <v>Rapid Chain</v>
      </c>
      <c r="F29" s="4">
        <v>7.1898148148148142E-2</v>
      </c>
      <c r="G29">
        <f t="shared" si="0"/>
        <v>6212</v>
      </c>
      <c r="H29">
        <f t="shared" si="1"/>
        <v>5</v>
      </c>
      <c r="I29">
        <f>IF(H29="",0,IFERROR(INDEX(Config!$K$4:$K$6,MATCH(H29,Config!$H$4:$H$6,0)),0))</f>
        <v>0</v>
      </c>
      <c r="J29">
        <f t="shared" si="2"/>
        <v>6212</v>
      </c>
      <c r="K29" s="5">
        <f t="shared" si="3"/>
        <v>7.1898148148148142E-2</v>
      </c>
      <c r="L29">
        <f>IF(A29="",999,IFERROR(MATCH(B29,Config!$A$4:$A$7,0),99)*10+IF(ISNUMBER(F29),1,IF(F29="",2,IF(UPPER(F29)="DNF",3,IF(UPPER(F29)="DNS",4,8)))))</f>
        <v>31</v>
      </c>
    </row>
    <row r="30" spans="1:12" x14ac:dyDescent="0.25">
      <c r="A30">
        <v>109</v>
      </c>
      <c r="B30" t="str">
        <f>IF(A30="","",IFERROR(INDEX(tblReg[Field],MATCH(A30,tblReg[Bib],0)),""))</f>
        <v>Men 50+</v>
      </c>
      <c r="C30" t="str">
        <f>IF(A30="","",IFERROR(INDEX(tblReg[FirstName],MATCH(A30,tblReg[Bib],0)),""))</f>
        <v>Sofia</v>
      </c>
      <c r="D30" t="str">
        <f>IF(A30="","",IFERROR(INDEX(tblReg[LastName],MATCH(A30,tblReg[Bib],0)),""))</f>
        <v>Brown</v>
      </c>
      <c r="E30" t="str">
        <f>IF(A30="","",IFERROR(INDEX(tblReg[Team],MATCH(A30,tblReg[Bib],0)),""))</f>
        <v>Apex Cycling</v>
      </c>
      <c r="F30" s="4">
        <v>7.1261574074074074E-2</v>
      </c>
      <c r="G30">
        <f t="shared" si="0"/>
        <v>6157</v>
      </c>
      <c r="H30">
        <f t="shared" si="1"/>
        <v>4</v>
      </c>
      <c r="I30">
        <f>IF(H30="",0,IFERROR(INDEX(Config!$K$4:$K$6,MATCH(H30,Config!$H$4:$H$6,0)),0))</f>
        <v>0</v>
      </c>
      <c r="J30">
        <f t="shared" si="2"/>
        <v>6157</v>
      </c>
      <c r="K30" s="5">
        <f t="shared" si="3"/>
        <v>7.1261574074074074E-2</v>
      </c>
      <c r="L30">
        <f>IF(A30="",999,IFERROR(MATCH(B30,Config!$A$4:$A$7,0),99)*10+IF(ISNUMBER(F30),1,IF(F30="",2,IF(UPPER(F30)="DNF",3,IF(UPPER(F30)="DNS",4,8)))))</f>
        <v>31</v>
      </c>
    </row>
    <row r="31" spans="1:12" x14ac:dyDescent="0.25">
      <c r="A31">
        <v>110</v>
      </c>
      <c r="B31" t="str">
        <f>IF(A31="","",IFERROR(INDEX(tblReg[Field],MATCH(A31,tblReg[Bib],0)),""))</f>
        <v>Men 50+</v>
      </c>
      <c r="C31" t="str">
        <f>IF(A31="","",IFERROR(INDEX(tblReg[FirstName],MATCH(A31,tblReg[Bib],0)),""))</f>
        <v>Emma</v>
      </c>
      <c r="D31" t="str">
        <f>IF(A31="","",IFERROR(INDEX(tblReg[LastName],MATCH(A31,tblReg[Bib],0)),""))</f>
        <v>Moore</v>
      </c>
      <c r="E31" t="str">
        <f>IF(A31="","",IFERROR(INDEX(tblReg[Team],MATCH(A31,tblReg[Bib],0)),""))</f>
        <v>Summit Wheels</v>
      </c>
      <c r="F31" s="4">
        <v>7.0243055555555559E-2</v>
      </c>
      <c r="G31">
        <f t="shared" si="0"/>
        <v>6069</v>
      </c>
      <c r="H31">
        <f t="shared" si="1"/>
        <v>2</v>
      </c>
      <c r="I31">
        <f>IF(H31="",0,IFERROR(INDEX(Config!$K$4:$K$6,MATCH(H31,Config!$H$4:$H$6,0)),0))</f>
        <v>0</v>
      </c>
      <c r="J31">
        <f t="shared" si="2"/>
        <v>6069</v>
      </c>
      <c r="K31" s="5">
        <f t="shared" si="3"/>
        <v>7.0243055555555559E-2</v>
      </c>
      <c r="L31">
        <f>IF(A31="",999,IFERROR(MATCH(B31,Config!$A$4:$A$7,0),99)*10+IF(ISNUMBER(F31),1,IF(F31="",2,IF(UPPER(F31)="DNF",3,IF(UPPER(F31)="DNS",4,8)))))</f>
        <v>31</v>
      </c>
    </row>
    <row r="32" spans="1:12" x14ac:dyDescent="0.25">
      <c r="A32">
        <v>151</v>
      </c>
      <c r="B32" t="str">
        <f>IF(A32="","",IFERROR(INDEX(tblReg[Field],MATCH(A32,tblReg[Bib],0)),""))</f>
        <v>Women</v>
      </c>
      <c r="C32" t="str">
        <f>IF(A32="","",IFERROR(INDEX(tblReg[FirstName],MATCH(A32,tblReg[Bib],0)),""))</f>
        <v>Ruby</v>
      </c>
      <c r="D32" t="str">
        <f>IF(A32="","",IFERROR(INDEX(tblReg[LastName],MATCH(A32,tblReg[Bib],0)),""))</f>
        <v>Nguyen</v>
      </c>
      <c r="E32" t="str">
        <f>IF(A32="","",IFERROR(INDEX(tblReg[Team],MATCH(A32,tblReg[Bib],0)),""))</f>
        <v>City Sprint</v>
      </c>
      <c r="F32" s="4">
        <v>7.8287037037037044E-2</v>
      </c>
      <c r="G32">
        <f t="shared" si="0"/>
        <v>6764</v>
      </c>
      <c r="H32">
        <f t="shared" si="1"/>
        <v>8</v>
      </c>
      <c r="I32">
        <f>IF(H32="",0,IFERROR(INDEX(Config!$K$4:$K$6,MATCH(H32,Config!$H$4:$H$6,0)),0))</f>
        <v>0</v>
      </c>
      <c r="J32">
        <f t="shared" si="2"/>
        <v>6764</v>
      </c>
      <c r="K32" s="5">
        <f t="shared" si="3"/>
        <v>7.8287037037037044E-2</v>
      </c>
      <c r="L32">
        <f>IF(A32="",999,IFERROR(MATCH(B32,Config!$A$4:$A$7,0),99)*10+IF(ISNUMBER(F32),1,IF(F32="",2,IF(UPPER(F32)="DNF",3,IF(UPPER(F32)="DNS",4,8)))))</f>
        <v>41</v>
      </c>
    </row>
    <row r="33" spans="1:12" x14ac:dyDescent="0.25">
      <c r="A33">
        <v>152</v>
      </c>
      <c r="B33" t="str">
        <f>IF(A33="","",IFERROR(INDEX(tblReg[Field],MATCH(A33,tblReg[Bib],0)),""))</f>
        <v>Women</v>
      </c>
      <c r="C33" t="str">
        <f>IF(A33="","",IFERROR(INDEX(tblReg[FirstName],MATCH(A33,tblReg[Bib],0)),""))</f>
        <v>Ivy</v>
      </c>
      <c r="D33" t="str">
        <f>IF(A33="","",IFERROR(INDEX(tblReg[LastName],MATCH(A33,tblReg[Bib],0)),""))</f>
        <v>Lewis</v>
      </c>
      <c r="E33" t="str">
        <f>IF(A33="","",IFERROR(INDEX(tblReg[Team],MATCH(A33,tblReg[Bib],0)),""))</f>
        <v>Summit Wheels</v>
      </c>
      <c r="F33" s="4">
        <v>7.526620370370371E-2</v>
      </c>
      <c r="G33">
        <f t="shared" si="0"/>
        <v>6503</v>
      </c>
      <c r="H33">
        <f t="shared" si="1"/>
        <v>6</v>
      </c>
      <c r="I33">
        <f>IF(H33="",0,IFERROR(INDEX(Config!$K$4:$K$6,MATCH(H33,Config!$H$4:$H$6,0)),0))</f>
        <v>0</v>
      </c>
      <c r="J33">
        <f t="shared" si="2"/>
        <v>6503</v>
      </c>
      <c r="K33" s="5">
        <f t="shared" si="3"/>
        <v>7.526620370370371E-2</v>
      </c>
      <c r="L33">
        <f>IF(A33="",999,IFERROR(MATCH(B33,Config!$A$4:$A$7,0),99)*10+IF(ISNUMBER(F33),1,IF(F33="",2,IF(UPPER(F33)="DNF",3,IF(UPPER(F33)="DNS",4,8)))))</f>
        <v>41</v>
      </c>
    </row>
    <row r="34" spans="1:12" x14ac:dyDescent="0.25">
      <c r="A34">
        <v>153</v>
      </c>
      <c r="B34" t="str">
        <f>IF(A34="","",IFERROR(INDEX(tblReg[Field],MATCH(A34,tblReg[Bib],0)),""))</f>
        <v>Women</v>
      </c>
      <c r="C34" t="str">
        <f>IF(A34="","",IFERROR(INDEX(tblReg[FirstName],MATCH(A34,tblReg[Bib],0)),""))</f>
        <v>Kai</v>
      </c>
      <c r="D34" t="str">
        <f>IF(A34="","",IFERROR(INDEX(tblReg[LastName],MATCH(A34,tblReg[Bib],0)),""))</f>
        <v>Taylor</v>
      </c>
      <c r="E34" t="str">
        <f>IF(A34="","",IFERROR(INDEX(tblReg[Team],MATCH(A34,tblReg[Bib],0)),""))</f>
        <v>Northwind Velo</v>
      </c>
      <c r="F34" s="4">
        <v>7.4467592592592599E-2</v>
      </c>
      <c r="G34">
        <f t="shared" si="0"/>
        <v>6434</v>
      </c>
      <c r="H34">
        <f t="shared" si="1"/>
        <v>3</v>
      </c>
      <c r="I34">
        <f>IF(H34="",0,IFERROR(INDEX(Config!$K$4:$K$6,MATCH(H34,Config!$H$4:$H$6,0)),0))</f>
        <v>0</v>
      </c>
      <c r="J34">
        <f t="shared" si="2"/>
        <v>6434</v>
      </c>
      <c r="K34" s="5">
        <f t="shared" si="3"/>
        <v>7.4467592592592599E-2</v>
      </c>
      <c r="L34">
        <f>IF(A34="",999,IFERROR(MATCH(B34,Config!$A$4:$A$7,0),99)*10+IF(ISNUMBER(F34),1,IF(F34="",2,IF(UPPER(F34)="DNF",3,IF(UPPER(F34)="DNS",4,8)))))</f>
        <v>41</v>
      </c>
    </row>
    <row r="35" spans="1:12" x14ac:dyDescent="0.25">
      <c r="A35">
        <v>154</v>
      </c>
      <c r="B35" t="str">
        <f>IF(A35="","",IFERROR(INDEX(tblReg[Field],MATCH(A35,tblReg[Bib],0)),""))</f>
        <v>Women</v>
      </c>
      <c r="C35" t="str">
        <f>IF(A35="","",IFERROR(INDEX(tblReg[FirstName],MATCH(A35,tblReg[Bib],0)),""))</f>
        <v>Aria</v>
      </c>
      <c r="D35" t="str">
        <f>IF(A35="","",IFERROR(INDEX(tblReg[LastName],MATCH(A35,tblReg[Bib],0)),""))</f>
        <v>Lopez</v>
      </c>
      <c r="E35" t="str">
        <f>IF(A35="","",IFERROR(INDEX(tblReg[Team],MATCH(A35,tblReg[Bib],0)),""))</f>
        <v>Rapid Chain</v>
      </c>
      <c r="F35" s="4">
        <v>7.918981481481481E-2</v>
      </c>
      <c r="G35">
        <f t="shared" si="0"/>
        <v>6842</v>
      </c>
      <c r="H35">
        <f t="shared" si="1"/>
        <v>10</v>
      </c>
      <c r="I35">
        <f>IF(H35="",0,IFERROR(INDEX(Config!$K$4:$K$6,MATCH(H35,Config!$H$4:$H$6,0)),0))</f>
        <v>0</v>
      </c>
      <c r="J35">
        <f t="shared" si="2"/>
        <v>6842</v>
      </c>
      <c r="K35" s="5">
        <f t="shared" si="3"/>
        <v>7.918981481481481E-2</v>
      </c>
      <c r="L35">
        <f>IF(A35="",999,IFERROR(MATCH(B35,Config!$A$4:$A$7,0),99)*10+IF(ISNUMBER(F35),1,IF(F35="",2,IF(UPPER(F35)="DNF",3,IF(UPPER(F35)="DNS",4,8)))))</f>
        <v>41</v>
      </c>
    </row>
    <row r="36" spans="1:12" x14ac:dyDescent="0.25">
      <c r="A36">
        <v>155</v>
      </c>
      <c r="B36" t="str">
        <f>IF(A36="","",IFERROR(INDEX(tblReg[Field],MATCH(A36,tblReg[Bib],0)),""))</f>
        <v>Women</v>
      </c>
      <c r="C36" t="str">
        <f>IF(A36="","",IFERROR(INDEX(tblReg[FirstName],MATCH(A36,tblReg[Bib],0)),""))</f>
        <v>Jude</v>
      </c>
      <c r="D36" t="str">
        <f>IF(A36="","",IFERROR(INDEX(tblReg[LastName],MATCH(A36,tblReg[Bib],0)),""))</f>
        <v>Martinez</v>
      </c>
      <c r="E36" t="str">
        <f>IF(A36="","",IFERROR(INDEX(tblReg[Team],MATCH(A36,tblReg[Bib],0)),""))</f>
        <v>Rapid Chain</v>
      </c>
      <c r="F36" s="4">
        <v>7.5046296296296292E-2</v>
      </c>
      <c r="G36">
        <f t="shared" si="0"/>
        <v>6484</v>
      </c>
      <c r="H36">
        <f t="shared" si="1"/>
        <v>4</v>
      </c>
      <c r="I36">
        <f>IF(H36="",0,IFERROR(INDEX(Config!$K$4:$K$6,MATCH(H36,Config!$H$4:$H$6,0)),0))</f>
        <v>0</v>
      </c>
      <c r="J36">
        <f t="shared" si="2"/>
        <v>6484</v>
      </c>
      <c r="K36" s="5">
        <f t="shared" si="3"/>
        <v>7.5046296296296292E-2</v>
      </c>
      <c r="L36">
        <f>IF(A36="",999,IFERROR(MATCH(B36,Config!$A$4:$A$7,0),99)*10+IF(ISNUMBER(F36),1,IF(F36="",2,IF(UPPER(F36)="DNF",3,IF(UPPER(F36)="DNS",4,8)))))</f>
        <v>41</v>
      </c>
    </row>
    <row r="37" spans="1:12" x14ac:dyDescent="0.25">
      <c r="A37">
        <v>156</v>
      </c>
      <c r="B37" t="str">
        <f>IF(A37="","",IFERROR(INDEX(tblReg[Field],MATCH(A37,tblReg[Bib],0)),""))</f>
        <v>Women</v>
      </c>
      <c r="C37" t="str">
        <f>IF(A37="","",IFERROR(INDEX(tblReg[FirstName],MATCH(A37,tblReg[Bib],0)),""))</f>
        <v>Ruby</v>
      </c>
      <c r="D37" t="str">
        <f>IF(A37="","",IFERROR(INDEX(tblReg[LastName],MATCH(A37,tblReg[Bib],0)),""))</f>
        <v>Brown</v>
      </c>
      <c r="E37" t="str">
        <f>IF(A37="","",IFERROR(INDEX(tblReg[Team],MATCH(A37,tblReg[Bib],0)),""))</f>
        <v>Rapid Chain</v>
      </c>
      <c r="F37" s="4">
        <v>7.5104166666666666E-2</v>
      </c>
      <c r="G37">
        <f t="shared" si="0"/>
        <v>6489</v>
      </c>
      <c r="H37">
        <f t="shared" si="1"/>
        <v>5</v>
      </c>
      <c r="I37">
        <f>IF(H37="",0,IFERROR(INDEX(Config!$K$4:$K$6,MATCH(H37,Config!$H$4:$H$6,0)),0))</f>
        <v>0</v>
      </c>
      <c r="J37">
        <f t="shared" si="2"/>
        <v>6489</v>
      </c>
      <c r="K37" s="5">
        <f t="shared" si="3"/>
        <v>7.5104166666666666E-2</v>
      </c>
      <c r="L37">
        <f>IF(A37="",999,IFERROR(MATCH(B37,Config!$A$4:$A$7,0),99)*10+IF(ISNUMBER(F37),1,IF(F37="",2,IF(UPPER(F37)="DNF",3,IF(UPPER(F37)="DNS",4,8)))))</f>
        <v>41</v>
      </c>
    </row>
    <row r="38" spans="1:12" x14ac:dyDescent="0.25">
      <c r="A38">
        <v>157</v>
      </c>
      <c r="B38" t="str">
        <f>IF(A38="","",IFERROR(INDEX(tblReg[Field],MATCH(A38,tblReg[Bib],0)),""))</f>
        <v>Women</v>
      </c>
      <c r="C38" t="str">
        <f>IF(A38="","",IFERROR(INDEX(tblReg[FirstName],MATCH(A38,tblReg[Bib],0)),""))</f>
        <v>Ethan</v>
      </c>
      <c r="D38" t="str">
        <f>IF(A38="","",IFERROR(INDEX(tblReg[LastName],MATCH(A38,tblReg[Bib],0)),""))</f>
        <v>Park</v>
      </c>
      <c r="E38" t="str">
        <f>IF(A38="","",IFERROR(INDEX(tblReg[Team],MATCH(A38,tblReg[Bib],0)),""))</f>
        <v>City Sprint</v>
      </c>
      <c r="F38" s="4">
        <v>7.7546296296296294E-2</v>
      </c>
      <c r="G38">
        <f t="shared" si="0"/>
        <v>6700</v>
      </c>
      <c r="H38">
        <f t="shared" si="1"/>
        <v>7</v>
      </c>
      <c r="I38">
        <f>IF(H38="",0,IFERROR(INDEX(Config!$K$4:$K$6,MATCH(H38,Config!$H$4:$H$6,0)),0))</f>
        <v>0</v>
      </c>
      <c r="J38">
        <f t="shared" si="2"/>
        <v>6700</v>
      </c>
      <c r="K38" s="5">
        <f t="shared" si="3"/>
        <v>7.7546296296296294E-2</v>
      </c>
      <c r="L38">
        <f>IF(A38="",999,IFERROR(MATCH(B38,Config!$A$4:$A$7,0),99)*10+IF(ISNUMBER(F38),1,IF(F38="",2,IF(UPPER(F38)="DNF",3,IF(UPPER(F38)="DNS",4,8)))))</f>
        <v>41</v>
      </c>
    </row>
    <row r="39" spans="1:12" x14ac:dyDescent="0.25">
      <c r="A39">
        <v>158</v>
      </c>
      <c r="B39" t="str">
        <f>IF(A39="","",IFERROR(INDEX(tblReg[Field],MATCH(A39,tblReg[Bib],0)),""))</f>
        <v>Women</v>
      </c>
      <c r="C39" t="str">
        <f>IF(A39="","",IFERROR(INDEX(tblReg[FirstName],MATCH(A39,tblReg[Bib],0)),""))</f>
        <v>Mila</v>
      </c>
      <c r="D39" t="str">
        <f>IF(A39="","",IFERROR(INDEX(tblReg[LastName],MATCH(A39,tblReg[Bib],0)),""))</f>
        <v>Kim</v>
      </c>
      <c r="E39" t="str">
        <f>IF(A39="","",IFERROR(INDEX(tblReg[Team],MATCH(A39,tblReg[Bib],0)),""))</f>
        <v>City Sprint</v>
      </c>
      <c r="F39" s="4">
        <v>7.90162037037037E-2</v>
      </c>
      <c r="G39">
        <f t="shared" si="0"/>
        <v>6827</v>
      </c>
      <c r="H39">
        <f t="shared" si="1"/>
        <v>9</v>
      </c>
      <c r="I39">
        <f>IF(H39="",0,IFERROR(INDEX(Config!$K$4:$K$6,MATCH(H39,Config!$H$4:$H$6,0)),0))</f>
        <v>0</v>
      </c>
      <c r="J39">
        <f t="shared" si="2"/>
        <v>6827</v>
      </c>
      <c r="K39" s="5">
        <f t="shared" si="3"/>
        <v>7.90162037037037E-2</v>
      </c>
      <c r="L39">
        <f>IF(A39="",999,IFERROR(MATCH(B39,Config!$A$4:$A$7,0),99)*10+IF(ISNUMBER(F39),1,IF(F39="",2,IF(UPPER(F39)="DNF",3,IF(UPPER(F39)="DNS",4,8)))))</f>
        <v>41</v>
      </c>
    </row>
    <row r="40" spans="1:12" x14ac:dyDescent="0.25">
      <c r="A40">
        <v>159</v>
      </c>
      <c r="B40" t="str">
        <f>IF(A40="","",IFERROR(INDEX(tblReg[Field],MATCH(A40,tblReg[Bib],0)),""))</f>
        <v>Women</v>
      </c>
      <c r="C40" t="str">
        <f>IF(A40="","",IFERROR(INDEX(tblReg[FirstName],MATCH(A40,tblReg[Bib],0)),""))</f>
        <v>Emma</v>
      </c>
      <c r="D40" t="str">
        <f>IF(A40="","",IFERROR(INDEX(tblReg[LastName],MATCH(A40,tblReg[Bib],0)),""))</f>
        <v>Brown</v>
      </c>
      <c r="E40" t="str">
        <f>IF(A40="","",IFERROR(INDEX(tblReg[Team],MATCH(A40,tblReg[Bib],0)),""))</f>
        <v>Rapid Chain</v>
      </c>
      <c r="F40" s="4">
        <v>6.9930555555555551E-2</v>
      </c>
      <c r="G40">
        <f t="shared" si="0"/>
        <v>6042</v>
      </c>
      <c r="H40">
        <f t="shared" si="1"/>
        <v>1</v>
      </c>
      <c r="I40">
        <f>IF(H40="",0,IFERROR(INDEX(Config!$K$4:$K$6,MATCH(H40,Config!$H$4:$H$6,0)),0))</f>
        <v>0</v>
      </c>
      <c r="J40">
        <f t="shared" si="2"/>
        <v>6042</v>
      </c>
      <c r="K40" s="5">
        <f t="shared" si="3"/>
        <v>6.9930555555555551E-2</v>
      </c>
      <c r="L40">
        <f>IF(A40="",999,IFERROR(MATCH(B40,Config!$A$4:$A$7,0),99)*10+IF(ISNUMBER(F40),1,IF(F40="",2,IF(UPPER(F40)="DNF",3,IF(UPPER(F40)="DNS",4,8)))))</f>
        <v>41</v>
      </c>
    </row>
    <row r="41" spans="1:12" x14ac:dyDescent="0.25">
      <c r="A41">
        <v>160</v>
      </c>
      <c r="B41" t="str">
        <f>IF(A41="","",IFERROR(INDEX(tblReg[Field],MATCH(A41,tblReg[Bib],0)),""))</f>
        <v>Women</v>
      </c>
      <c r="C41" t="str">
        <f>IF(A41="","",IFERROR(INDEX(tblReg[FirstName],MATCH(A41,tblReg[Bib],0)),""))</f>
        <v>Noah</v>
      </c>
      <c r="D41" t="str">
        <f>IF(A41="","",IFERROR(INDEX(tblReg[LastName],MATCH(A41,tblReg[Bib],0)),""))</f>
        <v>Davis</v>
      </c>
      <c r="E41" t="str">
        <f>IF(A41="","",IFERROR(INDEX(tblReg[Team],MATCH(A41,tblReg[Bib],0)),""))</f>
        <v>Rapid Chain</v>
      </c>
      <c r="F41" s="4">
        <v>7.0821759259259265E-2</v>
      </c>
      <c r="G41">
        <f t="shared" si="0"/>
        <v>6119</v>
      </c>
      <c r="H41">
        <f t="shared" si="1"/>
        <v>2</v>
      </c>
      <c r="I41">
        <f>IF(H41="",0,IFERROR(INDEX(Config!$K$4:$K$6,MATCH(H41,Config!$H$4:$H$6,0)),0))</f>
        <v>0</v>
      </c>
      <c r="J41">
        <f t="shared" si="2"/>
        <v>6119</v>
      </c>
      <c r="K41" s="5">
        <f t="shared" si="3"/>
        <v>7.0821759259259265E-2</v>
      </c>
      <c r="L41">
        <f>IF(A41="",999,IFERROR(MATCH(B41,Config!$A$4:$A$7,0),99)*10+IF(ISNUMBER(F41),1,IF(F41="",2,IF(UPPER(F41)="DNF",3,IF(UPPER(F41)="DNS",4,8)))))</f>
        <v>41</v>
      </c>
    </row>
    <row r="42" spans="1:12" x14ac:dyDescent="0.25">
      <c r="B42" t="str">
        <f>IF(A42="","",IFERROR(INDEX(tblReg[Field],MATCH(A42,tblReg[Bib],0)),""))</f>
        <v/>
      </c>
      <c r="C42" t="str">
        <f>IF(A42="","",IFERROR(INDEX(tblReg[FirstName],MATCH(A42,tblReg[Bib],0)),""))</f>
        <v/>
      </c>
      <c r="D42" t="str">
        <f>IF(A42="","",IFERROR(INDEX(tblReg[LastName],MATCH(A42,tblReg[Bib],0)),""))</f>
        <v/>
      </c>
      <c r="E42" t="str">
        <f>IF(A42="","",IFERROR(INDEX(tblReg[Team],MATCH(A42,tblReg[Bib],0)),""))</f>
        <v/>
      </c>
      <c r="F42" s="4" t="s">
        <v>103</v>
      </c>
      <c r="G42" t="str">
        <f t="shared" si="0"/>
        <v/>
      </c>
      <c r="H42" t="str">
        <f t="shared" si="1"/>
        <v/>
      </c>
      <c r="I42">
        <f>IF(H42="",0,IFERROR(INDEX(Config!$K$4:$K$6,MATCH(H42,Config!$H$4:$H$6,0)),0))</f>
        <v>0</v>
      </c>
      <c r="J42" t="str">
        <f t="shared" si="2"/>
        <v/>
      </c>
      <c r="K42" s="5" t="str">
        <f t="shared" si="3"/>
        <v/>
      </c>
      <c r="L42">
        <f>IF(A42="",999,IFERROR(MATCH(B42,Config!$A$4:$A$7,0),99)*10+IF(ISNUMBER(F42),1,IF(F42="",2,IF(UPPER(F42)="DNF",3,IF(UPPER(F42)="DNS",4,8)))))</f>
        <v>999</v>
      </c>
    </row>
    <row r="43" spans="1:12" x14ac:dyDescent="0.25">
      <c r="B43" t="str">
        <f>IF(A43="","",IFERROR(INDEX(tblReg[Field],MATCH(A43,tblReg[Bib],0)),""))</f>
        <v/>
      </c>
      <c r="C43" t="str">
        <f>IF(A43="","",IFERROR(INDEX(tblReg[FirstName],MATCH(A43,tblReg[Bib],0)),""))</f>
        <v/>
      </c>
      <c r="D43" t="str">
        <f>IF(A43="","",IFERROR(INDEX(tblReg[LastName],MATCH(A43,tblReg[Bib],0)),""))</f>
        <v/>
      </c>
      <c r="E43" t="str">
        <f>IF(A43="","",IFERROR(INDEX(tblReg[Team],MATCH(A43,tblReg[Bib],0)),""))</f>
        <v/>
      </c>
      <c r="F43" s="4" t="s">
        <v>103</v>
      </c>
      <c r="G43" t="str">
        <f t="shared" si="0"/>
        <v/>
      </c>
      <c r="H43" t="str">
        <f t="shared" si="1"/>
        <v/>
      </c>
      <c r="I43">
        <f>IF(H43="",0,IFERROR(INDEX(Config!$K$4:$K$6,MATCH(H43,Config!$H$4:$H$6,0)),0))</f>
        <v>0</v>
      </c>
      <c r="J43" t="str">
        <f t="shared" si="2"/>
        <v/>
      </c>
      <c r="K43" s="5" t="str">
        <f t="shared" si="3"/>
        <v/>
      </c>
      <c r="L43">
        <f>IF(A43="",999,IFERROR(MATCH(B43,Config!$A$4:$A$7,0),99)*10+IF(ISNUMBER(F43),1,IF(F43="",2,IF(UPPER(F43)="DNF",3,IF(UPPER(F43)="DNS",4,8)))))</f>
        <v>999</v>
      </c>
    </row>
    <row r="44" spans="1:12" x14ac:dyDescent="0.25">
      <c r="B44" t="str">
        <f>IF(A44="","",IFERROR(INDEX(tblReg[Field],MATCH(A44,tblReg[Bib],0)),""))</f>
        <v/>
      </c>
      <c r="C44" t="str">
        <f>IF(A44="","",IFERROR(INDEX(tblReg[FirstName],MATCH(A44,tblReg[Bib],0)),""))</f>
        <v/>
      </c>
      <c r="D44" t="str">
        <f>IF(A44="","",IFERROR(INDEX(tblReg[LastName],MATCH(A44,tblReg[Bib],0)),""))</f>
        <v/>
      </c>
      <c r="E44" t="str">
        <f>IF(A44="","",IFERROR(INDEX(tblReg[Team],MATCH(A44,tblReg[Bib],0)),""))</f>
        <v/>
      </c>
      <c r="F44" s="4" t="s">
        <v>103</v>
      </c>
      <c r="G44" t="str">
        <f t="shared" si="0"/>
        <v/>
      </c>
      <c r="H44" t="str">
        <f t="shared" si="1"/>
        <v/>
      </c>
      <c r="I44">
        <f>IF(H44="",0,IFERROR(INDEX(Config!$K$4:$K$6,MATCH(H44,Config!$H$4:$H$6,0)),0))</f>
        <v>0</v>
      </c>
      <c r="J44" t="str">
        <f t="shared" si="2"/>
        <v/>
      </c>
      <c r="K44" s="5" t="str">
        <f t="shared" si="3"/>
        <v/>
      </c>
      <c r="L44">
        <f>IF(A44="",999,IFERROR(MATCH(B44,Config!$A$4:$A$7,0),99)*10+IF(ISNUMBER(F44),1,IF(F44="",2,IF(UPPER(F44)="DNF",3,IF(UPPER(F44)="DNS",4,8)))))</f>
        <v>999</v>
      </c>
    </row>
    <row r="45" spans="1:12" x14ac:dyDescent="0.25">
      <c r="B45" t="str">
        <f>IF(A45="","",IFERROR(INDEX(tblReg[Field],MATCH(A45,tblReg[Bib],0)),""))</f>
        <v/>
      </c>
      <c r="C45" t="str">
        <f>IF(A45="","",IFERROR(INDEX(tblReg[FirstName],MATCH(A45,tblReg[Bib],0)),""))</f>
        <v/>
      </c>
      <c r="D45" t="str">
        <f>IF(A45="","",IFERROR(INDEX(tblReg[LastName],MATCH(A45,tblReg[Bib],0)),""))</f>
        <v/>
      </c>
      <c r="E45" t="str">
        <f>IF(A45="","",IFERROR(INDEX(tblReg[Team],MATCH(A45,tblReg[Bib],0)),""))</f>
        <v/>
      </c>
      <c r="F45" s="4" t="s">
        <v>103</v>
      </c>
      <c r="G45" t="str">
        <f t="shared" si="0"/>
        <v/>
      </c>
      <c r="H45" t="str">
        <f t="shared" si="1"/>
        <v/>
      </c>
      <c r="I45">
        <f>IF(H45="",0,IFERROR(INDEX(Config!$K$4:$K$6,MATCH(H45,Config!$H$4:$H$6,0)),0))</f>
        <v>0</v>
      </c>
      <c r="J45" t="str">
        <f t="shared" si="2"/>
        <v/>
      </c>
      <c r="K45" s="5" t="str">
        <f t="shared" si="3"/>
        <v/>
      </c>
      <c r="L45">
        <f>IF(A45="",999,IFERROR(MATCH(B45,Config!$A$4:$A$7,0),99)*10+IF(ISNUMBER(F45),1,IF(F45="",2,IF(UPPER(F45)="DNF",3,IF(UPPER(F45)="DNS",4,8)))))</f>
        <v>999</v>
      </c>
    </row>
    <row r="46" spans="1:12" x14ac:dyDescent="0.25">
      <c r="B46" t="str">
        <f>IF(A46="","",IFERROR(INDEX(tblReg[Field],MATCH(A46,tblReg[Bib],0)),""))</f>
        <v/>
      </c>
      <c r="C46" t="str">
        <f>IF(A46="","",IFERROR(INDEX(tblReg[FirstName],MATCH(A46,tblReg[Bib],0)),""))</f>
        <v/>
      </c>
      <c r="D46" t="str">
        <f>IF(A46="","",IFERROR(INDEX(tblReg[LastName],MATCH(A46,tblReg[Bib],0)),""))</f>
        <v/>
      </c>
      <c r="E46" t="str">
        <f>IF(A46="","",IFERROR(INDEX(tblReg[Team],MATCH(A46,tblReg[Bib],0)),""))</f>
        <v/>
      </c>
      <c r="F46" s="4" t="s">
        <v>103</v>
      </c>
      <c r="G46" t="str">
        <f t="shared" si="0"/>
        <v/>
      </c>
      <c r="H46" t="str">
        <f t="shared" si="1"/>
        <v/>
      </c>
      <c r="I46">
        <f>IF(H46="",0,IFERROR(INDEX(Config!$K$4:$K$6,MATCH(H46,Config!$H$4:$H$6,0)),0))</f>
        <v>0</v>
      </c>
      <c r="J46" t="str">
        <f t="shared" si="2"/>
        <v/>
      </c>
      <c r="K46" s="5" t="str">
        <f t="shared" si="3"/>
        <v/>
      </c>
      <c r="L46">
        <f>IF(A46="",999,IFERROR(MATCH(B46,Config!$A$4:$A$7,0),99)*10+IF(ISNUMBER(F46),1,IF(F46="",2,IF(UPPER(F46)="DNF",3,IF(UPPER(F46)="DNS",4,8)))))</f>
        <v>999</v>
      </c>
    </row>
    <row r="47" spans="1:12" x14ac:dyDescent="0.25">
      <c r="B47" t="str">
        <f>IF(A47="","",IFERROR(INDEX(tblReg[Field],MATCH(A47,tblReg[Bib],0)),""))</f>
        <v/>
      </c>
      <c r="C47" t="str">
        <f>IF(A47="","",IFERROR(INDEX(tblReg[FirstName],MATCH(A47,tblReg[Bib],0)),""))</f>
        <v/>
      </c>
      <c r="D47" t="str">
        <f>IF(A47="","",IFERROR(INDEX(tblReg[LastName],MATCH(A47,tblReg[Bib],0)),""))</f>
        <v/>
      </c>
      <c r="E47" t="str">
        <f>IF(A47="","",IFERROR(INDEX(tblReg[Team],MATCH(A47,tblReg[Bib],0)),""))</f>
        <v/>
      </c>
      <c r="F47" s="4" t="s">
        <v>103</v>
      </c>
      <c r="G47" t="str">
        <f t="shared" si="0"/>
        <v/>
      </c>
      <c r="H47" t="str">
        <f t="shared" si="1"/>
        <v/>
      </c>
      <c r="I47">
        <f>IF(H47="",0,IFERROR(INDEX(Config!$K$4:$K$6,MATCH(H47,Config!$H$4:$H$6,0)),0))</f>
        <v>0</v>
      </c>
      <c r="J47" t="str">
        <f t="shared" si="2"/>
        <v/>
      </c>
      <c r="K47" s="5" t="str">
        <f t="shared" si="3"/>
        <v/>
      </c>
      <c r="L47">
        <f>IF(A47="",999,IFERROR(MATCH(B47,Config!$A$4:$A$7,0),99)*10+IF(ISNUMBER(F47),1,IF(F47="",2,IF(UPPER(F47)="DNF",3,IF(UPPER(F47)="DNS",4,8)))))</f>
        <v>999</v>
      </c>
    </row>
    <row r="48" spans="1:12" x14ac:dyDescent="0.25">
      <c r="B48" t="str">
        <f>IF(A48="","",IFERROR(INDEX(tblReg[Field],MATCH(A48,tblReg[Bib],0)),""))</f>
        <v/>
      </c>
      <c r="C48" t="str">
        <f>IF(A48="","",IFERROR(INDEX(tblReg[FirstName],MATCH(A48,tblReg[Bib],0)),""))</f>
        <v/>
      </c>
      <c r="D48" t="str">
        <f>IF(A48="","",IFERROR(INDEX(tblReg[LastName],MATCH(A48,tblReg[Bib],0)),""))</f>
        <v/>
      </c>
      <c r="E48" t="str">
        <f>IF(A48="","",IFERROR(INDEX(tblReg[Team],MATCH(A48,tblReg[Bib],0)),""))</f>
        <v/>
      </c>
      <c r="F48" s="4" t="s">
        <v>103</v>
      </c>
      <c r="G48" t="str">
        <f t="shared" si="0"/>
        <v/>
      </c>
      <c r="H48" t="str">
        <f t="shared" si="1"/>
        <v/>
      </c>
      <c r="I48">
        <f>IF(H48="",0,IFERROR(INDEX(Config!$K$4:$K$6,MATCH(H48,Config!$H$4:$H$6,0)),0))</f>
        <v>0</v>
      </c>
      <c r="J48" t="str">
        <f t="shared" si="2"/>
        <v/>
      </c>
      <c r="K48" s="5" t="str">
        <f t="shared" si="3"/>
        <v/>
      </c>
      <c r="L48">
        <f>IF(A48="",999,IFERROR(MATCH(B48,Config!$A$4:$A$7,0),99)*10+IF(ISNUMBER(F48),1,IF(F48="",2,IF(UPPER(F48)="DNF",3,IF(UPPER(F48)="DNS",4,8)))))</f>
        <v>999</v>
      </c>
    </row>
    <row r="49" spans="2:12" x14ac:dyDescent="0.25">
      <c r="B49" t="str">
        <f>IF(A49="","",IFERROR(INDEX(tblReg[Field],MATCH(A49,tblReg[Bib],0)),""))</f>
        <v/>
      </c>
      <c r="C49" t="str">
        <f>IF(A49="","",IFERROR(INDEX(tblReg[FirstName],MATCH(A49,tblReg[Bib],0)),""))</f>
        <v/>
      </c>
      <c r="D49" t="str">
        <f>IF(A49="","",IFERROR(INDEX(tblReg[LastName],MATCH(A49,tblReg[Bib],0)),""))</f>
        <v/>
      </c>
      <c r="E49" t="str">
        <f>IF(A49="","",IFERROR(INDEX(tblReg[Team],MATCH(A49,tblReg[Bib],0)),""))</f>
        <v/>
      </c>
      <c r="F49" s="4" t="s">
        <v>103</v>
      </c>
      <c r="G49" t="str">
        <f t="shared" si="0"/>
        <v/>
      </c>
      <c r="H49" t="str">
        <f t="shared" si="1"/>
        <v/>
      </c>
      <c r="I49">
        <f>IF(H49="",0,IFERROR(INDEX(Config!$K$4:$K$6,MATCH(H49,Config!$H$4:$H$6,0)),0))</f>
        <v>0</v>
      </c>
      <c r="J49" t="str">
        <f t="shared" si="2"/>
        <v/>
      </c>
      <c r="K49" s="5" t="str">
        <f t="shared" si="3"/>
        <v/>
      </c>
      <c r="L49">
        <f>IF(A49="",999,IFERROR(MATCH(B49,Config!$A$4:$A$7,0),99)*10+IF(ISNUMBER(F49),1,IF(F49="",2,IF(UPPER(F49)="DNF",3,IF(UPPER(F49)="DNS",4,8)))))</f>
        <v>999</v>
      </c>
    </row>
    <row r="50" spans="2:12" x14ac:dyDescent="0.25">
      <c r="B50" t="str">
        <f>IF(A50="","",IFERROR(INDEX(tblReg[Field],MATCH(A50,tblReg[Bib],0)),""))</f>
        <v/>
      </c>
      <c r="C50" t="str">
        <f>IF(A50="","",IFERROR(INDEX(tblReg[FirstName],MATCH(A50,tblReg[Bib],0)),""))</f>
        <v/>
      </c>
      <c r="D50" t="str">
        <f>IF(A50="","",IFERROR(INDEX(tblReg[LastName],MATCH(A50,tblReg[Bib],0)),""))</f>
        <v/>
      </c>
      <c r="E50" t="str">
        <f>IF(A50="","",IFERROR(INDEX(tblReg[Team],MATCH(A50,tblReg[Bib],0)),""))</f>
        <v/>
      </c>
      <c r="F50" s="4" t="s">
        <v>103</v>
      </c>
      <c r="G50" t="str">
        <f t="shared" si="0"/>
        <v/>
      </c>
      <c r="H50" t="str">
        <f t="shared" si="1"/>
        <v/>
      </c>
      <c r="I50">
        <f>IF(H50="",0,IFERROR(INDEX(Config!$K$4:$K$6,MATCH(H50,Config!$H$4:$H$6,0)),0))</f>
        <v>0</v>
      </c>
      <c r="J50" t="str">
        <f t="shared" si="2"/>
        <v/>
      </c>
      <c r="K50" s="5" t="str">
        <f t="shared" si="3"/>
        <v/>
      </c>
      <c r="L50">
        <f>IF(A50="",999,IFERROR(MATCH(B50,Config!$A$4:$A$7,0),99)*10+IF(ISNUMBER(F50),1,IF(F50="",2,IF(UPPER(F50)="DNF",3,IF(UPPER(F50)="DNS",4,8)))))</f>
        <v>999</v>
      </c>
    </row>
    <row r="51" spans="2:12" x14ac:dyDescent="0.25">
      <c r="B51" t="str">
        <f>IF(A51="","",IFERROR(INDEX(tblReg[Field],MATCH(A51,tblReg[Bib],0)),""))</f>
        <v/>
      </c>
      <c r="C51" t="str">
        <f>IF(A51="","",IFERROR(INDEX(tblReg[FirstName],MATCH(A51,tblReg[Bib],0)),""))</f>
        <v/>
      </c>
      <c r="D51" t="str">
        <f>IF(A51="","",IFERROR(INDEX(tblReg[LastName],MATCH(A51,tblReg[Bib],0)),""))</f>
        <v/>
      </c>
      <c r="E51" t="str">
        <f>IF(A51="","",IFERROR(INDEX(tblReg[Team],MATCH(A51,tblReg[Bib],0)),""))</f>
        <v/>
      </c>
      <c r="F51" s="4" t="s">
        <v>103</v>
      </c>
      <c r="G51" t="str">
        <f t="shared" si="0"/>
        <v/>
      </c>
      <c r="H51" t="str">
        <f t="shared" si="1"/>
        <v/>
      </c>
      <c r="I51">
        <f>IF(H51="",0,IFERROR(INDEX(Config!$K$4:$K$6,MATCH(H51,Config!$H$4:$H$6,0)),0))</f>
        <v>0</v>
      </c>
      <c r="J51" t="str">
        <f t="shared" si="2"/>
        <v/>
      </c>
      <c r="K51" s="5" t="str">
        <f t="shared" si="3"/>
        <v/>
      </c>
      <c r="L51">
        <f>IF(A51="",999,IFERROR(MATCH(B51,Config!$A$4:$A$7,0),99)*10+IF(ISNUMBER(F51),1,IF(F51="",2,IF(UPPER(F51)="DNF",3,IF(UPPER(F51)="DNS",4,8)))))</f>
        <v>999</v>
      </c>
    </row>
    <row r="52" spans="2:12" x14ac:dyDescent="0.25">
      <c r="B52" t="str">
        <f>IF(A52="","",IFERROR(INDEX(tblReg[Field],MATCH(A52,tblReg[Bib],0)),""))</f>
        <v/>
      </c>
      <c r="C52" t="str">
        <f>IF(A52="","",IFERROR(INDEX(tblReg[FirstName],MATCH(A52,tblReg[Bib],0)),""))</f>
        <v/>
      </c>
      <c r="D52" t="str">
        <f>IF(A52="","",IFERROR(INDEX(tblReg[LastName],MATCH(A52,tblReg[Bib],0)),""))</f>
        <v/>
      </c>
      <c r="E52" t="str">
        <f>IF(A52="","",IFERROR(INDEX(tblReg[Team],MATCH(A52,tblReg[Bib],0)),""))</f>
        <v/>
      </c>
      <c r="F52" s="4" t="s">
        <v>103</v>
      </c>
      <c r="G52" t="str">
        <f t="shared" si="0"/>
        <v/>
      </c>
      <c r="H52" t="str">
        <f t="shared" si="1"/>
        <v/>
      </c>
      <c r="I52">
        <f>IF(H52="",0,IFERROR(INDEX(Config!$K$4:$K$6,MATCH(H52,Config!$H$4:$H$6,0)),0))</f>
        <v>0</v>
      </c>
      <c r="J52" t="str">
        <f t="shared" si="2"/>
        <v/>
      </c>
      <c r="K52" s="5" t="str">
        <f t="shared" si="3"/>
        <v/>
      </c>
      <c r="L52">
        <f>IF(A52="",999,IFERROR(MATCH(B52,Config!$A$4:$A$7,0),99)*10+IF(ISNUMBER(F52),1,IF(F52="",2,IF(UPPER(F52)="DNF",3,IF(UPPER(F52)="DNS",4,8)))))</f>
        <v>999</v>
      </c>
    </row>
    <row r="53" spans="2:12" x14ac:dyDescent="0.25">
      <c r="B53" t="str">
        <f>IF(A53="","",IFERROR(INDEX(tblReg[Field],MATCH(A53,tblReg[Bib],0)),""))</f>
        <v/>
      </c>
      <c r="C53" t="str">
        <f>IF(A53="","",IFERROR(INDEX(tblReg[FirstName],MATCH(A53,tblReg[Bib],0)),""))</f>
        <v/>
      </c>
      <c r="D53" t="str">
        <f>IF(A53="","",IFERROR(INDEX(tblReg[LastName],MATCH(A53,tblReg[Bib],0)),""))</f>
        <v/>
      </c>
      <c r="E53" t="str">
        <f>IF(A53="","",IFERROR(INDEX(tblReg[Team],MATCH(A53,tblReg[Bib],0)),""))</f>
        <v/>
      </c>
      <c r="F53" s="4" t="s">
        <v>103</v>
      </c>
      <c r="G53" t="str">
        <f t="shared" si="0"/>
        <v/>
      </c>
      <c r="H53" t="str">
        <f t="shared" si="1"/>
        <v/>
      </c>
      <c r="I53">
        <f>IF(H53="",0,IFERROR(INDEX(Config!$K$4:$K$6,MATCH(H53,Config!$H$4:$H$6,0)),0))</f>
        <v>0</v>
      </c>
      <c r="J53" t="str">
        <f t="shared" si="2"/>
        <v/>
      </c>
      <c r="K53" s="5" t="str">
        <f t="shared" si="3"/>
        <v/>
      </c>
      <c r="L53">
        <f>IF(A53="",999,IFERROR(MATCH(B53,Config!$A$4:$A$7,0),99)*10+IF(ISNUMBER(F53),1,IF(F53="",2,IF(UPPER(F53)="DNF",3,IF(UPPER(F53)="DNS",4,8)))))</f>
        <v>999</v>
      </c>
    </row>
    <row r="54" spans="2:12" x14ac:dyDescent="0.25">
      <c r="B54" t="str">
        <f>IF(A54="","",IFERROR(INDEX(tblReg[Field],MATCH(A54,tblReg[Bib],0)),""))</f>
        <v/>
      </c>
      <c r="C54" t="str">
        <f>IF(A54="","",IFERROR(INDEX(tblReg[FirstName],MATCH(A54,tblReg[Bib],0)),""))</f>
        <v/>
      </c>
      <c r="D54" t="str">
        <f>IF(A54="","",IFERROR(INDEX(tblReg[LastName],MATCH(A54,tblReg[Bib],0)),""))</f>
        <v/>
      </c>
      <c r="E54" t="str">
        <f>IF(A54="","",IFERROR(INDEX(tblReg[Team],MATCH(A54,tblReg[Bib],0)),""))</f>
        <v/>
      </c>
      <c r="F54" s="4" t="s">
        <v>103</v>
      </c>
      <c r="G54" t="str">
        <f t="shared" si="0"/>
        <v/>
      </c>
      <c r="H54" t="str">
        <f t="shared" si="1"/>
        <v/>
      </c>
      <c r="I54">
        <f>IF(H54="",0,IFERROR(INDEX(Config!$K$4:$K$6,MATCH(H54,Config!$H$4:$H$6,0)),0))</f>
        <v>0</v>
      </c>
      <c r="J54" t="str">
        <f t="shared" si="2"/>
        <v/>
      </c>
      <c r="K54" s="5" t="str">
        <f t="shared" si="3"/>
        <v/>
      </c>
      <c r="L54">
        <f>IF(A54="",999,IFERROR(MATCH(B54,Config!$A$4:$A$7,0),99)*10+IF(ISNUMBER(F54),1,IF(F54="",2,IF(UPPER(F54)="DNF",3,IF(UPPER(F54)="DNS",4,8)))))</f>
        <v>999</v>
      </c>
    </row>
    <row r="55" spans="2:12" x14ac:dyDescent="0.25">
      <c r="B55" t="str">
        <f>IF(A55="","",IFERROR(INDEX(tblReg[Field],MATCH(A55,tblReg[Bib],0)),""))</f>
        <v/>
      </c>
      <c r="C55" t="str">
        <f>IF(A55="","",IFERROR(INDEX(tblReg[FirstName],MATCH(A55,tblReg[Bib],0)),""))</f>
        <v/>
      </c>
      <c r="D55" t="str">
        <f>IF(A55="","",IFERROR(INDEX(tblReg[LastName],MATCH(A55,tblReg[Bib],0)),""))</f>
        <v/>
      </c>
      <c r="E55" t="str">
        <f>IF(A55="","",IFERROR(INDEX(tblReg[Team],MATCH(A55,tblReg[Bib],0)),""))</f>
        <v/>
      </c>
      <c r="F55" s="4" t="s">
        <v>103</v>
      </c>
      <c r="G55" t="str">
        <f t="shared" si="0"/>
        <v/>
      </c>
      <c r="H55" t="str">
        <f t="shared" si="1"/>
        <v/>
      </c>
      <c r="I55">
        <f>IF(H55="",0,IFERROR(INDEX(Config!$K$4:$K$6,MATCH(H55,Config!$H$4:$H$6,0)),0))</f>
        <v>0</v>
      </c>
      <c r="J55" t="str">
        <f t="shared" si="2"/>
        <v/>
      </c>
      <c r="K55" s="5" t="str">
        <f t="shared" si="3"/>
        <v/>
      </c>
      <c r="L55">
        <f>IF(A55="",999,IFERROR(MATCH(B55,Config!$A$4:$A$7,0),99)*10+IF(ISNUMBER(F55),1,IF(F55="",2,IF(UPPER(F55)="DNF",3,IF(UPPER(F55)="DNS",4,8)))))</f>
        <v>999</v>
      </c>
    </row>
    <row r="56" spans="2:12" x14ac:dyDescent="0.25">
      <c r="B56" t="str">
        <f>IF(A56="","",IFERROR(INDEX(tblReg[Field],MATCH(A56,tblReg[Bib],0)),""))</f>
        <v/>
      </c>
      <c r="C56" t="str">
        <f>IF(A56="","",IFERROR(INDEX(tblReg[FirstName],MATCH(A56,tblReg[Bib],0)),""))</f>
        <v/>
      </c>
      <c r="D56" t="str">
        <f>IF(A56="","",IFERROR(INDEX(tblReg[LastName],MATCH(A56,tblReg[Bib],0)),""))</f>
        <v/>
      </c>
      <c r="E56" t="str">
        <f>IF(A56="","",IFERROR(INDEX(tblReg[Team],MATCH(A56,tblReg[Bib],0)),""))</f>
        <v/>
      </c>
      <c r="F56" s="4" t="s">
        <v>103</v>
      </c>
      <c r="G56" t="str">
        <f t="shared" si="0"/>
        <v/>
      </c>
      <c r="H56" t="str">
        <f t="shared" si="1"/>
        <v/>
      </c>
      <c r="I56">
        <f>IF(H56="",0,IFERROR(INDEX(Config!$K$4:$K$6,MATCH(H56,Config!$H$4:$H$6,0)),0))</f>
        <v>0</v>
      </c>
      <c r="J56" t="str">
        <f t="shared" si="2"/>
        <v/>
      </c>
      <c r="K56" s="5" t="str">
        <f t="shared" si="3"/>
        <v/>
      </c>
      <c r="L56">
        <f>IF(A56="",999,IFERROR(MATCH(B56,Config!$A$4:$A$7,0),99)*10+IF(ISNUMBER(F56),1,IF(F56="",2,IF(UPPER(F56)="DNF",3,IF(UPPER(F56)="DNS",4,8)))))</f>
        <v>999</v>
      </c>
    </row>
    <row r="57" spans="2:12" x14ac:dyDescent="0.25">
      <c r="B57" t="str">
        <f>IF(A57="","",IFERROR(INDEX(tblReg[Field],MATCH(A57,tblReg[Bib],0)),""))</f>
        <v/>
      </c>
      <c r="C57" t="str">
        <f>IF(A57="","",IFERROR(INDEX(tblReg[FirstName],MATCH(A57,tblReg[Bib],0)),""))</f>
        <v/>
      </c>
      <c r="D57" t="str">
        <f>IF(A57="","",IFERROR(INDEX(tblReg[LastName],MATCH(A57,tblReg[Bib],0)),""))</f>
        <v/>
      </c>
      <c r="E57" t="str">
        <f>IF(A57="","",IFERROR(INDEX(tblReg[Team],MATCH(A57,tblReg[Bib],0)),""))</f>
        <v/>
      </c>
      <c r="F57" s="4" t="s">
        <v>103</v>
      </c>
      <c r="G57" t="str">
        <f t="shared" si="0"/>
        <v/>
      </c>
      <c r="H57" t="str">
        <f t="shared" si="1"/>
        <v/>
      </c>
      <c r="I57">
        <f>IF(H57="",0,IFERROR(INDEX(Config!$K$4:$K$6,MATCH(H57,Config!$H$4:$H$6,0)),0))</f>
        <v>0</v>
      </c>
      <c r="J57" t="str">
        <f t="shared" si="2"/>
        <v/>
      </c>
      <c r="K57" s="5" t="str">
        <f t="shared" si="3"/>
        <v/>
      </c>
      <c r="L57">
        <f>IF(A57="",999,IFERROR(MATCH(B57,Config!$A$4:$A$7,0),99)*10+IF(ISNUMBER(F57),1,IF(F57="",2,IF(UPPER(F57)="DNF",3,IF(UPPER(F57)="DNS",4,8)))))</f>
        <v>999</v>
      </c>
    </row>
    <row r="58" spans="2:12" x14ac:dyDescent="0.25">
      <c r="B58" t="str">
        <f>IF(A58="","",IFERROR(INDEX(tblReg[Field],MATCH(A58,tblReg[Bib],0)),""))</f>
        <v/>
      </c>
      <c r="C58" t="str">
        <f>IF(A58="","",IFERROR(INDEX(tblReg[FirstName],MATCH(A58,tblReg[Bib],0)),""))</f>
        <v/>
      </c>
      <c r="D58" t="str">
        <f>IF(A58="","",IFERROR(INDEX(tblReg[LastName],MATCH(A58,tblReg[Bib],0)),""))</f>
        <v/>
      </c>
      <c r="E58" t="str">
        <f>IF(A58="","",IFERROR(INDEX(tblReg[Team],MATCH(A58,tblReg[Bib],0)),""))</f>
        <v/>
      </c>
      <c r="F58" s="4" t="s">
        <v>103</v>
      </c>
      <c r="G58" t="str">
        <f t="shared" si="0"/>
        <v/>
      </c>
      <c r="H58" t="str">
        <f t="shared" si="1"/>
        <v/>
      </c>
      <c r="I58">
        <f>IF(H58="",0,IFERROR(INDEX(Config!$K$4:$K$6,MATCH(H58,Config!$H$4:$H$6,0)),0))</f>
        <v>0</v>
      </c>
      <c r="J58" t="str">
        <f t="shared" si="2"/>
        <v/>
      </c>
      <c r="K58" s="5" t="str">
        <f t="shared" si="3"/>
        <v/>
      </c>
      <c r="L58">
        <f>IF(A58="",999,IFERROR(MATCH(B58,Config!$A$4:$A$7,0),99)*10+IF(ISNUMBER(F58),1,IF(F58="",2,IF(UPPER(F58)="DNF",3,IF(UPPER(F58)="DNS",4,8)))))</f>
        <v>999</v>
      </c>
    </row>
    <row r="59" spans="2:12" x14ac:dyDescent="0.25">
      <c r="B59" t="str">
        <f>IF(A59="","",IFERROR(INDEX(tblReg[Field],MATCH(A59,tblReg[Bib],0)),""))</f>
        <v/>
      </c>
      <c r="C59" t="str">
        <f>IF(A59="","",IFERROR(INDEX(tblReg[FirstName],MATCH(A59,tblReg[Bib],0)),""))</f>
        <v/>
      </c>
      <c r="D59" t="str">
        <f>IF(A59="","",IFERROR(INDEX(tblReg[LastName],MATCH(A59,tblReg[Bib],0)),""))</f>
        <v/>
      </c>
      <c r="E59" t="str">
        <f>IF(A59="","",IFERROR(INDEX(tblReg[Team],MATCH(A59,tblReg[Bib],0)),""))</f>
        <v/>
      </c>
      <c r="F59" s="4" t="s">
        <v>103</v>
      </c>
      <c r="G59" t="str">
        <f t="shared" si="0"/>
        <v/>
      </c>
      <c r="H59" t="str">
        <f t="shared" si="1"/>
        <v/>
      </c>
      <c r="I59">
        <f>IF(H59="",0,IFERROR(INDEX(Config!$K$4:$K$6,MATCH(H59,Config!$H$4:$H$6,0)),0))</f>
        <v>0</v>
      </c>
      <c r="J59" t="str">
        <f t="shared" si="2"/>
        <v/>
      </c>
      <c r="K59" s="5" t="str">
        <f t="shared" si="3"/>
        <v/>
      </c>
      <c r="L59">
        <f>IF(A59="",999,IFERROR(MATCH(B59,Config!$A$4:$A$7,0),99)*10+IF(ISNUMBER(F59),1,IF(F59="",2,IF(UPPER(F59)="DNF",3,IF(UPPER(F59)="DNS",4,8)))))</f>
        <v>999</v>
      </c>
    </row>
    <row r="60" spans="2:12" x14ac:dyDescent="0.25">
      <c r="B60" t="str">
        <f>IF(A60="","",IFERROR(INDEX(tblReg[Field],MATCH(A60,tblReg[Bib],0)),""))</f>
        <v/>
      </c>
      <c r="C60" t="str">
        <f>IF(A60="","",IFERROR(INDEX(tblReg[FirstName],MATCH(A60,tblReg[Bib],0)),""))</f>
        <v/>
      </c>
      <c r="D60" t="str">
        <f>IF(A60="","",IFERROR(INDEX(tblReg[LastName],MATCH(A60,tblReg[Bib],0)),""))</f>
        <v/>
      </c>
      <c r="E60" t="str">
        <f>IF(A60="","",IFERROR(INDEX(tblReg[Team],MATCH(A60,tblReg[Bib],0)),""))</f>
        <v/>
      </c>
      <c r="F60" s="4" t="s">
        <v>103</v>
      </c>
      <c r="G60" t="str">
        <f t="shared" si="0"/>
        <v/>
      </c>
      <c r="H60" t="str">
        <f t="shared" si="1"/>
        <v/>
      </c>
      <c r="I60">
        <f>IF(H60="",0,IFERROR(INDEX(Config!$K$4:$K$6,MATCH(H60,Config!$H$4:$H$6,0)),0))</f>
        <v>0</v>
      </c>
      <c r="J60" t="str">
        <f t="shared" si="2"/>
        <v/>
      </c>
      <c r="K60" s="5" t="str">
        <f t="shared" si="3"/>
        <v/>
      </c>
      <c r="L60">
        <f>IF(A60="",999,IFERROR(MATCH(B60,Config!$A$4:$A$7,0),99)*10+IF(ISNUMBER(F60),1,IF(F60="",2,IF(UPPER(F60)="DNF",3,IF(UPPER(F60)="DNS",4,8)))))</f>
        <v>999</v>
      </c>
    </row>
    <row r="61" spans="2:12" x14ac:dyDescent="0.25">
      <c r="B61" t="str">
        <f>IF(A61="","",IFERROR(INDEX(tblReg[Field],MATCH(A61,tblReg[Bib],0)),""))</f>
        <v/>
      </c>
      <c r="C61" t="str">
        <f>IF(A61="","",IFERROR(INDEX(tblReg[FirstName],MATCH(A61,tblReg[Bib],0)),""))</f>
        <v/>
      </c>
      <c r="D61" t="str">
        <f>IF(A61="","",IFERROR(INDEX(tblReg[LastName],MATCH(A61,tblReg[Bib],0)),""))</f>
        <v/>
      </c>
      <c r="E61" t="str">
        <f>IF(A61="","",IFERROR(INDEX(tblReg[Team],MATCH(A61,tblReg[Bib],0)),""))</f>
        <v/>
      </c>
      <c r="F61" s="4" t="s">
        <v>103</v>
      </c>
      <c r="G61" t="str">
        <f t="shared" si="0"/>
        <v/>
      </c>
      <c r="H61" t="str">
        <f t="shared" si="1"/>
        <v/>
      </c>
      <c r="I61">
        <f>IF(H61="",0,IFERROR(INDEX(Config!$K$4:$K$6,MATCH(H61,Config!$H$4:$H$6,0)),0))</f>
        <v>0</v>
      </c>
      <c r="J61" t="str">
        <f t="shared" si="2"/>
        <v/>
      </c>
      <c r="K61" s="5" t="str">
        <f t="shared" si="3"/>
        <v/>
      </c>
      <c r="L61">
        <f>IF(A61="",999,IFERROR(MATCH(B61,Config!$A$4:$A$7,0),99)*10+IF(ISNUMBER(F61),1,IF(F61="",2,IF(UPPER(F61)="DNF",3,IF(UPPER(F61)="DNS",4,8)))))</f>
        <v>999</v>
      </c>
    </row>
    <row r="62" spans="2:12" x14ac:dyDescent="0.25">
      <c r="B62" t="str">
        <f>IF(A62="","",IFERROR(INDEX(tblReg[Field],MATCH(A62,tblReg[Bib],0)),""))</f>
        <v/>
      </c>
      <c r="C62" t="str">
        <f>IF(A62="","",IFERROR(INDEX(tblReg[FirstName],MATCH(A62,tblReg[Bib],0)),""))</f>
        <v/>
      </c>
      <c r="D62" t="str">
        <f>IF(A62="","",IFERROR(INDEX(tblReg[LastName],MATCH(A62,tblReg[Bib],0)),""))</f>
        <v/>
      </c>
      <c r="E62" t="str">
        <f>IF(A62="","",IFERROR(INDEX(tblReg[Team],MATCH(A62,tblReg[Bib],0)),""))</f>
        <v/>
      </c>
      <c r="F62" s="4" t="s">
        <v>103</v>
      </c>
      <c r="G62" t="str">
        <f t="shared" si="0"/>
        <v/>
      </c>
      <c r="H62" t="str">
        <f t="shared" si="1"/>
        <v/>
      </c>
      <c r="I62">
        <f>IF(H62="",0,IFERROR(INDEX(Config!$K$4:$K$6,MATCH(H62,Config!$H$4:$H$6,0)),0))</f>
        <v>0</v>
      </c>
      <c r="J62" t="str">
        <f t="shared" si="2"/>
        <v/>
      </c>
      <c r="K62" s="5" t="str">
        <f t="shared" si="3"/>
        <v/>
      </c>
      <c r="L62">
        <f>IF(A62="",999,IFERROR(MATCH(B62,Config!$A$4:$A$7,0),99)*10+IF(ISNUMBER(F62),1,IF(F62="",2,IF(UPPER(F62)="DNF",3,IF(UPPER(F62)="DNS",4,8)))))</f>
        <v>999</v>
      </c>
    </row>
    <row r="63" spans="2:12" x14ac:dyDescent="0.25">
      <c r="B63" t="str">
        <f>IF(A63="","",IFERROR(INDEX(tblReg[Field],MATCH(A63,tblReg[Bib],0)),""))</f>
        <v/>
      </c>
      <c r="C63" t="str">
        <f>IF(A63="","",IFERROR(INDEX(tblReg[FirstName],MATCH(A63,tblReg[Bib],0)),""))</f>
        <v/>
      </c>
      <c r="D63" t="str">
        <f>IF(A63="","",IFERROR(INDEX(tblReg[LastName],MATCH(A63,tblReg[Bib],0)),""))</f>
        <v/>
      </c>
      <c r="E63" t="str">
        <f>IF(A63="","",IFERROR(INDEX(tblReg[Team],MATCH(A63,tblReg[Bib],0)),""))</f>
        <v/>
      </c>
      <c r="F63" s="4" t="s">
        <v>103</v>
      </c>
      <c r="G63" t="str">
        <f t="shared" si="0"/>
        <v/>
      </c>
      <c r="H63" t="str">
        <f t="shared" si="1"/>
        <v/>
      </c>
      <c r="I63">
        <f>IF(H63="",0,IFERROR(INDEX(Config!$K$4:$K$6,MATCH(H63,Config!$H$4:$H$6,0)),0))</f>
        <v>0</v>
      </c>
      <c r="J63" t="str">
        <f t="shared" si="2"/>
        <v/>
      </c>
      <c r="K63" s="5" t="str">
        <f t="shared" si="3"/>
        <v/>
      </c>
      <c r="L63">
        <f>IF(A63="",999,IFERROR(MATCH(B63,Config!$A$4:$A$7,0),99)*10+IF(ISNUMBER(F63),1,IF(F63="",2,IF(UPPER(F63)="DNF",3,IF(UPPER(F63)="DNS",4,8)))))</f>
        <v>999</v>
      </c>
    </row>
    <row r="64" spans="2:12" x14ac:dyDescent="0.25">
      <c r="B64" t="str">
        <f>IF(A64="","",IFERROR(INDEX(tblReg[Field],MATCH(A64,tblReg[Bib],0)),""))</f>
        <v/>
      </c>
      <c r="C64" t="str">
        <f>IF(A64="","",IFERROR(INDEX(tblReg[FirstName],MATCH(A64,tblReg[Bib],0)),""))</f>
        <v/>
      </c>
      <c r="D64" t="str">
        <f>IF(A64="","",IFERROR(INDEX(tblReg[LastName],MATCH(A64,tblReg[Bib],0)),""))</f>
        <v/>
      </c>
      <c r="E64" t="str">
        <f>IF(A64="","",IFERROR(INDEX(tblReg[Team],MATCH(A64,tblReg[Bib],0)),""))</f>
        <v/>
      </c>
      <c r="F64" s="4" t="s">
        <v>103</v>
      </c>
      <c r="G64" t="str">
        <f t="shared" si="0"/>
        <v/>
      </c>
      <c r="H64" t="str">
        <f t="shared" si="1"/>
        <v/>
      </c>
      <c r="I64">
        <f>IF(H64="",0,IFERROR(INDEX(Config!$K$4:$K$6,MATCH(H64,Config!$H$4:$H$6,0)),0))</f>
        <v>0</v>
      </c>
      <c r="J64" t="str">
        <f t="shared" si="2"/>
        <v/>
      </c>
      <c r="K64" s="5" t="str">
        <f t="shared" si="3"/>
        <v/>
      </c>
      <c r="L64">
        <f>IF(A64="",999,IFERROR(MATCH(B64,Config!$A$4:$A$7,0),99)*10+IF(ISNUMBER(F64),1,IF(F64="",2,IF(UPPER(F64)="DNF",3,IF(UPPER(F64)="DNS",4,8)))))</f>
        <v>999</v>
      </c>
    </row>
    <row r="65" spans="2:12" x14ac:dyDescent="0.25">
      <c r="B65" t="str">
        <f>IF(A65="","",IFERROR(INDEX(tblReg[Field],MATCH(A65,tblReg[Bib],0)),""))</f>
        <v/>
      </c>
      <c r="C65" t="str">
        <f>IF(A65="","",IFERROR(INDEX(tblReg[FirstName],MATCH(A65,tblReg[Bib],0)),""))</f>
        <v/>
      </c>
      <c r="D65" t="str">
        <f>IF(A65="","",IFERROR(INDEX(tblReg[LastName],MATCH(A65,tblReg[Bib],0)),""))</f>
        <v/>
      </c>
      <c r="E65" t="str">
        <f>IF(A65="","",IFERROR(INDEX(tblReg[Team],MATCH(A65,tblReg[Bib],0)),""))</f>
        <v/>
      </c>
      <c r="F65" s="4" t="s">
        <v>103</v>
      </c>
      <c r="G65" t="str">
        <f t="shared" si="0"/>
        <v/>
      </c>
      <c r="H65" t="str">
        <f t="shared" si="1"/>
        <v/>
      </c>
      <c r="I65">
        <f>IF(H65="",0,IFERROR(INDEX(Config!$K$4:$K$6,MATCH(H65,Config!$H$4:$H$6,0)),0))</f>
        <v>0</v>
      </c>
      <c r="J65" t="str">
        <f t="shared" si="2"/>
        <v/>
      </c>
      <c r="K65" s="5" t="str">
        <f t="shared" si="3"/>
        <v/>
      </c>
      <c r="L65">
        <f>IF(A65="",999,IFERROR(MATCH(B65,Config!$A$4:$A$7,0),99)*10+IF(ISNUMBER(F65),1,IF(F65="",2,IF(UPPER(F65)="DNF",3,IF(UPPER(F65)="DNS",4,8)))))</f>
        <v>999</v>
      </c>
    </row>
    <row r="66" spans="2:12" x14ac:dyDescent="0.25">
      <c r="B66" t="str">
        <f>IF(A66="","",IFERROR(INDEX(tblReg[Field],MATCH(A66,tblReg[Bib],0)),""))</f>
        <v/>
      </c>
      <c r="C66" t="str">
        <f>IF(A66="","",IFERROR(INDEX(tblReg[FirstName],MATCH(A66,tblReg[Bib],0)),""))</f>
        <v/>
      </c>
      <c r="D66" t="str">
        <f>IF(A66="","",IFERROR(INDEX(tblReg[LastName],MATCH(A66,tblReg[Bib],0)),""))</f>
        <v/>
      </c>
      <c r="E66" t="str">
        <f>IF(A66="","",IFERROR(INDEX(tblReg[Team],MATCH(A66,tblReg[Bib],0)),""))</f>
        <v/>
      </c>
      <c r="F66" s="4" t="s">
        <v>103</v>
      </c>
      <c r="G66" t="str">
        <f t="shared" ref="G66:G129" si="4">IF(OR(F66="",UPPER(F66)="DNF",UPPER(F66)="DNS"),"",HOUR(F66)*3600 + MINUTE(F66)*60 + SECOND(F66))</f>
        <v/>
      </c>
      <c r="H66" t="str">
        <f t="shared" ref="H66:H129" si="5">IF(OR(A66="",B66=""),"",IF(ISNUMBER(G66),1+COUNTIFS($B$2:$B$251,B66,$G$2:$G$251,"&lt;"&amp;G66),IF(F66="",COUNTIFS($B$2:$B$251,B66,$G$2:$G$251,"&gt;=0")+COUNTIFS($B$2:$B$251,B66,$F$2:$F$251,"",$A$2:$A$251,"&lt;"&amp;A66)+1,"")))</f>
        <v/>
      </c>
      <c r="I66">
        <f>IF(H66="",0,IFERROR(INDEX(Config!$K$4:$K$6,MATCH(H66,Config!$H$4:$H$6,0)),0))</f>
        <v>0</v>
      </c>
      <c r="J66" t="str">
        <f t="shared" ref="J66:J129" si="6">IF(G66="","",G66-I66)</f>
        <v/>
      </c>
      <c r="K66" s="5" t="str">
        <f t="shared" ref="K66:K129" si="7">IF(J66="","",J66/86400)</f>
        <v/>
      </c>
      <c r="L66">
        <f>IF(A66="",999,IFERROR(MATCH(B66,Config!$A$4:$A$7,0),99)*10+IF(ISNUMBER(F66),1,IF(F66="",2,IF(UPPER(F66)="DNF",3,IF(UPPER(F66)="DNS",4,8)))))</f>
        <v>999</v>
      </c>
    </row>
    <row r="67" spans="2:12" x14ac:dyDescent="0.25">
      <c r="B67" t="str">
        <f>IF(A67="","",IFERROR(INDEX(tblReg[Field],MATCH(A67,tblReg[Bib],0)),""))</f>
        <v/>
      </c>
      <c r="C67" t="str">
        <f>IF(A67="","",IFERROR(INDEX(tblReg[FirstName],MATCH(A67,tblReg[Bib],0)),""))</f>
        <v/>
      </c>
      <c r="D67" t="str">
        <f>IF(A67="","",IFERROR(INDEX(tblReg[LastName],MATCH(A67,tblReg[Bib],0)),""))</f>
        <v/>
      </c>
      <c r="E67" t="str">
        <f>IF(A67="","",IFERROR(INDEX(tblReg[Team],MATCH(A67,tblReg[Bib],0)),""))</f>
        <v/>
      </c>
      <c r="F67" s="4" t="s">
        <v>103</v>
      </c>
      <c r="G67" t="str">
        <f t="shared" si="4"/>
        <v/>
      </c>
      <c r="H67" t="str">
        <f t="shared" si="5"/>
        <v/>
      </c>
      <c r="I67">
        <f>IF(H67="",0,IFERROR(INDEX(Config!$K$4:$K$6,MATCH(H67,Config!$H$4:$H$6,0)),0))</f>
        <v>0</v>
      </c>
      <c r="J67" t="str">
        <f t="shared" si="6"/>
        <v/>
      </c>
      <c r="K67" s="5" t="str">
        <f t="shared" si="7"/>
        <v/>
      </c>
      <c r="L67">
        <f>IF(A67="",999,IFERROR(MATCH(B67,Config!$A$4:$A$7,0),99)*10+IF(ISNUMBER(F67),1,IF(F67="",2,IF(UPPER(F67)="DNF",3,IF(UPPER(F67)="DNS",4,8)))))</f>
        <v>999</v>
      </c>
    </row>
    <row r="68" spans="2:12" x14ac:dyDescent="0.25">
      <c r="B68" t="str">
        <f>IF(A68="","",IFERROR(INDEX(tblReg[Field],MATCH(A68,tblReg[Bib],0)),""))</f>
        <v/>
      </c>
      <c r="C68" t="str">
        <f>IF(A68="","",IFERROR(INDEX(tblReg[FirstName],MATCH(A68,tblReg[Bib],0)),""))</f>
        <v/>
      </c>
      <c r="D68" t="str">
        <f>IF(A68="","",IFERROR(INDEX(tblReg[LastName],MATCH(A68,tblReg[Bib],0)),""))</f>
        <v/>
      </c>
      <c r="E68" t="str">
        <f>IF(A68="","",IFERROR(INDEX(tblReg[Team],MATCH(A68,tblReg[Bib],0)),""))</f>
        <v/>
      </c>
      <c r="F68" s="4" t="s">
        <v>103</v>
      </c>
      <c r="G68" t="str">
        <f t="shared" si="4"/>
        <v/>
      </c>
      <c r="H68" t="str">
        <f t="shared" si="5"/>
        <v/>
      </c>
      <c r="I68">
        <f>IF(H68="",0,IFERROR(INDEX(Config!$K$4:$K$6,MATCH(H68,Config!$H$4:$H$6,0)),0))</f>
        <v>0</v>
      </c>
      <c r="J68" t="str">
        <f t="shared" si="6"/>
        <v/>
      </c>
      <c r="K68" s="5" t="str">
        <f t="shared" si="7"/>
        <v/>
      </c>
      <c r="L68">
        <f>IF(A68="",999,IFERROR(MATCH(B68,Config!$A$4:$A$7,0),99)*10+IF(ISNUMBER(F68),1,IF(F68="",2,IF(UPPER(F68)="DNF",3,IF(UPPER(F68)="DNS",4,8)))))</f>
        <v>999</v>
      </c>
    </row>
    <row r="69" spans="2:12" x14ac:dyDescent="0.25">
      <c r="B69" t="str">
        <f>IF(A69="","",IFERROR(INDEX(tblReg[Field],MATCH(A69,tblReg[Bib],0)),""))</f>
        <v/>
      </c>
      <c r="C69" t="str">
        <f>IF(A69="","",IFERROR(INDEX(tblReg[FirstName],MATCH(A69,tblReg[Bib],0)),""))</f>
        <v/>
      </c>
      <c r="D69" t="str">
        <f>IF(A69="","",IFERROR(INDEX(tblReg[LastName],MATCH(A69,tblReg[Bib],0)),""))</f>
        <v/>
      </c>
      <c r="E69" t="str">
        <f>IF(A69="","",IFERROR(INDEX(tblReg[Team],MATCH(A69,tblReg[Bib],0)),""))</f>
        <v/>
      </c>
      <c r="F69" s="4" t="s">
        <v>103</v>
      </c>
      <c r="G69" t="str">
        <f t="shared" si="4"/>
        <v/>
      </c>
      <c r="H69" t="str">
        <f t="shared" si="5"/>
        <v/>
      </c>
      <c r="I69">
        <f>IF(H69="",0,IFERROR(INDEX(Config!$K$4:$K$6,MATCH(H69,Config!$H$4:$H$6,0)),0))</f>
        <v>0</v>
      </c>
      <c r="J69" t="str">
        <f t="shared" si="6"/>
        <v/>
      </c>
      <c r="K69" s="5" t="str">
        <f t="shared" si="7"/>
        <v/>
      </c>
      <c r="L69">
        <f>IF(A69="",999,IFERROR(MATCH(B69,Config!$A$4:$A$7,0),99)*10+IF(ISNUMBER(F69),1,IF(F69="",2,IF(UPPER(F69)="DNF",3,IF(UPPER(F69)="DNS",4,8)))))</f>
        <v>999</v>
      </c>
    </row>
    <row r="70" spans="2:12" x14ac:dyDescent="0.25">
      <c r="B70" t="str">
        <f>IF(A70="","",IFERROR(INDEX(tblReg[Field],MATCH(A70,tblReg[Bib],0)),""))</f>
        <v/>
      </c>
      <c r="C70" t="str">
        <f>IF(A70="","",IFERROR(INDEX(tblReg[FirstName],MATCH(A70,tblReg[Bib],0)),""))</f>
        <v/>
      </c>
      <c r="D70" t="str">
        <f>IF(A70="","",IFERROR(INDEX(tblReg[LastName],MATCH(A70,tblReg[Bib],0)),""))</f>
        <v/>
      </c>
      <c r="E70" t="str">
        <f>IF(A70="","",IFERROR(INDEX(tblReg[Team],MATCH(A70,tblReg[Bib],0)),""))</f>
        <v/>
      </c>
      <c r="F70" s="4" t="s">
        <v>103</v>
      </c>
      <c r="G70" t="str">
        <f t="shared" si="4"/>
        <v/>
      </c>
      <c r="H70" t="str">
        <f t="shared" si="5"/>
        <v/>
      </c>
      <c r="I70">
        <f>IF(H70="",0,IFERROR(INDEX(Config!$K$4:$K$6,MATCH(H70,Config!$H$4:$H$6,0)),0))</f>
        <v>0</v>
      </c>
      <c r="J70" t="str">
        <f t="shared" si="6"/>
        <v/>
      </c>
      <c r="K70" s="5" t="str">
        <f t="shared" si="7"/>
        <v/>
      </c>
      <c r="L70">
        <f>IF(A70="",999,IFERROR(MATCH(B70,Config!$A$4:$A$7,0),99)*10+IF(ISNUMBER(F70),1,IF(F70="",2,IF(UPPER(F70)="DNF",3,IF(UPPER(F70)="DNS",4,8)))))</f>
        <v>999</v>
      </c>
    </row>
    <row r="71" spans="2:12" x14ac:dyDescent="0.25">
      <c r="B71" t="str">
        <f>IF(A71="","",IFERROR(INDEX(tblReg[Field],MATCH(A71,tblReg[Bib],0)),""))</f>
        <v/>
      </c>
      <c r="C71" t="str">
        <f>IF(A71="","",IFERROR(INDEX(tblReg[FirstName],MATCH(A71,tblReg[Bib],0)),""))</f>
        <v/>
      </c>
      <c r="D71" t="str">
        <f>IF(A71="","",IFERROR(INDEX(tblReg[LastName],MATCH(A71,tblReg[Bib],0)),""))</f>
        <v/>
      </c>
      <c r="E71" t="str">
        <f>IF(A71="","",IFERROR(INDEX(tblReg[Team],MATCH(A71,tblReg[Bib],0)),""))</f>
        <v/>
      </c>
      <c r="F71" s="4" t="s">
        <v>103</v>
      </c>
      <c r="G71" t="str">
        <f t="shared" si="4"/>
        <v/>
      </c>
      <c r="H71" t="str">
        <f t="shared" si="5"/>
        <v/>
      </c>
      <c r="I71">
        <f>IF(H71="",0,IFERROR(INDEX(Config!$K$4:$K$6,MATCH(H71,Config!$H$4:$H$6,0)),0))</f>
        <v>0</v>
      </c>
      <c r="J71" t="str">
        <f t="shared" si="6"/>
        <v/>
      </c>
      <c r="K71" s="5" t="str">
        <f t="shared" si="7"/>
        <v/>
      </c>
      <c r="L71">
        <f>IF(A71="",999,IFERROR(MATCH(B71,Config!$A$4:$A$7,0),99)*10+IF(ISNUMBER(F71),1,IF(F71="",2,IF(UPPER(F71)="DNF",3,IF(UPPER(F71)="DNS",4,8)))))</f>
        <v>999</v>
      </c>
    </row>
    <row r="72" spans="2:12" x14ac:dyDescent="0.25">
      <c r="B72" t="str">
        <f>IF(A72="","",IFERROR(INDEX(tblReg[Field],MATCH(A72,tblReg[Bib],0)),""))</f>
        <v/>
      </c>
      <c r="C72" t="str">
        <f>IF(A72="","",IFERROR(INDEX(tblReg[FirstName],MATCH(A72,tblReg[Bib],0)),""))</f>
        <v/>
      </c>
      <c r="D72" t="str">
        <f>IF(A72="","",IFERROR(INDEX(tblReg[LastName],MATCH(A72,tblReg[Bib],0)),""))</f>
        <v/>
      </c>
      <c r="E72" t="str">
        <f>IF(A72="","",IFERROR(INDEX(tblReg[Team],MATCH(A72,tblReg[Bib],0)),""))</f>
        <v/>
      </c>
      <c r="F72" s="4" t="s">
        <v>103</v>
      </c>
      <c r="G72" t="str">
        <f t="shared" si="4"/>
        <v/>
      </c>
      <c r="H72" t="str">
        <f t="shared" si="5"/>
        <v/>
      </c>
      <c r="I72">
        <f>IF(H72="",0,IFERROR(INDEX(Config!$K$4:$K$6,MATCH(H72,Config!$H$4:$H$6,0)),0))</f>
        <v>0</v>
      </c>
      <c r="J72" t="str">
        <f t="shared" si="6"/>
        <v/>
      </c>
      <c r="K72" s="5" t="str">
        <f t="shared" si="7"/>
        <v/>
      </c>
      <c r="L72">
        <f>IF(A72="",999,IFERROR(MATCH(B72,Config!$A$4:$A$7,0),99)*10+IF(ISNUMBER(F72),1,IF(F72="",2,IF(UPPER(F72)="DNF",3,IF(UPPER(F72)="DNS",4,8)))))</f>
        <v>999</v>
      </c>
    </row>
    <row r="73" spans="2:12" x14ac:dyDescent="0.25">
      <c r="B73" t="str">
        <f>IF(A73="","",IFERROR(INDEX(tblReg[Field],MATCH(A73,tblReg[Bib],0)),""))</f>
        <v/>
      </c>
      <c r="C73" t="str">
        <f>IF(A73="","",IFERROR(INDEX(tblReg[FirstName],MATCH(A73,tblReg[Bib],0)),""))</f>
        <v/>
      </c>
      <c r="D73" t="str">
        <f>IF(A73="","",IFERROR(INDEX(tblReg[LastName],MATCH(A73,tblReg[Bib],0)),""))</f>
        <v/>
      </c>
      <c r="E73" t="str">
        <f>IF(A73="","",IFERROR(INDEX(tblReg[Team],MATCH(A73,tblReg[Bib],0)),""))</f>
        <v/>
      </c>
      <c r="F73" s="4" t="s">
        <v>103</v>
      </c>
      <c r="G73" t="str">
        <f t="shared" si="4"/>
        <v/>
      </c>
      <c r="H73" t="str">
        <f t="shared" si="5"/>
        <v/>
      </c>
      <c r="I73">
        <f>IF(H73="",0,IFERROR(INDEX(Config!$K$4:$K$6,MATCH(H73,Config!$H$4:$H$6,0)),0))</f>
        <v>0</v>
      </c>
      <c r="J73" t="str">
        <f t="shared" si="6"/>
        <v/>
      </c>
      <c r="K73" s="5" t="str">
        <f t="shared" si="7"/>
        <v/>
      </c>
      <c r="L73">
        <f>IF(A73="",999,IFERROR(MATCH(B73,Config!$A$4:$A$7,0),99)*10+IF(ISNUMBER(F73),1,IF(F73="",2,IF(UPPER(F73)="DNF",3,IF(UPPER(F73)="DNS",4,8)))))</f>
        <v>999</v>
      </c>
    </row>
    <row r="74" spans="2:12" x14ac:dyDescent="0.25">
      <c r="B74" t="str">
        <f>IF(A74="","",IFERROR(INDEX(tblReg[Field],MATCH(A74,tblReg[Bib],0)),""))</f>
        <v/>
      </c>
      <c r="C74" t="str">
        <f>IF(A74="","",IFERROR(INDEX(tblReg[FirstName],MATCH(A74,tblReg[Bib],0)),""))</f>
        <v/>
      </c>
      <c r="D74" t="str">
        <f>IF(A74="","",IFERROR(INDEX(tblReg[LastName],MATCH(A74,tblReg[Bib],0)),""))</f>
        <v/>
      </c>
      <c r="E74" t="str">
        <f>IF(A74="","",IFERROR(INDEX(tblReg[Team],MATCH(A74,tblReg[Bib],0)),""))</f>
        <v/>
      </c>
      <c r="F74" s="4" t="s">
        <v>103</v>
      </c>
      <c r="G74" t="str">
        <f t="shared" si="4"/>
        <v/>
      </c>
      <c r="H74" t="str">
        <f t="shared" si="5"/>
        <v/>
      </c>
      <c r="I74">
        <f>IF(H74="",0,IFERROR(INDEX(Config!$K$4:$K$6,MATCH(H74,Config!$H$4:$H$6,0)),0))</f>
        <v>0</v>
      </c>
      <c r="J74" t="str">
        <f t="shared" si="6"/>
        <v/>
      </c>
      <c r="K74" s="5" t="str">
        <f t="shared" si="7"/>
        <v/>
      </c>
      <c r="L74">
        <f>IF(A74="",999,IFERROR(MATCH(B74,Config!$A$4:$A$7,0),99)*10+IF(ISNUMBER(F74),1,IF(F74="",2,IF(UPPER(F74)="DNF",3,IF(UPPER(F74)="DNS",4,8)))))</f>
        <v>999</v>
      </c>
    </row>
    <row r="75" spans="2:12" x14ac:dyDescent="0.25">
      <c r="B75" t="str">
        <f>IF(A75="","",IFERROR(INDEX(tblReg[Field],MATCH(A75,tblReg[Bib],0)),""))</f>
        <v/>
      </c>
      <c r="C75" t="str">
        <f>IF(A75="","",IFERROR(INDEX(tblReg[FirstName],MATCH(A75,tblReg[Bib],0)),""))</f>
        <v/>
      </c>
      <c r="D75" t="str">
        <f>IF(A75="","",IFERROR(INDEX(tblReg[LastName],MATCH(A75,tblReg[Bib],0)),""))</f>
        <v/>
      </c>
      <c r="E75" t="str">
        <f>IF(A75="","",IFERROR(INDEX(tblReg[Team],MATCH(A75,tblReg[Bib],0)),""))</f>
        <v/>
      </c>
      <c r="F75" s="4" t="s">
        <v>103</v>
      </c>
      <c r="G75" t="str">
        <f t="shared" si="4"/>
        <v/>
      </c>
      <c r="H75" t="str">
        <f t="shared" si="5"/>
        <v/>
      </c>
      <c r="I75">
        <f>IF(H75="",0,IFERROR(INDEX(Config!$K$4:$K$6,MATCH(H75,Config!$H$4:$H$6,0)),0))</f>
        <v>0</v>
      </c>
      <c r="J75" t="str">
        <f t="shared" si="6"/>
        <v/>
      </c>
      <c r="K75" s="5" t="str">
        <f t="shared" si="7"/>
        <v/>
      </c>
      <c r="L75">
        <f>IF(A75="",999,IFERROR(MATCH(B75,Config!$A$4:$A$7,0),99)*10+IF(ISNUMBER(F75),1,IF(F75="",2,IF(UPPER(F75)="DNF",3,IF(UPPER(F75)="DNS",4,8)))))</f>
        <v>999</v>
      </c>
    </row>
    <row r="76" spans="2:12" x14ac:dyDescent="0.25">
      <c r="B76" t="str">
        <f>IF(A76="","",IFERROR(INDEX(tblReg[Field],MATCH(A76,tblReg[Bib],0)),""))</f>
        <v/>
      </c>
      <c r="C76" t="str">
        <f>IF(A76="","",IFERROR(INDEX(tblReg[FirstName],MATCH(A76,tblReg[Bib],0)),""))</f>
        <v/>
      </c>
      <c r="D76" t="str">
        <f>IF(A76="","",IFERROR(INDEX(tblReg[LastName],MATCH(A76,tblReg[Bib],0)),""))</f>
        <v/>
      </c>
      <c r="E76" t="str">
        <f>IF(A76="","",IFERROR(INDEX(tblReg[Team],MATCH(A76,tblReg[Bib],0)),""))</f>
        <v/>
      </c>
      <c r="F76" s="4" t="s">
        <v>103</v>
      </c>
      <c r="G76" t="str">
        <f t="shared" si="4"/>
        <v/>
      </c>
      <c r="H76" t="str">
        <f t="shared" si="5"/>
        <v/>
      </c>
      <c r="I76">
        <f>IF(H76="",0,IFERROR(INDEX(Config!$K$4:$K$6,MATCH(H76,Config!$H$4:$H$6,0)),0))</f>
        <v>0</v>
      </c>
      <c r="J76" t="str">
        <f t="shared" si="6"/>
        <v/>
      </c>
      <c r="K76" s="5" t="str">
        <f t="shared" si="7"/>
        <v/>
      </c>
      <c r="L76">
        <f>IF(A76="",999,IFERROR(MATCH(B76,Config!$A$4:$A$7,0),99)*10+IF(ISNUMBER(F76),1,IF(F76="",2,IF(UPPER(F76)="DNF",3,IF(UPPER(F76)="DNS",4,8)))))</f>
        <v>999</v>
      </c>
    </row>
    <row r="77" spans="2:12" x14ac:dyDescent="0.25">
      <c r="B77" t="str">
        <f>IF(A77="","",IFERROR(INDEX(tblReg[Field],MATCH(A77,tblReg[Bib],0)),""))</f>
        <v/>
      </c>
      <c r="C77" t="str">
        <f>IF(A77="","",IFERROR(INDEX(tblReg[FirstName],MATCH(A77,tblReg[Bib],0)),""))</f>
        <v/>
      </c>
      <c r="D77" t="str">
        <f>IF(A77="","",IFERROR(INDEX(tblReg[LastName],MATCH(A77,tblReg[Bib],0)),""))</f>
        <v/>
      </c>
      <c r="E77" t="str">
        <f>IF(A77="","",IFERROR(INDEX(tblReg[Team],MATCH(A77,tblReg[Bib],0)),""))</f>
        <v/>
      </c>
      <c r="F77" s="4" t="s">
        <v>103</v>
      </c>
      <c r="G77" t="str">
        <f t="shared" si="4"/>
        <v/>
      </c>
      <c r="H77" t="str">
        <f t="shared" si="5"/>
        <v/>
      </c>
      <c r="I77">
        <f>IF(H77="",0,IFERROR(INDEX(Config!$K$4:$K$6,MATCH(H77,Config!$H$4:$H$6,0)),0))</f>
        <v>0</v>
      </c>
      <c r="J77" t="str">
        <f t="shared" si="6"/>
        <v/>
      </c>
      <c r="K77" s="5" t="str">
        <f t="shared" si="7"/>
        <v/>
      </c>
      <c r="L77">
        <f>IF(A77="",999,IFERROR(MATCH(B77,Config!$A$4:$A$7,0),99)*10+IF(ISNUMBER(F77),1,IF(F77="",2,IF(UPPER(F77)="DNF",3,IF(UPPER(F77)="DNS",4,8)))))</f>
        <v>999</v>
      </c>
    </row>
    <row r="78" spans="2:12" x14ac:dyDescent="0.25">
      <c r="B78" t="str">
        <f>IF(A78="","",IFERROR(INDEX(tblReg[Field],MATCH(A78,tblReg[Bib],0)),""))</f>
        <v/>
      </c>
      <c r="C78" t="str">
        <f>IF(A78="","",IFERROR(INDEX(tblReg[FirstName],MATCH(A78,tblReg[Bib],0)),""))</f>
        <v/>
      </c>
      <c r="D78" t="str">
        <f>IF(A78="","",IFERROR(INDEX(tblReg[LastName],MATCH(A78,tblReg[Bib],0)),""))</f>
        <v/>
      </c>
      <c r="E78" t="str">
        <f>IF(A78="","",IFERROR(INDEX(tblReg[Team],MATCH(A78,tblReg[Bib],0)),""))</f>
        <v/>
      </c>
      <c r="F78" s="4" t="s">
        <v>103</v>
      </c>
      <c r="G78" t="str">
        <f t="shared" si="4"/>
        <v/>
      </c>
      <c r="H78" t="str">
        <f t="shared" si="5"/>
        <v/>
      </c>
      <c r="I78">
        <f>IF(H78="",0,IFERROR(INDEX(Config!$K$4:$K$6,MATCH(H78,Config!$H$4:$H$6,0)),0))</f>
        <v>0</v>
      </c>
      <c r="J78" t="str">
        <f t="shared" si="6"/>
        <v/>
      </c>
      <c r="K78" s="5" t="str">
        <f t="shared" si="7"/>
        <v/>
      </c>
      <c r="L78">
        <f>IF(A78="",999,IFERROR(MATCH(B78,Config!$A$4:$A$7,0),99)*10+IF(ISNUMBER(F78),1,IF(F78="",2,IF(UPPER(F78)="DNF",3,IF(UPPER(F78)="DNS",4,8)))))</f>
        <v>999</v>
      </c>
    </row>
    <row r="79" spans="2:12" x14ac:dyDescent="0.25">
      <c r="B79" t="str">
        <f>IF(A79="","",IFERROR(INDEX(tblReg[Field],MATCH(A79,tblReg[Bib],0)),""))</f>
        <v/>
      </c>
      <c r="C79" t="str">
        <f>IF(A79="","",IFERROR(INDEX(tblReg[FirstName],MATCH(A79,tblReg[Bib],0)),""))</f>
        <v/>
      </c>
      <c r="D79" t="str">
        <f>IF(A79="","",IFERROR(INDEX(tblReg[LastName],MATCH(A79,tblReg[Bib],0)),""))</f>
        <v/>
      </c>
      <c r="E79" t="str">
        <f>IF(A79="","",IFERROR(INDEX(tblReg[Team],MATCH(A79,tblReg[Bib],0)),""))</f>
        <v/>
      </c>
      <c r="F79" s="4" t="s">
        <v>103</v>
      </c>
      <c r="G79" t="str">
        <f t="shared" si="4"/>
        <v/>
      </c>
      <c r="H79" t="str">
        <f t="shared" si="5"/>
        <v/>
      </c>
      <c r="I79">
        <f>IF(H79="",0,IFERROR(INDEX(Config!$K$4:$K$6,MATCH(H79,Config!$H$4:$H$6,0)),0))</f>
        <v>0</v>
      </c>
      <c r="J79" t="str">
        <f t="shared" si="6"/>
        <v/>
      </c>
      <c r="K79" s="5" t="str">
        <f t="shared" si="7"/>
        <v/>
      </c>
      <c r="L79">
        <f>IF(A79="",999,IFERROR(MATCH(B79,Config!$A$4:$A$7,0),99)*10+IF(ISNUMBER(F79),1,IF(F79="",2,IF(UPPER(F79)="DNF",3,IF(UPPER(F79)="DNS",4,8)))))</f>
        <v>999</v>
      </c>
    </row>
    <row r="80" spans="2:12" x14ac:dyDescent="0.25">
      <c r="B80" t="str">
        <f>IF(A80="","",IFERROR(INDEX(tblReg[Field],MATCH(A80,tblReg[Bib],0)),""))</f>
        <v/>
      </c>
      <c r="C80" t="str">
        <f>IF(A80="","",IFERROR(INDEX(tblReg[FirstName],MATCH(A80,tblReg[Bib],0)),""))</f>
        <v/>
      </c>
      <c r="D80" t="str">
        <f>IF(A80="","",IFERROR(INDEX(tblReg[LastName],MATCH(A80,tblReg[Bib],0)),""))</f>
        <v/>
      </c>
      <c r="E80" t="str">
        <f>IF(A80="","",IFERROR(INDEX(tblReg[Team],MATCH(A80,tblReg[Bib],0)),""))</f>
        <v/>
      </c>
      <c r="F80" s="4" t="s">
        <v>103</v>
      </c>
      <c r="G80" t="str">
        <f t="shared" si="4"/>
        <v/>
      </c>
      <c r="H80" t="str">
        <f t="shared" si="5"/>
        <v/>
      </c>
      <c r="I80">
        <f>IF(H80="",0,IFERROR(INDEX(Config!$K$4:$K$6,MATCH(H80,Config!$H$4:$H$6,0)),0))</f>
        <v>0</v>
      </c>
      <c r="J80" t="str">
        <f t="shared" si="6"/>
        <v/>
      </c>
      <c r="K80" s="5" t="str">
        <f t="shared" si="7"/>
        <v/>
      </c>
      <c r="L80">
        <f>IF(A80="",999,IFERROR(MATCH(B80,Config!$A$4:$A$7,0),99)*10+IF(ISNUMBER(F80),1,IF(F80="",2,IF(UPPER(F80)="DNF",3,IF(UPPER(F80)="DNS",4,8)))))</f>
        <v>999</v>
      </c>
    </row>
    <row r="81" spans="2:12" x14ac:dyDescent="0.25">
      <c r="B81" t="str">
        <f>IF(A81="","",IFERROR(INDEX(tblReg[Field],MATCH(A81,tblReg[Bib],0)),""))</f>
        <v/>
      </c>
      <c r="C81" t="str">
        <f>IF(A81="","",IFERROR(INDEX(tblReg[FirstName],MATCH(A81,tblReg[Bib],0)),""))</f>
        <v/>
      </c>
      <c r="D81" t="str">
        <f>IF(A81="","",IFERROR(INDEX(tblReg[LastName],MATCH(A81,tblReg[Bib],0)),""))</f>
        <v/>
      </c>
      <c r="E81" t="str">
        <f>IF(A81="","",IFERROR(INDEX(tblReg[Team],MATCH(A81,tblReg[Bib],0)),""))</f>
        <v/>
      </c>
      <c r="F81" s="4" t="s">
        <v>103</v>
      </c>
      <c r="G81" t="str">
        <f t="shared" si="4"/>
        <v/>
      </c>
      <c r="H81" t="str">
        <f t="shared" si="5"/>
        <v/>
      </c>
      <c r="I81">
        <f>IF(H81="",0,IFERROR(INDEX(Config!$K$4:$K$6,MATCH(H81,Config!$H$4:$H$6,0)),0))</f>
        <v>0</v>
      </c>
      <c r="J81" t="str">
        <f t="shared" si="6"/>
        <v/>
      </c>
      <c r="K81" s="5" t="str">
        <f t="shared" si="7"/>
        <v/>
      </c>
      <c r="L81">
        <f>IF(A81="",999,IFERROR(MATCH(B81,Config!$A$4:$A$7,0),99)*10+IF(ISNUMBER(F81),1,IF(F81="",2,IF(UPPER(F81)="DNF",3,IF(UPPER(F81)="DNS",4,8)))))</f>
        <v>999</v>
      </c>
    </row>
    <row r="82" spans="2:12" x14ac:dyDescent="0.25">
      <c r="B82" t="str">
        <f>IF(A82="","",IFERROR(INDEX(tblReg[Field],MATCH(A82,tblReg[Bib],0)),""))</f>
        <v/>
      </c>
      <c r="C82" t="str">
        <f>IF(A82="","",IFERROR(INDEX(tblReg[FirstName],MATCH(A82,tblReg[Bib],0)),""))</f>
        <v/>
      </c>
      <c r="D82" t="str">
        <f>IF(A82="","",IFERROR(INDEX(tblReg[LastName],MATCH(A82,tblReg[Bib],0)),""))</f>
        <v/>
      </c>
      <c r="E82" t="str">
        <f>IF(A82="","",IFERROR(INDEX(tblReg[Team],MATCH(A82,tblReg[Bib],0)),""))</f>
        <v/>
      </c>
      <c r="F82" s="4" t="s">
        <v>103</v>
      </c>
      <c r="G82" t="str">
        <f t="shared" si="4"/>
        <v/>
      </c>
      <c r="H82" t="str">
        <f t="shared" si="5"/>
        <v/>
      </c>
      <c r="I82">
        <f>IF(H82="",0,IFERROR(INDEX(Config!$K$4:$K$6,MATCH(H82,Config!$H$4:$H$6,0)),0))</f>
        <v>0</v>
      </c>
      <c r="J82" t="str">
        <f t="shared" si="6"/>
        <v/>
      </c>
      <c r="K82" s="5" t="str">
        <f t="shared" si="7"/>
        <v/>
      </c>
      <c r="L82">
        <f>IF(A82="",999,IFERROR(MATCH(B82,Config!$A$4:$A$7,0),99)*10+IF(ISNUMBER(F82),1,IF(F82="",2,IF(UPPER(F82)="DNF",3,IF(UPPER(F82)="DNS",4,8)))))</f>
        <v>999</v>
      </c>
    </row>
    <row r="83" spans="2:12" x14ac:dyDescent="0.25">
      <c r="B83" t="str">
        <f>IF(A83="","",IFERROR(INDEX(tblReg[Field],MATCH(A83,tblReg[Bib],0)),""))</f>
        <v/>
      </c>
      <c r="C83" t="str">
        <f>IF(A83="","",IFERROR(INDEX(tblReg[FirstName],MATCH(A83,tblReg[Bib],0)),""))</f>
        <v/>
      </c>
      <c r="D83" t="str">
        <f>IF(A83="","",IFERROR(INDEX(tblReg[LastName],MATCH(A83,tblReg[Bib],0)),""))</f>
        <v/>
      </c>
      <c r="E83" t="str">
        <f>IF(A83="","",IFERROR(INDEX(tblReg[Team],MATCH(A83,tblReg[Bib],0)),""))</f>
        <v/>
      </c>
      <c r="F83" s="4" t="s">
        <v>103</v>
      </c>
      <c r="G83" t="str">
        <f t="shared" si="4"/>
        <v/>
      </c>
      <c r="H83" t="str">
        <f t="shared" si="5"/>
        <v/>
      </c>
      <c r="I83">
        <f>IF(H83="",0,IFERROR(INDEX(Config!$K$4:$K$6,MATCH(H83,Config!$H$4:$H$6,0)),0))</f>
        <v>0</v>
      </c>
      <c r="J83" t="str">
        <f t="shared" si="6"/>
        <v/>
      </c>
      <c r="K83" s="5" t="str">
        <f t="shared" si="7"/>
        <v/>
      </c>
      <c r="L83">
        <f>IF(A83="",999,IFERROR(MATCH(B83,Config!$A$4:$A$7,0),99)*10+IF(ISNUMBER(F83),1,IF(F83="",2,IF(UPPER(F83)="DNF",3,IF(UPPER(F83)="DNS",4,8)))))</f>
        <v>999</v>
      </c>
    </row>
    <row r="84" spans="2:12" x14ac:dyDescent="0.25">
      <c r="B84" t="str">
        <f>IF(A84="","",IFERROR(INDEX(tblReg[Field],MATCH(A84,tblReg[Bib],0)),""))</f>
        <v/>
      </c>
      <c r="C84" t="str">
        <f>IF(A84="","",IFERROR(INDEX(tblReg[FirstName],MATCH(A84,tblReg[Bib],0)),""))</f>
        <v/>
      </c>
      <c r="D84" t="str">
        <f>IF(A84="","",IFERROR(INDEX(tblReg[LastName],MATCH(A84,tblReg[Bib],0)),""))</f>
        <v/>
      </c>
      <c r="E84" t="str">
        <f>IF(A84="","",IFERROR(INDEX(tblReg[Team],MATCH(A84,tblReg[Bib],0)),""))</f>
        <v/>
      </c>
      <c r="F84" s="4" t="s">
        <v>103</v>
      </c>
      <c r="G84" t="str">
        <f t="shared" si="4"/>
        <v/>
      </c>
      <c r="H84" t="str">
        <f t="shared" si="5"/>
        <v/>
      </c>
      <c r="I84">
        <f>IF(H84="",0,IFERROR(INDEX(Config!$K$4:$K$6,MATCH(H84,Config!$H$4:$H$6,0)),0))</f>
        <v>0</v>
      </c>
      <c r="J84" t="str">
        <f t="shared" si="6"/>
        <v/>
      </c>
      <c r="K84" s="5" t="str">
        <f t="shared" si="7"/>
        <v/>
      </c>
      <c r="L84">
        <f>IF(A84="",999,IFERROR(MATCH(B84,Config!$A$4:$A$7,0),99)*10+IF(ISNUMBER(F84),1,IF(F84="",2,IF(UPPER(F84)="DNF",3,IF(UPPER(F84)="DNS",4,8)))))</f>
        <v>999</v>
      </c>
    </row>
    <row r="85" spans="2:12" x14ac:dyDescent="0.25">
      <c r="B85" t="str">
        <f>IF(A85="","",IFERROR(INDEX(tblReg[Field],MATCH(A85,tblReg[Bib],0)),""))</f>
        <v/>
      </c>
      <c r="C85" t="str">
        <f>IF(A85="","",IFERROR(INDEX(tblReg[FirstName],MATCH(A85,tblReg[Bib],0)),""))</f>
        <v/>
      </c>
      <c r="D85" t="str">
        <f>IF(A85="","",IFERROR(INDEX(tblReg[LastName],MATCH(A85,tblReg[Bib],0)),""))</f>
        <v/>
      </c>
      <c r="E85" t="str">
        <f>IF(A85="","",IFERROR(INDEX(tblReg[Team],MATCH(A85,tblReg[Bib],0)),""))</f>
        <v/>
      </c>
      <c r="F85" s="4" t="s">
        <v>103</v>
      </c>
      <c r="G85" t="str">
        <f t="shared" si="4"/>
        <v/>
      </c>
      <c r="H85" t="str">
        <f t="shared" si="5"/>
        <v/>
      </c>
      <c r="I85">
        <f>IF(H85="",0,IFERROR(INDEX(Config!$K$4:$K$6,MATCH(H85,Config!$H$4:$H$6,0)),0))</f>
        <v>0</v>
      </c>
      <c r="J85" t="str">
        <f t="shared" si="6"/>
        <v/>
      </c>
      <c r="K85" s="5" t="str">
        <f t="shared" si="7"/>
        <v/>
      </c>
      <c r="L85">
        <f>IF(A85="",999,IFERROR(MATCH(B85,Config!$A$4:$A$7,0),99)*10+IF(ISNUMBER(F85),1,IF(F85="",2,IF(UPPER(F85)="DNF",3,IF(UPPER(F85)="DNS",4,8)))))</f>
        <v>999</v>
      </c>
    </row>
    <row r="86" spans="2:12" x14ac:dyDescent="0.25">
      <c r="B86" t="str">
        <f>IF(A86="","",IFERROR(INDEX(tblReg[Field],MATCH(A86,tblReg[Bib],0)),""))</f>
        <v/>
      </c>
      <c r="C86" t="str">
        <f>IF(A86="","",IFERROR(INDEX(tblReg[FirstName],MATCH(A86,tblReg[Bib],0)),""))</f>
        <v/>
      </c>
      <c r="D86" t="str">
        <f>IF(A86="","",IFERROR(INDEX(tblReg[LastName],MATCH(A86,tblReg[Bib],0)),""))</f>
        <v/>
      </c>
      <c r="E86" t="str">
        <f>IF(A86="","",IFERROR(INDEX(tblReg[Team],MATCH(A86,tblReg[Bib],0)),""))</f>
        <v/>
      </c>
      <c r="F86" s="4" t="s">
        <v>103</v>
      </c>
      <c r="G86" t="str">
        <f t="shared" si="4"/>
        <v/>
      </c>
      <c r="H86" t="str">
        <f t="shared" si="5"/>
        <v/>
      </c>
      <c r="I86">
        <f>IF(H86="",0,IFERROR(INDEX(Config!$K$4:$K$6,MATCH(H86,Config!$H$4:$H$6,0)),0))</f>
        <v>0</v>
      </c>
      <c r="J86" t="str">
        <f t="shared" si="6"/>
        <v/>
      </c>
      <c r="K86" s="5" t="str">
        <f t="shared" si="7"/>
        <v/>
      </c>
      <c r="L86">
        <f>IF(A86="",999,IFERROR(MATCH(B86,Config!$A$4:$A$7,0),99)*10+IF(ISNUMBER(F86),1,IF(F86="",2,IF(UPPER(F86)="DNF",3,IF(UPPER(F86)="DNS",4,8)))))</f>
        <v>999</v>
      </c>
    </row>
    <row r="87" spans="2:12" x14ac:dyDescent="0.25">
      <c r="B87" t="str">
        <f>IF(A87="","",IFERROR(INDEX(tblReg[Field],MATCH(A87,tblReg[Bib],0)),""))</f>
        <v/>
      </c>
      <c r="C87" t="str">
        <f>IF(A87="","",IFERROR(INDEX(tblReg[FirstName],MATCH(A87,tblReg[Bib],0)),""))</f>
        <v/>
      </c>
      <c r="D87" t="str">
        <f>IF(A87="","",IFERROR(INDEX(tblReg[LastName],MATCH(A87,tblReg[Bib],0)),""))</f>
        <v/>
      </c>
      <c r="E87" t="str">
        <f>IF(A87="","",IFERROR(INDEX(tblReg[Team],MATCH(A87,tblReg[Bib],0)),""))</f>
        <v/>
      </c>
      <c r="F87" s="4" t="s">
        <v>103</v>
      </c>
      <c r="G87" t="str">
        <f t="shared" si="4"/>
        <v/>
      </c>
      <c r="H87" t="str">
        <f t="shared" si="5"/>
        <v/>
      </c>
      <c r="I87">
        <f>IF(H87="",0,IFERROR(INDEX(Config!$K$4:$K$6,MATCH(H87,Config!$H$4:$H$6,0)),0))</f>
        <v>0</v>
      </c>
      <c r="J87" t="str">
        <f t="shared" si="6"/>
        <v/>
      </c>
      <c r="K87" s="5" t="str">
        <f t="shared" si="7"/>
        <v/>
      </c>
      <c r="L87">
        <f>IF(A87="",999,IFERROR(MATCH(B87,Config!$A$4:$A$7,0),99)*10+IF(ISNUMBER(F87),1,IF(F87="",2,IF(UPPER(F87)="DNF",3,IF(UPPER(F87)="DNS",4,8)))))</f>
        <v>999</v>
      </c>
    </row>
    <row r="88" spans="2:12" x14ac:dyDescent="0.25">
      <c r="B88" t="str">
        <f>IF(A88="","",IFERROR(INDEX(tblReg[Field],MATCH(A88,tblReg[Bib],0)),""))</f>
        <v/>
      </c>
      <c r="C88" t="str">
        <f>IF(A88="","",IFERROR(INDEX(tblReg[FirstName],MATCH(A88,tblReg[Bib],0)),""))</f>
        <v/>
      </c>
      <c r="D88" t="str">
        <f>IF(A88="","",IFERROR(INDEX(tblReg[LastName],MATCH(A88,tblReg[Bib],0)),""))</f>
        <v/>
      </c>
      <c r="E88" t="str">
        <f>IF(A88="","",IFERROR(INDEX(tblReg[Team],MATCH(A88,tblReg[Bib],0)),""))</f>
        <v/>
      </c>
      <c r="F88" s="4" t="s">
        <v>103</v>
      </c>
      <c r="G88" t="str">
        <f t="shared" si="4"/>
        <v/>
      </c>
      <c r="H88" t="str">
        <f t="shared" si="5"/>
        <v/>
      </c>
      <c r="I88">
        <f>IF(H88="",0,IFERROR(INDEX(Config!$K$4:$K$6,MATCH(H88,Config!$H$4:$H$6,0)),0))</f>
        <v>0</v>
      </c>
      <c r="J88" t="str">
        <f t="shared" si="6"/>
        <v/>
      </c>
      <c r="K88" s="5" t="str">
        <f t="shared" si="7"/>
        <v/>
      </c>
      <c r="L88">
        <f>IF(A88="",999,IFERROR(MATCH(B88,Config!$A$4:$A$7,0),99)*10+IF(ISNUMBER(F88),1,IF(F88="",2,IF(UPPER(F88)="DNF",3,IF(UPPER(F88)="DNS",4,8)))))</f>
        <v>999</v>
      </c>
    </row>
    <row r="89" spans="2:12" x14ac:dyDescent="0.25">
      <c r="B89" t="str">
        <f>IF(A89="","",IFERROR(INDEX(tblReg[Field],MATCH(A89,tblReg[Bib],0)),""))</f>
        <v/>
      </c>
      <c r="C89" t="str">
        <f>IF(A89="","",IFERROR(INDEX(tblReg[FirstName],MATCH(A89,tblReg[Bib],0)),""))</f>
        <v/>
      </c>
      <c r="D89" t="str">
        <f>IF(A89="","",IFERROR(INDEX(tblReg[LastName],MATCH(A89,tblReg[Bib],0)),""))</f>
        <v/>
      </c>
      <c r="E89" t="str">
        <f>IF(A89="","",IFERROR(INDEX(tblReg[Team],MATCH(A89,tblReg[Bib],0)),""))</f>
        <v/>
      </c>
      <c r="F89" s="4" t="s">
        <v>103</v>
      </c>
      <c r="G89" t="str">
        <f t="shared" si="4"/>
        <v/>
      </c>
      <c r="H89" t="str">
        <f t="shared" si="5"/>
        <v/>
      </c>
      <c r="I89">
        <f>IF(H89="",0,IFERROR(INDEX(Config!$K$4:$K$6,MATCH(H89,Config!$H$4:$H$6,0)),0))</f>
        <v>0</v>
      </c>
      <c r="J89" t="str">
        <f t="shared" si="6"/>
        <v/>
      </c>
      <c r="K89" s="5" t="str">
        <f t="shared" si="7"/>
        <v/>
      </c>
      <c r="L89">
        <f>IF(A89="",999,IFERROR(MATCH(B89,Config!$A$4:$A$7,0),99)*10+IF(ISNUMBER(F89),1,IF(F89="",2,IF(UPPER(F89)="DNF",3,IF(UPPER(F89)="DNS",4,8)))))</f>
        <v>999</v>
      </c>
    </row>
    <row r="90" spans="2:12" x14ac:dyDescent="0.25">
      <c r="B90" t="str">
        <f>IF(A90="","",IFERROR(INDEX(tblReg[Field],MATCH(A90,tblReg[Bib],0)),""))</f>
        <v/>
      </c>
      <c r="C90" t="str">
        <f>IF(A90="","",IFERROR(INDEX(tblReg[FirstName],MATCH(A90,tblReg[Bib],0)),""))</f>
        <v/>
      </c>
      <c r="D90" t="str">
        <f>IF(A90="","",IFERROR(INDEX(tblReg[LastName],MATCH(A90,tblReg[Bib],0)),""))</f>
        <v/>
      </c>
      <c r="E90" t="str">
        <f>IF(A90="","",IFERROR(INDEX(tblReg[Team],MATCH(A90,tblReg[Bib],0)),""))</f>
        <v/>
      </c>
      <c r="F90" s="4" t="s">
        <v>103</v>
      </c>
      <c r="G90" t="str">
        <f t="shared" si="4"/>
        <v/>
      </c>
      <c r="H90" t="str">
        <f t="shared" si="5"/>
        <v/>
      </c>
      <c r="I90">
        <f>IF(H90="",0,IFERROR(INDEX(Config!$K$4:$K$6,MATCH(H90,Config!$H$4:$H$6,0)),0))</f>
        <v>0</v>
      </c>
      <c r="J90" t="str">
        <f t="shared" si="6"/>
        <v/>
      </c>
      <c r="K90" s="5" t="str">
        <f t="shared" si="7"/>
        <v/>
      </c>
      <c r="L90">
        <f>IF(A90="",999,IFERROR(MATCH(B90,Config!$A$4:$A$7,0),99)*10+IF(ISNUMBER(F90),1,IF(F90="",2,IF(UPPER(F90)="DNF",3,IF(UPPER(F90)="DNS",4,8)))))</f>
        <v>999</v>
      </c>
    </row>
    <row r="91" spans="2:12" x14ac:dyDescent="0.25">
      <c r="B91" t="str">
        <f>IF(A91="","",IFERROR(INDEX(tblReg[Field],MATCH(A91,tblReg[Bib],0)),""))</f>
        <v/>
      </c>
      <c r="C91" t="str">
        <f>IF(A91="","",IFERROR(INDEX(tblReg[FirstName],MATCH(A91,tblReg[Bib],0)),""))</f>
        <v/>
      </c>
      <c r="D91" t="str">
        <f>IF(A91="","",IFERROR(INDEX(tblReg[LastName],MATCH(A91,tblReg[Bib],0)),""))</f>
        <v/>
      </c>
      <c r="E91" t="str">
        <f>IF(A91="","",IFERROR(INDEX(tblReg[Team],MATCH(A91,tblReg[Bib],0)),""))</f>
        <v/>
      </c>
      <c r="F91" s="4" t="s">
        <v>103</v>
      </c>
      <c r="G91" t="str">
        <f t="shared" si="4"/>
        <v/>
      </c>
      <c r="H91" t="str">
        <f t="shared" si="5"/>
        <v/>
      </c>
      <c r="I91">
        <f>IF(H91="",0,IFERROR(INDEX(Config!$K$4:$K$6,MATCH(H91,Config!$H$4:$H$6,0)),0))</f>
        <v>0</v>
      </c>
      <c r="J91" t="str">
        <f t="shared" si="6"/>
        <v/>
      </c>
      <c r="K91" s="5" t="str">
        <f t="shared" si="7"/>
        <v/>
      </c>
      <c r="L91">
        <f>IF(A91="",999,IFERROR(MATCH(B91,Config!$A$4:$A$7,0),99)*10+IF(ISNUMBER(F91),1,IF(F91="",2,IF(UPPER(F91)="DNF",3,IF(UPPER(F91)="DNS",4,8)))))</f>
        <v>999</v>
      </c>
    </row>
    <row r="92" spans="2:12" x14ac:dyDescent="0.25">
      <c r="B92" t="str">
        <f>IF(A92="","",IFERROR(INDEX(tblReg[Field],MATCH(A92,tblReg[Bib],0)),""))</f>
        <v/>
      </c>
      <c r="C92" t="str">
        <f>IF(A92="","",IFERROR(INDEX(tblReg[FirstName],MATCH(A92,tblReg[Bib],0)),""))</f>
        <v/>
      </c>
      <c r="D92" t="str">
        <f>IF(A92="","",IFERROR(INDEX(tblReg[LastName],MATCH(A92,tblReg[Bib],0)),""))</f>
        <v/>
      </c>
      <c r="E92" t="str">
        <f>IF(A92="","",IFERROR(INDEX(tblReg[Team],MATCH(A92,tblReg[Bib],0)),""))</f>
        <v/>
      </c>
      <c r="F92" s="4" t="s">
        <v>103</v>
      </c>
      <c r="G92" t="str">
        <f t="shared" si="4"/>
        <v/>
      </c>
      <c r="H92" t="str">
        <f t="shared" si="5"/>
        <v/>
      </c>
      <c r="I92">
        <f>IF(H92="",0,IFERROR(INDEX(Config!$K$4:$K$6,MATCH(H92,Config!$H$4:$H$6,0)),0))</f>
        <v>0</v>
      </c>
      <c r="J92" t="str">
        <f t="shared" si="6"/>
        <v/>
      </c>
      <c r="K92" s="5" t="str">
        <f t="shared" si="7"/>
        <v/>
      </c>
      <c r="L92">
        <f>IF(A92="",999,IFERROR(MATCH(B92,Config!$A$4:$A$7,0),99)*10+IF(ISNUMBER(F92),1,IF(F92="",2,IF(UPPER(F92)="DNF",3,IF(UPPER(F92)="DNS",4,8)))))</f>
        <v>999</v>
      </c>
    </row>
    <row r="93" spans="2:12" x14ac:dyDescent="0.25">
      <c r="B93" t="str">
        <f>IF(A93="","",IFERROR(INDEX(tblReg[Field],MATCH(A93,tblReg[Bib],0)),""))</f>
        <v/>
      </c>
      <c r="C93" t="str">
        <f>IF(A93="","",IFERROR(INDEX(tblReg[FirstName],MATCH(A93,tblReg[Bib],0)),""))</f>
        <v/>
      </c>
      <c r="D93" t="str">
        <f>IF(A93="","",IFERROR(INDEX(tblReg[LastName],MATCH(A93,tblReg[Bib],0)),""))</f>
        <v/>
      </c>
      <c r="E93" t="str">
        <f>IF(A93="","",IFERROR(INDEX(tblReg[Team],MATCH(A93,tblReg[Bib],0)),""))</f>
        <v/>
      </c>
      <c r="F93" s="4" t="s">
        <v>103</v>
      </c>
      <c r="G93" t="str">
        <f t="shared" si="4"/>
        <v/>
      </c>
      <c r="H93" t="str">
        <f t="shared" si="5"/>
        <v/>
      </c>
      <c r="I93">
        <f>IF(H93="",0,IFERROR(INDEX(Config!$K$4:$K$6,MATCH(H93,Config!$H$4:$H$6,0)),0))</f>
        <v>0</v>
      </c>
      <c r="J93" t="str">
        <f t="shared" si="6"/>
        <v/>
      </c>
      <c r="K93" s="5" t="str">
        <f t="shared" si="7"/>
        <v/>
      </c>
      <c r="L93">
        <f>IF(A93="",999,IFERROR(MATCH(B93,Config!$A$4:$A$7,0),99)*10+IF(ISNUMBER(F93),1,IF(F93="",2,IF(UPPER(F93)="DNF",3,IF(UPPER(F93)="DNS",4,8)))))</f>
        <v>999</v>
      </c>
    </row>
    <row r="94" spans="2:12" x14ac:dyDescent="0.25">
      <c r="B94" t="str">
        <f>IF(A94="","",IFERROR(INDEX(tblReg[Field],MATCH(A94,tblReg[Bib],0)),""))</f>
        <v/>
      </c>
      <c r="C94" t="str">
        <f>IF(A94="","",IFERROR(INDEX(tblReg[FirstName],MATCH(A94,tblReg[Bib],0)),""))</f>
        <v/>
      </c>
      <c r="D94" t="str">
        <f>IF(A94="","",IFERROR(INDEX(tblReg[LastName],MATCH(A94,tblReg[Bib],0)),""))</f>
        <v/>
      </c>
      <c r="E94" t="str">
        <f>IF(A94="","",IFERROR(INDEX(tblReg[Team],MATCH(A94,tblReg[Bib],0)),""))</f>
        <v/>
      </c>
      <c r="F94" s="4" t="s">
        <v>103</v>
      </c>
      <c r="G94" t="str">
        <f t="shared" si="4"/>
        <v/>
      </c>
      <c r="H94" t="str">
        <f t="shared" si="5"/>
        <v/>
      </c>
      <c r="I94">
        <f>IF(H94="",0,IFERROR(INDEX(Config!$K$4:$K$6,MATCH(H94,Config!$H$4:$H$6,0)),0))</f>
        <v>0</v>
      </c>
      <c r="J94" t="str">
        <f t="shared" si="6"/>
        <v/>
      </c>
      <c r="K94" s="5" t="str">
        <f t="shared" si="7"/>
        <v/>
      </c>
      <c r="L94">
        <f>IF(A94="",999,IFERROR(MATCH(B94,Config!$A$4:$A$7,0),99)*10+IF(ISNUMBER(F94),1,IF(F94="",2,IF(UPPER(F94)="DNF",3,IF(UPPER(F94)="DNS",4,8)))))</f>
        <v>999</v>
      </c>
    </row>
    <row r="95" spans="2:12" x14ac:dyDescent="0.25">
      <c r="B95" t="str">
        <f>IF(A95="","",IFERROR(INDEX(tblReg[Field],MATCH(A95,tblReg[Bib],0)),""))</f>
        <v/>
      </c>
      <c r="C95" t="str">
        <f>IF(A95="","",IFERROR(INDEX(tblReg[FirstName],MATCH(A95,tblReg[Bib],0)),""))</f>
        <v/>
      </c>
      <c r="D95" t="str">
        <f>IF(A95="","",IFERROR(INDEX(tblReg[LastName],MATCH(A95,tblReg[Bib],0)),""))</f>
        <v/>
      </c>
      <c r="E95" t="str">
        <f>IF(A95="","",IFERROR(INDEX(tblReg[Team],MATCH(A95,tblReg[Bib],0)),""))</f>
        <v/>
      </c>
      <c r="F95" s="4" t="s">
        <v>103</v>
      </c>
      <c r="G95" t="str">
        <f t="shared" si="4"/>
        <v/>
      </c>
      <c r="H95" t="str">
        <f t="shared" si="5"/>
        <v/>
      </c>
      <c r="I95">
        <f>IF(H95="",0,IFERROR(INDEX(Config!$K$4:$K$6,MATCH(H95,Config!$H$4:$H$6,0)),0))</f>
        <v>0</v>
      </c>
      <c r="J95" t="str">
        <f t="shared" si="6"/>
        <v/>
      </c>
      <c r="K95" s="5" t="str">
        <f t="shared" si="7"/>
        <v/>
      </c>
      <c r="L95">
        <f>IF(A95="",999,IFERROR(MATCH(B95,Config!$A$4:$A$7,0),99)*10+IF(ISNUMBER(F95),1,IF(F95="",2,IF(UPPER(F95)="DNF",3,IF(UPPER(F95)="DNS",4,8)))))</f>
        <v>999</v>
      </c>
    </row>
    <row r="96" spans="2:12" x14ac:dyDescent="0.25">
      <c r="B96" t="str">
        <f>IF(A96="","",IFERROR(INDEX(tblReg[Field],MATCH(A96,tblReg[Bib],0)),""))</f>
        <v/>
      </c>
      <c r="C96" t="str">
        <f>IF(A96="","",IFERROR(INDEX(tblReg[FirstName],MATCH(A96,tblReg[Bib],0)),""))</f>
        <v/>
      </c>
      <c r="D96" t="str">
        <f>IF(A96="","",IFERROR(INDEX(tblReg[LastName],MATCH(A96,tblReg[Bib],0)),""))</f>
        <v/>
      </c>
      <c r="E96" t="str">
        <f>IF(A96="","",IFERROR(INDEX(tblReg[Team],MATCH(A96,tblReg[Bib],0)),""))</f>
        <v/>
      </c>
      <c r="F96" s="4" t="s">
        <v>103</v>
      </c>
      <c r="G96" t="str">
        <f t="shared" si="4"/>
        <v/>
      </c>
      <c r="H96" t="str">
        <f t="shared" si="5"/>
        <v/>
      </c>
      <c r="I96">
        <f>IF(H96="",0,IFERROR(INDEX(Config!$K$4:$K$6,MATCH(H96,Config!$H$4:$H$6,0)),0))</f>
        <v>0</v>
      </c>
      <c r="J96" t="str">
        <f t="shared" si="6"/>
        <v/>
      </c>
      <c r="K96" s="5" t="str">
        <f t="shared" si="7"/>
        <v/>
      </c>
      <c r="L96">
        <f>IF(A96="",999,IFERROR(MATCH(B96,Config!$A$4:$A$7,0),99)*10+IF(ISNUMBER(F96),1,IF(F96="",2,IF(UPPER(F96)="DNF",3,IF(UPPER(F96)="DNS",4,8)))))</f>
        <v>999</v>
      </c>
    </row>
    <row r="97" spans="2:12" x14ac:dyDescent="0.25">
      <c r="B97" t="str">
        <f>IF(A97="","",IFERROR(INDEX(tblReg[Field],MATCH(A97,tblReg[Bib],0)),""))</f>
        <v/>
      </c>
      <c r="C97" t="str">
        <f>IF(A97="","",IFERROR(INDEX(tblReg[FirstName],MATCH(A97,tblReg[Bib],0)),""))</f>
        <v/>
      </c>
      <c r="D97" t="str">
        <f>IF(A97="","",IFERROR(INDEX(tblReg[LastName],MATCH(A97,tblReg[Bib],0)),""))</f>
        <v/>
      </c>
      <c r="E97" t="str">
        <f>IF(A97="","",IFERROR(INDEX(tblReg[Team],MATCH(A97,tblReg[Bib],0)),""))</f>
        <v/>
      </c>
      <c r="F97" s="4" t="s">
        <v>103</v>
      </c>
      <c r="G97" t="str">
        <f t="shared" si="4"/>
        <v/>
      </c>
      <c r="H97" t="str">
        <f t="shared" si="5"/>
        <v/>
      </c>
      <c r="I97">
        <f>IF(H97="",0,IFERROR(INDEX(Config!$K$4:$K$6,MATCH(H97,Config!$H$4:$H$6,0)),0))</f>
        <v>0</v>
      </c>
      <c r="J97" t="str">
        <f t="shared" si="6"/>
        <v/>
      </c>
      <c r="K97" s="5" t="str">
        <f t="shared" si="7"/>
        <v/>
      </c>
      <c r="L97">
        <f>IF(A97="",999,IFERROR(MATCH(B97,Config!$A$4:$A$7,0),99)*10+IF(ISNUMBER(F97),1,IF(F97="",2,IF(UPPER(F97)="DNF",3,IF(UPPER(F97)="DNS",4,8)))))</f>
        <v>999</v>
      </c>
    </row>
    <row r="98" spans="2:12" x14ac:dyDescent="0.25">
      <c r="B98" t="str">
        <f>IF(A98="","",IFERROR(INDEX(tblReg[Field],MATCH(A98,tblReg[Bib],0)),""))</f>
        <v/>
      </c>
      <c r="C98" t="str">
        <f>IF(A98="","",IFERROR(INDEX(tblReg[FirstName],MATCH(A98,tblReg[Bib],0)),""))</f>
        <v/>
      </c>
      <c r="D98" t="str">
        <f>IF(A98="","",IFERROR(INDEX(tblReg[LastName],MATCH(A98,tblReg[Bib],0)),""))</f>
        <v/>
      </c>
      <c r="E98" t="str">
        <f>IF(A98="","",IFERROR(INDEX(tblReg[Team],MATCH(A98,tblReg[Bib],0)),""))</f>
        <v/>
      </c>
      <c r="F98" s="4" t="s">
        <v>103</v>
      </c>
      <c r="G98" t="str">
        <f t="shared" si="4"/>
        <v/>
      </c>
      <c r="H98" t="str">
        <f t="shared" si="5"/>
        <v/>
      </c>
      <c r="I98">
        <f>IF(H98="",0,IFERROR(INDEX(Config!$K$4:$K$6,MATCH(H98,Config!$H$4:$H$6,0)),0))</f>
        <v>0</v>
      </c>
      <c r="J98" t="str">
        <f t="shared" si="6"/>
        <v/>
      </c>
      <c r="K98" s="5" t="str">
        <f t="shared" si="7"/>
        <v/>
      </c>
      <c r="L98">
        <f>IF(A98="",999,IFERROR(MATCH(B98,Config!$A$4:$A$7,0),99)*10+IF(ISNUMBER(F98),1,IF(F98="",2,IF(UPPER(F98)="DNF",3,IF(UPPER(F98)="DNS",4,8)))))</f>
        <v>999</v>
      </c>
    </row>
    <row r="99" spans="2:12" x14ac:dyDescent="0.25">
      <c r="B99" t="str">
        <f>IF(A99="","",IFERROR(INDEX(tblReg[Field],MATCH(A99,tblReg[Bib],0)),""))</f>
        <v/>
      </c>
      <c r="C99" t="str">
        <f>IF(A99="","",IFERROR(INDEX(tblReg[FirstName],MATCH(A99,tblReg[Bib],0)),""))</f>
        <v/>
      </c>
      <c r="D99" t="str">
        <f>IF(A99="","",IFERROR(INDEX(tblReg[LastName],MATCH(A99,tblReg[Bib],0)),""))</f>
        <v/>
      </c>
      <c r="E99" t="str">
        <f>IF(A99="","",IFERROR(INDEX(tblReg[Team],MATCH(A99,tblReg[Bib],0)),""))</f>
        <v/>
      </c>
      <c r="F99" s="4" t="s">
        <v>103</v>
      </c>
      <c r="G99" t="str">
        <f t="shared" si="4"/>
        <v/>
      </c>
      <c r="H99" t="str">
        <f t="shared" si="5"/>
        <v/>
      </c>
      <c r="I99">
        <f>IF(H99="",0,IFERROR(INDEX(Config!$K$4:$K$6,MATCH(H99,Config!$H$4:$H$6,0)),0))</f>
        <v>0</v>
      </c>
      <c r="J99" t="str">
        <f t="shared" si="6"/>
        <v/>
      </c>
      <c r="K99" s="5" t="str">
        <f t="shared" si="7"/>
        <v/>
      </c>
      <c r="L99">
        <f>IF(A99="",999,IFERROR(MATCH(B99,Config!$A$4:$A$7,0),99)*10+IF(ISNUMBER(F99),1,IF(F99="",2,IF(UPPER(F99)="DNF",3,IF(UPPER(F99)="DNS",4,8)))))</f>
        <v>999</v>
      </c>
    </row>
    <row r="100" spans="2:12" x14ac:dyDescent="0.25">
      <c r="B100" t="str">
        <f>IF(A100="","",IFERROR(INDEX(tblReg[Field],MATCH(A100,tblReg[Bib],0)),""))</f>
        <v/>
      </c>
      <c r="C100" t="str">
        <f>IF(A100="","",IFERROR(INDEX(tblReg[FirstName],MATCH(A100,tblReg[Bib],0)),""))</f>
        <v/>
      </c>
      <c r="D100" t="str">
        <f>IF(A100="","",IFERROR(INDEX(tblReg[LastName],MATCH(A100,tblReg[Bib],0)),""))</f>
        <v/>
      </c>
      <c r="E100" t="str">
        <f>IF(A100="","",IFERROR(INDEX(tblReg[Team],MATCH(A100,tblReg[Bib],0)),""))</f>
        <v/>
      </c>
      <c r="F100" s="4" t="s">
        <v>103</v>
      </c>
      <c r="G100" t="str">
        <f t="shared" si="4"/>
        <v/>
      </c>
      <c r="H100" t="str">
        <f t="shared" si="5"/>
        <v/>
      </c>
      <c r="I100">
        <f>IF(H100="",0,IFERROR(INDEX(Config!$K$4:$K$6,MATCH(H100,Config!$H$4:$H$6,0)),0))</f>
        <v>0</v>
      </c>
      <c r="J100" t="str">
        <f t="shared" si="6"/>
        <v/>
      </c>
      <c r="K100" s="5" t="str">
        <f t="shared" si="7"/>
        <v/>
      </c>
      <c r="L100">
        <f>IF(A100="",999,IFERROR(MATCH(B100,Config!$A$4:$A$7,0),99)*10+IF(ISNUMBER(F100),1,IF(F100="",2,IF(UPPER(F100)="DNF",3,IF(UPPER(F100)="DNS",4,8)))))</f>
        <v>999</v>
      </c>
    </row>
    <row r="101" spans="2:12" x14ac:dyDescent="0.25">
      <c r="B101" t="str">
        <f>IF(A101="","",IFERROR(INDEX(tblReg[Field],MATCH(A101,tblReg[Bib],0)),""))</f>
        <v/>
      </c>
      <c r="C101" t="str">
        <f>IF(A101="","",IFERROR(INDEX(tblReg[FirstName],MATCH(A101,tblReg[Bib],0)),""))</f>
        <v/>
      </c>
      <c r="D101" t="str">
        <f>IF(A101="","",IFERROR(INDEX(tblReg[LastName],MATCH(A101,tblReg[Bib],0)),""))</f>
        <v/>
      </c>
      <c r="E101" t="str">
        <f>IF(A101="","",IFERROR(INDEX(tblReg[Team],MATCH(A101,tblReg[Bib],0)),""))</f>
        <v/>
      </c>
      <c r="F101" s="4" t="s">
        <v>103</v>
      </c>
      <c r="G101" t="str">
        <f t="shared" si="4"/>
        <v/>
      </c>
      <c r="H101" t="str">
        <f t="shared" si="5"/>
        <v/>
      </c>
      <c r="I101">
        <f>IF(H101="",0,IFERROR(INDEX(Config!$K$4:$K$6,MATCH(H101,Config!$H$4:$H$6,0)),0))</f>
        <v>0</v>
      </c>
      <c r="J101" t="str">
        <f t="shared" si="6"/>
        <v/>
      </c>
      <c r="K101" s="5" t="str">
        <f t="shared" si="7"/>
        <v/>
      </c>
      <c r="L101">
        <f>IF(A101="",999,IFERROR(MATCH(B101,Config!$A$4:$A$7,0),99)*10+IF(ISNUMBER(F101),1,IF(F101="",2,IF(UPPER(F101)="DNF",3,IF(UPPER(F101)="DNS",4,8)))))</f>
        <v>999</v>
      </c>
    </row>
    <row r="102" spans="2:12" x14ac:dyDescent="0.25">
      <c r="B102" t="str">
        <f>IF(A102="","",IFERROR(INDEX(tblReg[Field],MATCH(A102,tblReg[Bib],0)),""))</f>
        <v/>
      </c>
      <c r="C102" t="str">
        <f>IF(A102="","",IFERROR(INDEX(tblReg[FirstName],MATCH(A102,tblReg[Bib],0)),""))</f>
        <v/>
      </c>
      <c r="D102" t="str">
        <f>IF(A102="","",IFERROR(INDEX(tblReg[LastName],MATCH(A102,tblReg[Bib],0)),""))</f>
        <v/>
      </c>
      <c r="E102" t="str">
        <f>IF(A102="","",IFERROR(INDEX(tblReg[Team],MATCH(A102,tblReg[Bib],0)),""))</f>
        <v/>
      </c>
      <c r="F102" s="4" t="s">
        <v>103</v>
      </c>
      <c r="G102" t="str">
        <f t="shared" si="4"/>
        <v/>
      </c>
      <c r="H102" t="str">
        <f t="shared" si="5"/>
        <v/>
      </c>
      <c r="I102">
        <f>IF(H102="",0,IFERROR(INDEX(Config!$K$4:$K$6,MATCH(H102,Config!$H$4:$H$6,0)),0))</f>
        <v>0</v>
      </c>
      <c r="J102" t="str">
        <f t="shared" si="6"/>
        <v/>
      </c>
      <c r="K102" s="5" t="str">
        <f t="shared" si="7"/>
        <v/>
      </c>
      <c r="L102">
        <f>IF(A102="",999,IFERROR(MATCH(B102,Config!$A$4:$A$7,0),99)*10+IF(ISNUMBER(F102),1,IF(F102="",2,IF(UPPER(F102)="DNF",3,IF(UPPER(F102)="DNS",4,8)))))</f>
        <v>999</v>
      </c>
    </row>
    <row r="103" spans="2:12" x14ac:dyDescent="0.25">
      <c r="B103" t="str">
        <f>IF(A103="","",IFERROR(INDEX(tblReg[Field],MATCH(A103,tblReg[Bib],0)),""))</f>
        <v/>
      </c>
      <c r="C103" t="str">
        <f>IF(A103="","",IFERROR(INDEX(tblReg[FirstName],MATCH(A103,tblReg[Bib],0)),""))</f>
        <v/>
      </c>
      <c r="D103" t="str">
        <f>IF(A103="","",IFERROR(INDEX(tblReg[LastName],MATCH(A103,tblReg[Bib],0)),""))</f>
        <v/>
      </c>
      <c r="E103" t="str">
        <f>IF(A103="","",IFERROR(INDEX(tblReg[Team],MATCH(A103,tblReg[Bib],0)),""))</f>
        <v/>
      </c>
      <c r="F103" s="4" t="s">
        <v>103</v>
      </c>
      <c r="G103" t="str">
        <f t="shared" si="4"/>
        <v/>
      </c>
      <c r="H103" t="str">
        <f t="shared" si="5"/>
        <v/>
      </c>
      <c r="I103">
        <f>IF(H103="",0,IFERROR(INDEX(Config!$K$4:$K$6,MATCH(H103,Config!$H$4:$H$6,0)),0))</f>
        <v>0</v>
      </c>
      <c r="J103" t="str">
        <f t="shared" si="6"/>
        <v/>
      </c>
      <c r="K103" s="5" t="str">
        <f t="shared" si="7"/>
        <v/>
      </c>
      <c r="L103">
        <f>IF(A103="",999,IFERROR(MATCH(B103,Config!$A$4:$A$7,0),99)*10+IF(ISNUMBER(F103),1,IF(F103="",2,IF(UPPER(F103)="DNF",3,IF(UPPER(F103)="DNS",4,8)))))</f>
        <v>999</v>
      </c>
    </row>
    <row r="104" spans="2:12" x14ac:dyDescent="0.25">
      <c r="B104" t="str">
        <f>IF(A104="","",IFERROR(INDEX(tblReg[Field],MATCH(A104,tblReg[Bib],0)),""))</f>
        <v/>
      </c>
      <c r="C104" t="str">
        <f>IF(A104="","",IFERROR(INDEX(tblReg[FirstName],MATCH(A104,tblReg[Bib],0)),""))</f>
        <v/>
      </c>
      <c r="D104" t="str">
        <f>IF(A104="","",IFERROR(INDEX(tblReg[LastName],MATCH(A104,tblReg[Bib],0)),""))</f>
        <v/>
      </c>
      <c r="E104" t="str">
        <f>IF(A104="","",IFERROR(INDEX(tblReg[Team],MATCH(A104,tblReg[Bib],0)),""))</f>
        <v/>
      </c>
      <c r="F104" s="4" t="s">
        <v>103</v>
      </c>
      <c r="G104" t="str">
        <f t="shared" si="4"/>
        <v/>
      </c>
      <c r="H104" t="str">
        <f t="shared" si="5"/>
        <v/>
      </c>
      <c r="I104">
        <f>IF(H104="",0,IFERROR(INDEX(Config!$K$4:$K$6,MATCH(H104,Config!$H$4:$H$6,0)),0))</f>
        <v>0</v>
      </c>
      <c r="J104" t="str">
        <f t="shared" si="6"/>
        <v/>
      </c>
      <c r="K104" s="5" t="str">
        <f t="shared" si="7"/>
        <v/>
      </c>
      <c r="L104">
        <f>IF(A104="",999,IFERROR(MATCH(B104,Config!$A$4:$A$7,0),99)*10+IF(ISNUMBER(F104),1,IF(F104="",2,IF(UPPER(F104)="DNF",3,IF(UPPER(F104)="DNS",4,8)))))</f>
        <v>999</v>
      </c>
    </row>
    <row r="105" spans="2:12" x14ac:dyDescent="0.25">
      <c r="B105" t="str">
        <f>IF(A105="","",IFERROR(INDEX(tblReg[Field],MATCH(A105,tblReg[Bib],0)),""))</f>
        <v/>
      </c>
      <c r="C105" t="str">
        <f>IF(A105="","",IFERROR(INDEX(tblReg[FirstName],MATCH(A105,tblReg[Bib],0)),""))</f>
        <v/>
      </c>
      <c r="D105" t="str">
        <f>IF(A105="","",IFERROR(INDEX(tblReg[LastName],MATCH(A105,tblReg[Bib],0)),""))</f>
        <v/>
      </c>
      <c r="E105" t="str">
        <f>IF(A105="","",IFERROR(INDEX(tblReg[Team],MATCH(A105,tblReg[Bib],0)),""))</f>
        <v/>
      </c>
      <c r="F105" s="4" t="s">
        <v>103</v>
      </c>
      <c r="G105" t="str">
        <f t="shared" si="4"/>
        <v/>
      </c>
      <c r="H105" t="str">
        <f t="shared" si="5"/>
        <v/>
      </c>
      <c r="I105">
        <f>IF(H105="",0,IFERROR(INDEX(Config!$K$4:$K$6,MATCH(H105,Config!$H$4:$H$6,0)),0))</f>
        <v>0</v>
      </c>
      <c r="J105" t="str">
        <f t="shared" si="6"/>
        <v/>
      </c>
      <c r="K105" s="5" t="str">
        <f t="shared" si="7"/>
        <v/>
      </c>
      <c r="L105">
        <f>IF(A105="",999,IFERROR(MATCH(B105,Config!$A$4:$A$7,0),99)*10+IF(ISNUMBER(F105),1,IF(F105="",2,IF(UPPER(F105)="DNF",3,IF(UPPER(F105)="DNS",4,8)))))</f>
        <v>999</v>
      </c>
    </row>
    <row r="106" spans="2:12" x14ac:dyDescent="0.25">
      <c r="B106" t="str">
        <f>IF(A106="","",IFERROR(INDEX(tblReg[Field],MATCH(A106,tblReg[Bib],0)),""))</f>
        <v/>
      </c>
      <c r="C106" t="str">
        <f>IF(A106="","",IFERROR(INDEX(tblReg[FirstName],MATCH(A106,tblReg[Bib],0)),""))</f>
        <v/>
      </c>
      <c r="D106" t="str">
        <f>IF(A106="","",IFERROR(INDEX(tblReg[LastName],MATCH(A106,tblReg[Bib],0)),""))</f>
        <v/>
      </c>
      <c r="E106" t="str">
        <f>IF(A106="","",IFERROR(INDEX(tblReg[Team],MATCH(A106,tblReg[Bib],0)),""))</f>
        <v/>
      </c>
      <c r="F106" s="4" t="s">
        <v>103</v>
      </c>
      <c r="G106" t="str">
        <f t="shared" si="4"/>
        <v/>
      </c>
      <c r="H106" t="str">
        <f t="shared" si="5"/>
        <v/>
      </c>
      <c r="I106">
        <f>IF(H106="",0,IFERROR(INDEX(Config!$K$4:$K$6,MATCH(H106,Config!$H$4:$H$6,0)),0))</f>
        <v>0</v>
      </c>
      <c r="J106" t="str">
        <f t="shared" si="6"/>
        <v/>
      </c>
      <c r="K106" s="5" t="str">
        <f t="shared" si="7"/>
        <v/>
      </c>
      <c r="L106">
        <f>IF(A106="",999,IFERROR(MATCH(B106,Config!$A$4:$A$7,0),99)*10+IF(ISNUMBER(F106),1,IF(F106="",2,IF(UPPER(F106)="DNF",3,IF(UPPER(F106)="DNS",4,8)))))</f>
        <v>999</v>
      </c>
    </row>
    <row r="107" spans="2:12" x14ac:dyDescent="0.25">
      <c r="B107" t="str">
        <f>IF(A107="","",IFERROR(INDEX(tblReg[Field],MATCH(A107,tblReg[Bib],0)),""))</f>
        <v/>
      </c>
      <c r="C107" t="str">
        <f>IF(A107="","",IFERROR(INDEX(tblReg[FirstName],MATCH(A107,tblReg[Bib],0)),""))</f>
        <v/>
      </c>
      <c r="D107" t="str">
        <f>IF(A107="","",IFERROR(INDEX(tblReg[LastName],MATCH(A107,tblReg[Bib],0)),""))</f>
        <v/>
      </c>
      <c r="E107" t="str">
        <f>IF(A107="","",IFERROR(INDEX(tblReg[Team],MATCH(A107,tblReg[Bib],0)),""))</f>
        <v/>
      </c>
      <c r="F107" s="4" t="s">
        <v>103</v>
      </c>
      <c r="G107" t="str">
        <f t="shared" si="4"/>
        <v/>
      </c>
      <c r="H107" t="str">
        <f t="shared" si="5"/>
        <v/>
      </c>
      <c r="I107">
        <f>IF(H107="",0,IFERROR(INDEX(Config!$K$4:$K$6,MATCH(H107,Config!$H$4:$H$6,0)),0))</f>
        <v>0</v>
      </c>
      <c r="J107" t="str">
        <f t="shared" si="6"/>
        <v/>
      </c>
      <c r="K107" s="5" t="str">
        <f t="shared" si="7"/>
        <v/>
      </c>
      <c r="L107">
        <f>IF(A107="",999,IFERROR(MATCH(B107,Config!$A$4:$A$7,0),99)*10+IF(ISNUMBER(F107),1,IF(F107="",2,IF(UPPER(F107)="DNF",3,IF(UPPER(F107)="DNS",4,8)))))</f>
        <v>999</v>
      </c>
    </row>
    <row r="108" spans="2:12" x14ac:dyDescent="0.25">
      <c r="B108" t="str">
        <f>IF(A108="","",IFERROR(INDEX(tblReg[Field],MATCH(A108,tblReg[Bib],0)),""))</f>
        <v/>
      </c>
      <c r="C108" t="str">
        <f>IF(A108="","",IFERROR(INDEX(tblReg[FirstName],MATCH(A108,tblReg[Bib],0)),""))</f>
        <v/>
      </c>
      <c r="D108" t="str">
        <f>IF(A108="","",IFERROR(INDEX(tblReg[LastName],MATCH(A108,tblReg[Bib],0)),""))</f>
        <v/>
      </c>
      <c r="E108" t="str">
        <f>IF(A108="","",IFERROR(INDEX(tblReg[Team],MATCH(A108,tblReg[Bib],0)),""))</f>
        <v/>
      </c>
      <c r="F108" s="4" t="s">
        <v>103</v>
      </c>
      <c r="G108" t="str">
        <f t="shared" si="4"/>
        <v/>
      </c>
      <c r="H108" t="str">
        <f t="shared" si="5"/>
        <v/>
      </c>
      <c r="I108">
        <f>IF(H108="",0,IFERROR(INDEX(Config!$K$4:$K$6,MATCH(H108,Config!$H$4:$H$6,0)),0))</f>
        <v>0</v>
      </c>
      <c r="J108" t="str">
        <f t="shared" si="6"/>
        <v/>
      </c>
      <c r="K108" s="5" t="str">
        <f t="shared" si="7"/>
        <v/>
      </c>
      <c r="L108">
        <f>IF(A108="",999,IFERROR(MATCH(B108,Config!$A$4:$A$7,0),99)*10+IF(ISNUMBER(F108),1,IF(F108="",2,IF(UPPER(F108)="DNF",3,IF(UPPER(F108)="DNS",4,8)))))</f>
        <v>999</v>
      </c>
    </row>
    <row r="109" spans="2:12" x14ac:dyDescent="0.25">
      <c r="B109" t="str">
        <f>IF(A109="","",IFERROR(INDEX(tblReg[Field],MATCH(A109,tblReg[Bib],0)),""))</f>
        <v/>
      </c>
      <c r="C109" t="str">
        <f>IF(A109="","",IFERROR(INDEX(tblReg[FirstName],MATCH(A109,tblReg[Bib],0)),""))</f>
        <v/>
      </c>
      <c r="D109" t="str">
        <f>IF(A109="","",IFERROR(INDEX(tblReg[LastName],MATCH(A109,tblReg[Bib],0)),""))</f>
        <v/>
      </c>
      <c r="E109" t="str">
        <f>IF(A109="","",IFERROR(INDEX(tblReg[Team],MATCH(A109,tblReg[Bib],0)),""))</f>
        <v/>
      </c>
      <c r="F109" s="4" t="s">
        <v>103</v>
      </c>
      <c r="G109" t="str">
        <f t="shared" si="4"/>
        <v/>
      </c>
      <c r="H109" t="str">
        <f t="shared" si="5"/>
        <v/>
      </c>
      <c r="I109">
        <f>IF(H109="",0,IFERROR(INDEX(Config!$K$4:$K$6,MATCH(H109,Config!$H$4:$H$6,0)),0))</f>
        <v>0</v>
      </c>
      <c r="J109" t="str">
        <f t="shared" si="6"/>
        <v/>
      </c>
      <c r="K109" s="5" t="str">
        <f t="shared" si="7"/>
        <v/>
      </c>
      <c r="L109">
        <f>IF(A109="",999,IFERROR(MATCH(B109,Config!$A$4:$A$7,0),99)*10+IF(ISNUMBER(F109),1,IF(F109="",2,IF(UPPER(F109)="DNF",3,IF(UPPER(F109)="DNS",4,8)))))</f>
        <v>999</v>
      </c>
    </row>
    <row r="110" spans="2:12" x14ac:dyDescent="0.25">
      <c r="B110" t="str">
        <f>IF(A110="","",IFERROR(INDEX(tblReg[Field],MATCH(A110,tblReg[Bib],0)),""))</f>
        <v/>
      </c>
      <c r="C110" t="str">
        <f>IF(A110="","",IFERROR(INDEX(tblReg[FirstName],MATCH(A110,tblReg[Bib],0)),""))</f>
        <v/>
      </c>
      <c r="D110" t="str">
        <f>IF(A110="","",IFERROR(INDEX(tblReg[LastName],MATCH(A110,tblReg[Bib],0)),""))</f>
        <v/>
      </c>
      <c r="E110" t="str">
        <f>IF(A110="","",IFERROR(INDEX(tblReg[Team],MATCH(A110,tblReg[Bib],0)),""))</f>
        <v/>
      </c>
      <c r="F110" s="4" t="s">
        <v>103</v>
      </c>
      <c r="G110" t="str">
        <f t="shared" si="4"/>
        <v/>
      </c>
      <c r="H110" t="str">
        <f t="shared" si="5"/>
        <v/>
      </c>
      <c r="I110">
        <f>IF(H110="",0,IFERROR(INDEX(Config!$K$4:$K$6,MATCH(H110,Config!$H$4:$H$6,0)),0))</f>
        <v>0</v>
      </c>
      <c r="J110" t="str">
        <f t="shared" si="6"/>
        <v/>
      </c>
      <c r="K110" s="5" t="str">
        <f t="shared" si="7"/>
        <v/>
      </c>
      <c r="L110">
        <f>IF(A110="",999,IFERROR(MATCH(B110,Config!$A$4:$A$7,0),99)*10+IF(ISNUMBER(F110),1,IF(F110="",2,IF(UPPER(F110)="DNF",3,IF(UPPER(F110)="DNS",4,8)))))</f>
        <v>999</v>
      </c>
    </row>
    <row r="111" spans="2:12" x14ac:dyDescent="0.25">
      <c r="B111" t="str">
        <f>IF(A111="","",IFERROR(INDEX(tblReg[Field],MATCH(A111,tblReg[Bib],0)),""))</f>
        <v/>
      </c>
      <c r="C111" t="str">
        <f>IF(A111="","",IFERROR(INDEX(tblReg[FirstName],MATCH(A111,tblReg[Bib],0)),""))</f>
        <v/>
      </c>
      <c r="D111" t="str">
        <f>IF(A111="","",IFERROR(INDEX(tblReg[LastName],MATCH(A111,tblReg[Bib],0)),""))</f>
        <v/>
      </c>
      <c r="E111" t="str">
        <f>IF(A111="","",IFERROR(INDEX(tblReg[Team],MATCH(A111,tblReg[Bib],0)),""))</f>
        <v/>
      </c>
      <c r="F111" s="4" t="s">
        <v>103</v>
      </c>
      <c r="G111" t="str">
        <f t="shared" si="4"/>
        <v/>
      </c>
      <c r="H111" t="str">
        <f t="shared" si="5"/>
        <v/>
      </c>
      <c r="I111">
        <f>IF(H111="",0,IFERROR(INDEX(Config!$K$4:$K$6,MATCH(H111,Config!$H$4:$H$6,0)),0))</f>
        <v>0</v>
      </c>
      <c r="J111" t="str">
        <f t="shared" si="6"/>
        <v/>
      </c>
      <c r="K111" s="5" t="str">
        <f t="shared" si="7"/>
        <v/>
      </c>
      <c r="L111">
        <f>IF(A111="",999,IFERROR(MATCH(B111,Config!$A$4:$A$7,0),99)*10+IF(ISNUMBER(F111),1,IF(F111="",2,IF(UPPER(F111)="DNF",3,IF(UPPER(F111)="DNS",4,8)))))</f>
        <v>999</v>
      </c>
    </row>
    <row r="112" spans="2:12" x14ac:dyDescent="0.25">
      <c r="B112" t="str">
        <f>IF(A112="","",IFERROR(INDEX(tblReg[Field],MATCH(A112,tblReg[Bib],0)),""))</f>
        <v/>
      </c>
      <c r="C112" t="str">
        <f>IF(A112="","",IFERROR(INDEX(tblReg[FirstName],MATCH(A112,tblReg[Bib],0)),""))</f>
        <v/>
      </c>
      <c r="D112" t="str">
        <f>IF(A112="","",IFERROR(INDEX(tblReg[LastName],MATCH(A112,tblReg[Bib],0)),""))</f>
        <v/>
      </c>
      <c r="E112" t="str">
        <f>IF(A112="","",IFERROR(INDEX(tblReg[Team],MATCH(A112,tblReg[Bib],0)),""))</f>
        <v/>
      </c>
      <c r="F112" s="4" t="s">
        <v>103</v>
      </c>
      <c r="G112" t="str">
        <f t="shared" si="4"/>
        <v/>
      </c>
      <c r="H112" t="str">
        <f t="shared" si="5"/>
        <v/>
      </c>
      <c r="I112">
        <f>IF(H112="",0,IFERROR(INDEX(Config!$K$4:$K$6,MATCH(H112,Config!$H$4:$H$6,0)),0))</f>
        <v>0</v>
      </c>
      <c r="J112" t="str">
        <f t="shared" si="6"/>
        <v/>
      </c>
      <c r="K112" s="5" t="str">
        <f t="shared" si="7"/>
        <v/>
      </c>
      <c r="L112">
        <f>IF(A112="",999,IFERROR(MATCH(B112,Config!$A$4:$A$7,0),99)*10+IF(ISNUMBER(F112),1,IF(F112="",2,IF(UPPER(F112)="DNF",3,IF(UPPER(F112)="DNS",4,8)))))</f>
        <v>999</v>
      </c>
    </row>
    <row r="113" spans="2:12" x14ac:dyDescent="0.25">
      <c r="B113" t="str">
        <f>IF(A113="","",IFERROR(INDEX(tblReg[Field],MATCH(A113,tblReg[Bib],0)),""))</f>
        <v/>
      </c>
      <c r="C113" t="str">
        <f>IF(A113="","",IFERROR(INDEX(tblReg[FirstName],MATCH(A113,tblReg[Bib],0)),""))</f>
        <v/>
      </c>
      <c r="D113" t="str">
        <f>IF(A113="","",IFERROR(INDEX(tblReg[LastName],MATCH(A113,tblReg[Bib],0)),""))</f>
        <v/>
      </c>
      <c r="E113" t="str">
        <f>IF(A113="","",IFERROR(INDEX(tblReg[Team],MATCH(A113,tblReg[Bib],0)),""))</f>
        <v/>
      </c>
      <c r="F113" s="4" t="s">
        <v>103</v>
      </c>
      <c r="G113" t="str">
        <f t="shared" si="4"/>
        <v/>
      </c>
      <c r="H113" t="str">
        <f t="shared" si="5"/>
        <v/>
      </c>
      <c r="I113">
        <f>IF(H113="",0,IFERROR(INDEX(Config!$K$4:$K$6,MATCH(H113,Config!$H$4:$H$6,0)),0))</f>
        <v>0</v>
      </c>
      <c r="J113" t="str">
        <f t="shared" si="6"/>
        <v/>
      </c>
      <c r="K113" s="5" t="str">
        <f t="shared" si="7"/>
        <v/>
      </c>
      <c r="L113">
        <f>IF(A113="",999,IFERROR(MATCH(B113,Config!$A$4:$A$7,0),99)*10+IF(ISNUMBER(F113),1,IF(F113="",2,IF(UPPER(F113)="DNF",3,IF(UPPER(F113)="DNS",4,8)))))</f>
        <v>999</v>
      </c>
    </row>
    <row r="114" spans="2:12" x14ac:dyDescent="0.25">
      <c r="B114" t="str">
        <f>IF(A114="","",IFERROR(INDEX(tblReg[Field],MATCH(A114,tblReg[Bib],0)),""))</f>
        <v/>
      </c>
      <c r="C114" t="str">
        <f>IF(A114="","",IFERROR(INDEX(tblReg[FirstName],MATCH(A114,tblReg[Bib],0)),""))</f>
        <v/>
      </c>
      <c r="D114" t="str">
        <f>IF(A114="","",IFERROR(INDEX(tblReg[LastName],MATCH(A114,tblReg[Bib],0)),""))</f>
        <v/>
      </c>
      <c r="E114" t="str">
        <f>IF(A114="","",IFERROR(INDEX(tblReg[Team],MATCH(A114,tblReg[Bib],0)),""))</f>
        <v/>
      </c>
      <c r="F114" s="4" t="s">
        <v>103</v>
      </c>
      <c r="G114" t="str">
        <f t="shared" si="4"/>
        <v/>
      </c>
      <c r="H114" t="str">
        <f t="shared" si="5"/>
        <v/>
      </c>
      <c r="I114">
        <f>IF(H114="",0,IFERROR(INDEX(Config!$K$4:$K$6,MATCH(H114,Config!$H$4:$H$6,0)),0))</f>
        <v>0</v>
      </c>
      <c r="J114" t="str">
        <f t="shared" si="6"/>
        <v/>
      </c>
      <c r="K114" s="5" t="str">
        <f t="shared" si="7"/>
        <v/>
      </c>
      <c r="L114">
        <f>IF(A114="",999,IFERROR(MATCH(B114,Config!$A$4:$A$7,0),99)*10+IF(ISNUMBER(F114),1,IF(F114="",2,IF(UPPER(F114)="DNF",3,IF(UPPER(F114)="DNS",4,8)))))</f>
        <v>999</v>
      </c>
    </row>
    <row r="115" spans="2:12" x14ac:dyDescent="0.25">
      <c r="B115" t="str">
        <f>IF(A115="","",IFERROR(INDEX(tblReg[Field],MATCH(A115,tblReg[Bib],0)),""))</f>
        <v/>
      </c>
      <c r="C115" t="str">
        <f>IF(A115="","",IFERROR(INDEX(tblReg[FirstName],MATCH(A115,tblReg[Bib],0)),""))</f>
        <v/>
      </c>
      <c r="D115" t="str">
        <f>IF(A115="","",IFERROR(INDEX(tblReg[LastName],MATCH(A115,tblReg[Bib],0)),""))</f>
        <v/>
      </c>
      <c r="E115" t="str">
        <f>IF(A115="","",IFERROR(INDEX(tblReg[Team],MATCH(A115,tblReg[Bib],0)),""))</f>
        <v/>
      </c>
      <c r="F115" s="4" t="s">
        <v>103</v>
      </c>
      <c r="G115" t="str">
        <f t="shared" si="4"/>
        <v/>
      </c>
      <c r="H115" t="str">
        <f t="shared" si="5"/>
        <v/>
      </c>
      <c r="I115">
        <f>IF(H115="",0,IFERROR(INDEX(Config!$K$4:$K$6,MATCH(H115,Config!$H$4:$H$6,0)),0))</f>
        <v>0</v>
      </c>
      <c r="J115" t="str">
        <f t="shared" si="6"/>
        <v/>
      </c>
      <c r="K115" s="5" t="str">
        <f t="shared" si="7"/>
        <v/>
      </c>
      <c r="L115">
        <f>IF(A115="",999,IFERROR(MATCH(B115,Config!$A$4:$A$7,0),99)*10+IF(ISNUMBER(F115),1,IF(F115="",2,IF(UPPER(F115)="DNF",3,IF(UPPER(F115)="DNS",4,8)))))</f>
        <v>999</v>
      </c>
    </row>
    <row r="116" spans="2:12" x14ac:dyDescent="0.25">
      <c r="B116" t="str">
        <f>IF(A116="","",IFERROR(INDEX(tblReg[Field],MATCH(A116,tblReg[Bib],0)),""))</f>
        <v/>
      </c>
      <c r="C116" t="str">
        <f>IF(A116="","",IFERROR(INDEX(tblReg[FirstName],MATCH(A116,tblReg[Bib],0)),""))</f>
        <v/>
      </c>
      <c r="D116" t="str">
        <f>IF(A116="","",IFERROR(INDEX(tblReg[LastName],MATCH(A116,tblReg[Bib],0)),""))</f>
        <v/>
      </c>
      <c r="E116" t="str">
        <f>IF(A116="","",IFERROR(INDEX(tblReg[Team],MATCH(A116,tblReg[Bib],0)),""))</f>
        <v/>
      </c>
      <c r="F116" s="4" t="s">
        <v>103</v>
      </c>
      <c r="G116" t="str">
        <f t="shared" si="4"/>
        <v/>
      </c>
      <c r="H116" t="str">
        <f t="shared" si="5"/>
        <v/>
      </c>
      <c r="I116">
        <f>IF(H116="",0,IFERROR(INDEX(Config!$K$4:$K$6,MATCH(H116,Config!$H$4:$H$6,0)),0))</f>
        <v>0</v>
      </c>
      <c r="J116" t="str">
        <f t="shared" si="6"/>
        <v/>
      </c>
      <c r="K116" s="5" t="str">
        <f t="shared" si="7"/>
        <v/>
      </c>
      <c r="L116">
        <f>IF(A116="",999,IFERROR(MATCH(B116,Config!$A$4:$A$7,0),99)*10+IF(ISNUMBER(F116),1,IF(F116="",2,IF(UPPER(F116)="DNF",3,IF(UPPER(F116)="DNS",4,8)))))</f>
        <v>999</v>
      </c>
    </row>
    <row r="117" spans="2:12" x14ac:dyDescent="0.25">
      <c r="B117" t="str">
        <f>IF(A117="","",IFERROR(INDEX(tblReg[Field],MATCH(A117,tblReg[Bib],0)),""))</f>
        <v/>
      </c>
      <c r="C117" t="str">
        <f>IF(A117="","",IFERROR(INDEX(tblReg[FirstName],MATCH(A117,tblReg[Bib],0)),""))</f>
        <v/>
      </c>
      <c r="D117" t="str">
        <f>IF(A117="","",IFERROR(INDEX(tblReg[LastName],MATCH(A117,tblReg[Bib],0)),""))</f>
        <v/>
      </c>
      <c r="E117" t="str">
        <f>IF(A117="","",IFERROR(INDEX(tblReg[Team],MATCH(A117,tblReg[Bib],0)),""))</f>
        <v/>
      </c>
      <c r="F117" s="4" t="s">
        <v>103</v>
      </c>
      <c r="G117" t="str">
        <f t="shared" si="4"/>
        <v/>
      </c>
      <c r="H117" t="str">
        <f t="shared" si="5"/>
        <v/>
      </c>
      <c r="I117">
        <f>IF(H117="",0,IFERROR(INDEX(Config!$K$4:$K$6,MATCH(H117,Config!$H$4:$H$6,0)),0))</f>
        <v>0</v>
      </c>
      <c r="J117" t="str">
        <f t="shared" si="6"/>
        <v/>
      </c>
      <c r="K117" s="5" t="str">
        <f t="shared" si="7"/>
        <v/>
      </c>
      <c r="L117">
        <f>IF(A117="",999,IFERROR(MATCH(B117,Config!$A$4:$A$7,0),99)*10+IF(ISNUMBER(F117),1,IF(F117="",2,IF(UPPER(F117)="DNF",3,IF(UPPER(F117)="DNS",4,8)))))</f>
        <v>999</v>
      </c>
    </row>
    <row r="118" spans="2:12" x14ac:dyDescent="0.25">
      <c r="B118" t="str">
        <f>IF(A118="","",IFERROR(INDEX(tblReg[Field],MATCH(A118,tblReg[Bib],0)),""))</f>
        <v/>
      </c>
      <c r="C118" t="str">
        <f>IF(A118="","",IFERROR(INDEX(tblReg[FirstName],MATCH(A118,tblReg[Bib],0)),""))</f>
        <v/>
      </c>
      <c r="D118" t="str">
        <f>IF(A118="","",IFERROR(INDEX(tblReg[LastName],MATCH(A118,tblReg[Bib],0)),""))</f>
        <v/>
      </c>
      <c r="E118" t="str">
        <f>IF(A118="","",IFERROR(INDEX(tblReg[Team],MATCH(A118,tblReg[Bib],0)),""))</f>
        <v/>
      </c>
      <c r="F118" s="4" t="s">
        <v>103</v>
      </c>
      <c r="G118" t="str">
        <f t="shared" si="4"/>
        <v/>
      </c>
      <c r="H118" t="str">
        <f t="shared" si="5"/>
        <v/>
      </c>
      <c r="I118">
        <f>IF(H118="",0,IFERROR(INDEX(Config!$K$4:$K$6,MATCH(H118,Config!$H$4:$H$6,0)),0))</f>
        <v>0</v>
      </c>
      <c r="J118" t="str">
        <f t="shared" si="6"/>
        <v/>
      </c>
      <c r="K118" s="5" t="str">
        <f t="shared" si="7"/>
        <v/>
      </c>
      <c r="L118">
        <f>IF(A118="",999,IFERROR(MATCH(B118,Config!$A$4:$A$7,0),99)*10+IF(ISNUMBER(F118),1,IF(F118="",2,IF(UPPER(F118)="DNF",3,IF(UPPER(F118)="DNS",4,8)))))</f>
        <v>999</v>
      </c>
    </row>
    <row r="119" spans="2:12" x14ac:dyDescent="0.25">
      <c r="B119" t="str">
        <f>IF(A119="","",IFERROR(INDEX(tblReg[Field],MATCH(A119,tblReg[Bib],0)),""))</f>
        <v/>
      </c>
      <c r="C119" t="str">
        <f>IF(A119="","",IFERROR(INDEX(tblReg[FirstName],MATCH(A119,tblReg[Bib],0)),""))</f>
        <v/>
      </c>
      <c r="D119" t="str">
        <f>IF(A119="","",IFERROR(INDEX(tblReg[LastName],MATCH(A119,tblReg[Bib],0)),""))</f>
        <v/>
      </c>
      <c r="E119" t="str">
        <f>IF(A119="","",IFERROR(INDEX(tblReg[Team],MATCH(A119,tblReg[Bib],0)),""))</f>
        <v/>
      </c>
      <c r="F119" s="4" t="s">
        <v>103</v>
      </c>
      <c r="G119" t="str">
        <f t="shared" si="4"/>
        <v/>
      </c>
      <c r="H119" t="str">
        <f t="shared" si="5"/>
        <v/>
      </c>
      <c r="I119">
        <f>IF(H119="",0,IFERROR(INDEX(Config!$K$4:$K$6,MATCH(H119,Config!$H$4:$H$6,0)),0))</f>
        <v>0</v>
      </c>
      <c r="J119" t="str">
        <f t="shared" si="6"/>
        <v/>
      </c>
      <c r="K119" s="5" t="str">
        <f t="shared" si="7"/>
        <v/>
      </c>
      <c r="L119">
        <f>IF(A119="",999,IFERROR(MATCH(B119,Config!$A$4:$A$7,0),99)*10+IF(ISNUMBER(F119),1,IF(F119="",2,IF(UPPER(F119)="DNF",3,IF(UPPER(F119)="DNS",4,8)))))</f>
        <v>999</v>
      </c>
    </row>
    <row r="120" spans="2:12" x14ac:dyDescent="0.25">
      <c r="B120" t="str">
        <f>IF(A120="","",IFERROR(INDEX(tblReg[Field],MATCH(A120,tblReg[Bib],0)),""))</f>
        <v/>
      </c>
      <c r="C120" t="str">
        <f>IF(A120="","",IFERROR(INDEX(tblReg[FirstName],MATCH(A120,tblReg[Bib],0)),""))</f>
        <v/>
      </c>
      <c r="D120" t="str">
        <f>IF(A120="","",IFERROR(INDEX(tblReg[LastName],MATCH(A120,tblReg[Bib],0)),""))</f>
        <v/>
      </c>
      <c r="E120" t="str">
        <f>IF(A120="","",IFERROR(INDEX(tblReg[Team],MATCH(A120,tblReg[Bib],0)),""))</f>
        <v/>
      </c>
      <c r="F120" s="4" t="s">
        <v>103</v>
      </c>
      <c r="G120" t="str">
        <f t="shared" si="4"/>
        <v/>
      </c>
      <c r="H120" t="str">
        <f t="shared" si="5"/>
        <v/>
      </c>
      <c r="I120">
        <f>IF(H120="",0,IFERROR(INDEX(Config!$K$4:$K$6,MATCH(H120,Config!$H$4:$H$6,0)),0))</f>
        <v>0</v>
      </c>
      <c r="J120" t="str">
        <f t="shared" si="6"/>
        <v/>
      </c>
      <c r="K120" s="5" t="str">
        <f t="shared" si="7"/>
        <v/>
      </c>
      <c r="L120">
        <f>IF(A120="",999,IFERROR(MATCH(B120,Config!$A$4:$A$7,0),99)*10+IF(ISNUMBER(F120),1,IF(F120="",2,IF(UPPER(F120)="DNF",3,IF(UPPER(F120)="DNS",4,8)))))</f>
        <v>999</v>
      </c>
    </row>
    <row r="121" spans="2:12" x14ac:dyDescent="0.25">
      <c r="B121" t="str">
        <f>IF(A121="","",IFERROR(INDEX(tblReg[Field],MATCH(A121,tblReg[Bib],0)),""))</f>
        <v/>
      </c>
      <c r="C121" t="str">
        <f>IF(A121="","",IFERROR(INDEX(tblReg[FirstName],MATCH(A121,tblReg[Bib],0)),""))</f>
        <v/>
      </c>
      <c r="D121" t="str">
        <f>IF(A121="","",IFERROR(INDEX(tblReg[LastName],MATCH(A121,tblReg[Bib],0)),""))</f>
        <v/>
      </c>
      <c r="E121" t="str">
        <f>IF(A121="","",IFERROR(INDEX(tblReg[Team],MATCH(A121,tblReg[Bib],0)),""))</f>
        <v/>
      </c>
      <c r="F121" s="4" t="s">
        <v>103</v>
      </c>
      <c r="G121" t="str">
        <f t="shared" si="4"/>
        <v/>
      </c>
      <c r="H121" t="str">
        <f t="shared" si="5"/>
        <v/>
      </c>
      <c r="I121">
        <f>IF(H121="",0,IFERROR(INDEX(Config!$K$4:$K$6,MATCH(H121,Config!$H$4:$H$6,0)),0))</f>
        <v>0</v>
      </c>
      <c r="J121" t="str">
        <f t="shared" si="6"/>
        <v/>
      </c>
      <c r="K121" s="5" t="str">
        <f t="shared" si="7"/>
        <v/>
      </c>
      <c r="L121">
        <f>IF(A121="",999,IFERROR(MATCH(B121,Config!$A$4:$A$7,0),99)*10+IF(ISNUMBER(F121),1,IF(F121="",2,IF(UPPER(F121)="DNF",3,IF(UPPER(F121)="DNS",4,8)))))</f>
        <v>999</v>
      </c>
    </row>
    <row r="122" spans="2:12" x14ac:dyDescent="0.25">
      <c r="B122" t="str">
        <f>IF(A122="","",IFERROR(INDEX(tblReg[Field],MATCH(A122,tblReg[Bib],0)),""))</f>
        <v/>
      </c>
      <c r="C122" t="str">
        <f>IF(A122="","",IFERROR(INDEX(tblReg[FirstName],MATCH(A122,tblReg[Bib],0)),""))</f>
        <v/>
      </c>
      <c r="D122" t="str">
        <f>IF(A122="","",IFERROR(INDEX(tblReg[LastName],MATCH(A122,tblReg[Bib],0)),""))</f>
        <v/>
      </c>
      <c r="E122" t="str">
        <f>IF(A122="","",IFERROR(INDEX(tblReg[Team],MATCH(A122,tblReg[Bib],0)),""))</f>
        <v/>
      </c>
      <c r="F122" s="4" t="s">
        <v>103</v>
      </c>
      <c r="G122" t="str">
        <f t="shared" si="4"/>
        <v/>
      </c>
      <c r="H122" t="str">
        <f t="shared" si="5"/>
        <v/>
      </c>
      <c r="I122">
        <f>IF(H122="",0,IFERROR(INDEX(Config!$K$4:$K$6,MATCH(H122,Config!$H$4:$H$6,0)),0))</f>
        <v>0</v>
      </c>
      <c r="J122" t="str">
        <f t="shared" si="6"/>
        <v/>
      </c>
      <c r="K122" s="5" t="str">
        <f t="shared" si="7"/>
        <v/>
      </c>
      <c r="L122">
        <f>IF(A122="",999,IFERROR(MATCH(B122,Config!$A$4:$A$7,0),99)*10+IF(ISNUMBER(F122),1,IF(F122="",2,IF(UPPER(F122)="DNF",3,IF(UPPER(F122)="DNS",4,8)))))</f>
        <v>999</v>
      </c>
    </row>
    <row r="123" spans="2:12" x14ac:dyDescent="0.25">
      <c r="B123" t="str">
        <f>IF(A123="","",IFERROR(INDEX(tblReg[Field],MATCH(A123,tblReg[Bib],0)),""))</f>
        <v/>
      </c>
      <c r="C123" t="str">
        <f>IF(A123="","",IFERROR(INDEX(tblReg[FirstName],MATCH(A123,tblReg[Bib],0)),""))</f>
        <v/>
      </c>
      <c r="D123" t="str">
        <f>IF(A123="","",IFERROR(INDEX(tblReg[LastName],MATCH(A123,tblReg[Bib],0)),""))</f>
        <v/>
      </c>
      <c r="E123" t="str">
        <f>IF(A123="","",IFERROR(INDEX(tblReg[Team],MATCH(A123,tblReg[Bib],0)),""))</f>
        <v/>
      </c>
      <c r="F123" s="4" t="s">
        <v>103</v>
      </c>
      <c r="G123" t="str">
        <f t="shared" si="4"/>
        <v/>
      </c>
      <c r="H123" t="str">
        <f t="shared" si="5"/>
        <v/>
      </c>
      <c r="I123">
        <f>IF(H123="",0,IFERROR(INDEX(Config!$K$4:$K$6,MATCH(H123,Config!$H$4:$H$6,0)),0))</f>
        <v>0</v>
      </c>
      <c r="J123" t="str">
        <f t="shared" si="6"/>
        <v/>
      </c>
      <c r="K123" s="5" t="str">
        <f t="shared" si="7"/>
        <v/>
      </c>
      <c r="L123">
        <f>IF(A123="",999,IFERROR(MATCH(B123,Config!$A$4:$A$7,0),99)*10+IF(ISNUMBER(F123),1,IF(F123="",2,IF(UPPER(F123)="DNF",3,IF(UPPER(F123)="DNS",4,8)))))</f>
        <v>999</v>
      </c>
    </row>
    <row r="124" spans="2:12" x14ac:dyDescent="0.25">
      <c r="B124" t="str">
        <f>IF(A124="","",IFERROR(INDEX(tblReg[Field],MATCH(A124,tblReg[Bib],0)),""))</f>
        <v/>
      </c>
      <c r="C124" t="str">
        <f>IF(A124="","",IFERROR(INDEX(tblReg[FirstName],MATCH(A124,tblReg[Bib],0)),""))</f>
        <v/>
      </c>
      <c r="D124" t="str">
        <f>IF(A124="","",IFERROR(INDEX(tblReg[LastName],MATCH(A124,tblReg[Bib],0)),""))</f>
        <v/>
      </c>
      <c r="E124" t="str">
        <f>IF(A124="","",IFERROR(INDEX(tblReg[Team],MATCH(A124,tblReg[Bib],0)),""))</f>
        <v/>
      </c>
      <c r="F124" s="4" t="s">
        <v>103</v>
      </c>
      <c r="G124" t="str">
        <f t="shared" si="4"/>
        <v/>
      </c>
      <c r="H124" t="str">
        <f t="shared" si="5"/>
        <v/>
      </c>
      <c r="I124">
        <f>IF(H124="",0,IFERROR(INDEX(Config!$K$4:$K$6,MATCH(H124,Config!$H$4:$H$6,0)),0))</f>
        <v>0</v>
      </c>
      <c r="J124" t="str">
        <f t="shared" si="6"/>
        <v/>
      </c>
      <c r="K124" s="5" t="str">
        <f t="shared" si="7"/>
        <v/>
      </c>
      <c r="L124">
        <f>IF(A124="",999,IFERROR(MATCH(B124,Config!$A$4:$A$7,0),99)*10+IF(ISNUMBER(F124),1,IF(F124="",2,IF(UPPER(F124)="DNF",3,IF(UPPER(F124)="DNS",4,8)))))</f>
        <v>999</v>
      </c>
    </row>
    <row r="125" spans="2:12" x14ac:dyDescent="0.25">
      <c r="B125" t="str">
        <f>IF(A125="","",IFERROR(INDEX(tblReg[Field],MATCH(A125,tblReg[Bib],0)),""))</f>
        <v/>
      </c>
      <c r="C125" t="str">
        <f>IF(A125="","",IFERROR(INDEX(tblReg[FirstName],MATCH(A125,tblReg[Bib],0)),""))</f>
        <v/>
      </c>
      <c r="D125" t="str">
        <f>IF(A125="","",IFERROR(INDEX(tblReg[LastName],MATCH(A125,tblReg[Bib],0)),""))</f>
        <v/>
      </c>
      <c r="E125" t="str">
        <f>IF(A125="","",IFERROR(INDEX(tblReg[Team],MATCH(A125,tblReg[Bib],0)),""))</f>
        <v/>
      </c>
      <c r="F125" s="4" t="s">
        <v>103</v>
      </c>
      <c r="G125" t="str">
        <f t="shared" si="4"/>
        <v/>
      </c>
      <c r="H125" t="str">
        <f t="shared" si="5"/>
        <v/>
      </c>
      <c r="I125">
        <f>IF(H125="",0,IFERROR(INDEX(Config!$K$4:$K$6,MATCH(H125,Config!$H$4:$H$6,0)),0))</f>
        <v>0</v>
      </c>
      <c r="J125" t="str">
        <f t="shared" si="6"/>
        <v/>
      </c>
      <c r="K125" s="5" t="str">
        <f t="shared" si="7"/>
        <v/>
      </c>
      <c r="L125">
        <f>IF(A125="",999,IFERROR(MATCH(B125,Config!$A$4:$A$7,0),99)*10+IF(ISNUMBER(F125),1,IF(F125="",2,IF(UPPER(F125)="DNF",3,IF(UPPER(F125)="DNS",4,8)))))</f>
        <v>999</v>
      </c>
    </row>
    <row r="126" spans="2:12" x14ac:dyDescent="0.25">
      <c r="B126" t="str">
        <f>IF(A126="","",IFERROR(INDEX(tblReg[Field],MATCH(A126,tblReg[Bib],0)),""))</f>
        <v/>
      </c>
      <c r="C126" t="str">
        <f>IF(A126="","",IFERROR(INDEX(tblReg[FirstName],MATCH(A126,tblReg[Bib],0)),""))</f>
        <v/>
      </c>
      <c r="D126" t="str">
        <f>IF(A126="","",IFERROR(INDEX(tblReg[LastName],MATCH(A126,tblReg[Bib],0)),""))</f>
        <v/>
      </c>
      <c r="E126" t="str">
        <f>IF(A126="","",IFERROR(INDEX(tblReg[Team],MATCH(A126,tblReg[Bib],0)),""))</f>
        <v/>
      </c>
      <c r="F126" s="4" t="s">
        <v>103</v>
      </c>
      <c r="G126" t="str">
        <f t="shared" si="4"/>
        <v/>
      </c>
      <c r="H126" t="str">
        <f t="shared" si="5"/>
        <v/>
      </c>
      <c r="I126">
        <f>IF(H126="",0,IFERROR(INDEX(Config!$K$4:$K$6,MATCH(H126,Config!$H$4:$H$6,0)),0))</f>
        <v>0</v>
      </c>
      <c r="J126" t="str">
        <f t="shared" si="6"/>
        <v/>
      </c>
      <c r="K126" s="5" t="str">
        <f t="shared" si="7"/>
        <v/>
      </c>
      <c r="L126">
        <f>IF(A126="",999,IFERROR(MATCH(B126,Config!$A$4:$A$7,0),99)*10+IF(ISNUMBER(F126),1,IF(F126="",2,IF(UPPER(F126)="DNF",3,IF(UPPER(F126)="DNS",4,8)))))</f>
        <v>999</v>
      </c>
    </row>
    <row r="127" spans="2:12" x14ac:dyDescent="0.25">
      <c r="B127" t="str">
        <f>IF(A127="","",IFERROR(INDEX(tblReg[Field],MATCH(A127,tblReg[Bib],0)),""))</f>
        <v/>
      </c>
      <c r="C127" t="str">
        <f>IF(A127="","",IFERROR(INDEX(tblReg[FirstName],MATCH(A127,tblReg[Bib],0)),""))</f>
        <v/>
      </c>
      <c r="D127" t="str">
        <f>IF(A127="","",IFERROR(INDEX(tblReg[LastName],MATCH(A127,tblReg[Bib],0)),""))</f>
        <v/>
      </c>
      <c r="E127" t="str">
        <f>IF(A127="","",IFERROR(INDEX(tblReg[Team],MATCH(A127,tblReg[Bib],0)),""))</f>
        <v/>
      </c>
      <c r="F127" s="4" t="s">
        <v>103</v>
      </c>
      <c r="G127" t="str">
        <f t="shared" si="4"/>
        <v/>
      </c>
      <c r="H127" t="str">
        <f t="shared" si="5"/>
        <v/>
      </c>
      <c r="I127">
        <f>IF(H127="",0,IFERROR(INDEX(Config!$K$4:$K$6,MATCH(H127,Config!$H$4:$H$6,0)),0))</f>
        <v>0</v>
      </c>
      <c r="J127" t="str">
        <f t="shared" si="6"/>
        <v/>
      </c>
      <c r="K127" s="5" t="str">
        <f t="shared" si="7"/>
        <v/>
      </c>
      <c r="L127">
        <f>IF(A127="",999,IFERROR(MATCH(B127,Config!$A$4:$A$7,0),99)*10+IF(ISNUMBER(F127),1,IF(F127="",2,IF(UPPER(F127)="DNF",3,IF(UPPER(F127)="DNS",4,8)))))</f>
        <v>999</v>
      </c>
    </row>
    <row r="128" spans="2:12" x14ac:dyDescent="0.25">
      <c r="B128" t="str">
        <f>IF(A128="","",IFERROR(INDEX(tblReg[Field],MATCH(A128,tblReg[Bib],0)),""))</f>
        <v/>
      </c>
      <c r="C128" t="str">
        <f>IF(A128="","",IFERROR(INDEX(tblReg[FirstName],MATCH(A128,tblReg[Bib],0)),""))</f>
        <v/>
      </c>
      <c r="D128" t="str">
        <f>IF(A128="","",IFERROR(INDEX(tblReg[LastName],MATCH(A128,tblReg[Bib],0)),""))</f>
        <v/>
      </c>
      <c r="E128" t="str">
        <f>IF(A128="","",IFERROR(INDEX(tblReg[Team],MATCH(A128,tblReg[Bib],0)),""))</f>
        <v/>
      </c>
      <c r="F128" s="4" t="s">
        <v>103</v>
      </c>
      <c r="G128" t="str">
        <f t="shared" si="4"/>
        <v/>
      </c>
      <c r="H128" t="str">
        <f t="shared" si="5"/>
        <v/>
      </c>
      <c r="I128">
        <f>IF(H128="",0,IFERROR(INDEX(Config!$K$4:$K$6,MATCH(H128,Config!$H$4:$H$6,0)),0))</f>
        <v>0</v>
      </c>
      <c r="J128" t="str">
        <f t="shared" si="6"/>
        <v/>
      </c>
      <c r="K128" s="5" t="str">
        <f t="shared" si="7"/>
        <v/>
      </c>
      <c r="L128">
        <f>IF(A128="",999,IFERROR(MATCH(B128,Config!$A$4:$A$7,0),99)*10+IF(ISNUMBER(F128),1,IF(F128="",2,IF(UPPER(F128)="DNF",3,IF(UPPER(F128)="DNS",4,8)))))</f>
        <v>999</v>
      </c>
    </row>
    <row r="129" spans="2:12" x14ac:dyDescent="0.25">
      <c r="B129" t="str">
        <f>IF(A129="","",IFERROR(INDEX(tblReg[Field],MATCH(A129,tblReg[Bib],0)),""))</f>
        <v/>
      </c>
      <c r="C129" t="str">
        <f>IF(A129="","",IFERROR(INDEX(tblReg[FirstName],MATCH(A129,tblReg[Bib],0)),""))</f>
        <v/>
      </c>
      <c r="D129" t="str">
        <f>IF(A129="","",IFERROR(INDEX(tblReg[LastName],MATCH(A129,tblReg[Bib],0)),""))</f>
        <v/>
      </c>
      <c r="E129" t="str">
        <f>IF(A129="","",IFERROR(INDEX(tblReg[Team],MATCH(A129,tblReg[Bib],0)),""))</f>
        <v/>
      </c>
      <c r="F129" s="4" t="s">
        <v>103</v>
      </c>
      <c r="G129" t="str">
        <f t="shared" si="4"/>
        <v/>
      </c>
      <c r="H129" t="str">
        <f t="shared" si="5"/>
        <v/>
      </c>
      <c r="I129">
        <f>IF(H129="",0,IFERROR(INDEX(Config!$K$4:$K$6,MATCH(H129,Config!$H$4:$H$6,0)),0))</f>
        <v>0</v>
      </c>
      <c r="J129" t="str">
        <f t="shared" si="6"/>
        <v/>
      </c>
      <c r="K129" s="5" t="str">
        <f t="shared" si="7"/>
        <v/>
      </c>
      <c r="L129">
        <f>IF(A129="",999,IFERROR(MATCH(B129,Config!$A$4:$A$7,0),99)*10+IF(ISNUMBER(F129),1,IF(F129="",2,IF(UPPER(F129)="DNF",3,IF(UPPER(F129)="DNS",4,8)))))</f>
        <v>999</v>
      </c>
    </row>
    <row r="130" spans="2:12" x14ac:dyDescent="0.25">
      <c r="B130" t="str">
        <f>IF(A130="","",IFERROR(INDEX(tblReg[Field],MATCH(A130,tblReg[Bib],0)),""))</f>
        <v/>
      </c>
      <c r="C130" t="str">
        <f>IF(A130="","",IFERROR(INDEX(tblReg[FirstName],MATCH(A130,tblReg[Bib],0)),""))</f>
        <v/>
      </c>
      <c r="D130" t="str">
        <f>IF(A130="","",IFERROR(INDEX(tblReg[LastName],MATCH(A130,tblReg[Bib],0)),""))</f>
        <v/>
      </c>
      <c r="E130" t="str">
        <f>IF(A130="","",IFERROR(INDEX(tblReg[Team],MATCH(A130,tblReg[Bib],0)),""))</f>
        <v/>
      </c>
      <c r="F130" s="4" t="s">
        <v>103</v>
      </c>
      <c r="G130" t="str">
        <f t="shared" ref="G130:G193" si="8">IF(OR(F130="",UPPER(F130)="DNF",UPPER(F130)="DNS"),"",HOUR(F130)*3600 + MINUTE(F130)*60 + SECOND(F130))</f>
        <v/>
      </c>
      <c r="H130" t="str">
        <f t="shared" ref="H130:H193" si="9">IF(OR(A130="",B130=""),"",IF(ISNUMBER(G130),1+COUNTIFS($B$2:$B$251,B130,$G$2:$G$251,"&lt;"&amp;G130),IF(F130="",COUNTIFS($B$2:$B$251,B130,$G$2:$G$251,"&gt;=0")+COUNTIFS($B$2:$B$251,B130,$F$2:$F$251,"",$A$2:$A$251,"&lt;"&amp;A130)+1,"")))</f>
        <v/>
      </c>
      <c r="I130">
        <f>IF(H130="",0,IFERROR(INDEX(Config!$K$4:$K$6,MATCH(H130,Config!$H$4:$H$6,0)),0))</f>
        <v>0</v>
      </c>
      <c r="J130" t="str">
        <f t="shared" ref="J130:J193" si="10">IF(G130="","",G130-I130)</f>
        <v/>
      </c>
      <c r="K130" s="5" t="str">
        <f t="shared" ref="K130:K193" si="11">IF(J130="","",J130/86400)</f>
        <v/>
      </c>
      <c r="L130">
        <f>IF(A130="",999,IFERROR(MATCH(B130,Config!$A$4:$A$7,0),99)*10+IF(ISNUMBER(F130),1,IF(F130="",2,IF(UPPER(F130)="DNF",3,IF(UPPER(F130)="DNS",4,8)))))</f>
        <v>999</v>
      </c>
    </row>
    <row r="131" spans="2:12" x14ac:dyDescent="0.25">
      <c r="B131" t="str">
        <f>IF(A131="","",IFERROR(INDEX(tblReg[Field],MATCH(A131,tblReg[Bib],0)),""))</f>
        <v/>
      </c>
      <c r="C131" t="str">
        <f>IF(A131="","",IFERROR(INDEX(tblReg[FirstName],MATCH(A131,tblReg[Bib],0)),""))</f>
        <v/>
      </c>
      <c r="D131" t="str">
        <f>IF(A131="","",IFERROR(INDEX(tblReg[LastName],MATCH(A131,tblReg[Bib],0)),""))</f>
        <v/>
      </c>
      <c r="E131" t="str">
        <f>IF(A131="","",IFERROR(INDEX(tblReg[Team],MATCH(A131,tblReg[Bib],0)),""))</f>
        <v/>
      </c>
      <c r="F131" s="4" t="s">
        <v>103</v>
      </c>
      <c r="G131" t="str">
        <f t="shared" si="8"/>
        <v/>
      </c>
      <c r="H131" t="str">
        <f t="shared" si="9"/>
        <v/>
      </c>
      <c r="I131">
        <f>IF(H131="",0,IFERROR(INDEX(Config!$K$4:$K$6,MATCH(H131,Config!$H$4:$H$6,0)),0))</f>
        <v>0</v>
      </c>
      <c r="J131" t="str">
        <f t="shared" si="10"/>
        <v/>
      </c>
      <c r="K131" s="5" t="str">
        <f t="shared" si="11"/>
        <v/>
      </c>
      <c r="L131">
        <f>IF(A131="",999,IFERROR(MATCH(B131,Config!$A$4:$A$7,0),99)*10+IF(ISNUMBER(F131),1,IF(F131="",2,IF(UPPER(F131)="DNF",3,IF(UPPER(F131)="DNS",4,8)))))</f>
        <v>999</v>
      </c>
    </row>
    <row r="132" spans="2:12" x14ac:dyDescent="0.25">
      <c r="B132" t="str">
        <f>IF(A132="","",IFERROR(INDEX(tblReg[Field],MATCH(A132,tblReg[Bib],0)),""))</f>
        <v/>
      </c>
      <c r="C132" t="str">
        <f>IF(A132="","",IFERROR(INDEX(tblReg[FirstName],MATCH(A132,tblReg[Bib],0)),""))</f>
        <v/>
      </c>
      <c r="D132" t="str">
        <f>IF(A132="","",IFERROR(INDEX(tblReg[LastName],MATCH(A132,tblReg[Bib],0)),""))</f>
        <v/>
      </c>
      <c r="E132" t="str">
        <f>IF(A132="","",IFERROR(INDEX(tblReg[Team],MATCH(A132,tblReg[Bib],0)),""))</f>
        <v/>
      </c>
      <c r="F132" s="4" t="s">
        <v>103</v>
      </c>
      <c r="G132" t="str">
        <f t="shared" si="8"/>
        <v/>
      </c>
      <c r="H132" t="str">
        <f t="shared" si="9"/>
        <v/>
      </c>
      <c r="I132">
        <f>IF(H132="",0,IFERROR(INDEX(Config!$K$4:$K$6,MATCH(H132,Config!$H$4:$H$6,0)),0))</f>
        <v>0</v>
      </c>
      <c r="J132" t="str">
        <f t="shared" si="10"/>
        <v/>
      </c>
      <c r="K132" s="5" t="str">
        <f t="shared" si="11"/>
        <v/>
      </c>
      <c r="L132">
        <f>IF(A132="",999,IFERROR(MATCH(B132,Config!$A$4:$A$7,0),99)*10+IF(ISNUMBER(F132),1,IF(F132="",2,IF(UPPER(F132)="DNF",3,IF(UPPER(F132)="DNS",4,8)))))</f>
        <v>999</v>
      </c>
    </row>
    <row r="133" spans="2:12" x14ac:dyDescent="0.25">
      <c r="B133" t="str">
        <f>IF(A133="","",IFERROR(INDEX(tblReg[Field],MATCH(A133,tblReg[Bib],0)),""))</f>
        <v/>
      </c>
      <c r="C133" t="str">
        <f>IF(A133="","",IFERROR(INDEX(tblReg[FirstName],MATCH(A133,tblReg[Bib],0)),""))</f>
        <v/>
      </c>
      <c r="D133" t="str">
        <f>IF(A133="","",IFERROR(INDEX(tblReg[LastName],MATCH(A133,tblReg[Bib],0)),""))</f>
        <v/>
      </c>
      <c r="E133" t="str">
        <f>IF(A133="","",IFERROR(INDEX(tblReg[Team],MATCH(A133,tblReg[Bib],0)),""))</f>
        <v/>
      </c>
      <c r="F133" s="4" t="s">
        <v>103</v>
      </c>
      <c r="G133" t="str">
        <f t="shared" si="8"/>
        <v/>
      </c>
      <c r="H133" t="str">
        <f t="shared" si="9"/>
        <v/>
      </c>
      <c r="I133">
        <f>IF(H133="",0,IFERROR(INDEX(Config!$K$4:$K$6,MATCH(H133,Config!$H$4:$H$6,0)),0))</f>
        <v>0</v>
      </c>
      <c r="J133" t="str">
        <f t="shared" si="10"/>
        <v/>
      </c>
      <c r="K133" s="5" t="str">
        <f t="shared" si="11"/>
        <v/>
      </c>
      <c r="L133">
        <f>IF(A133="",999,IFERROR(MATCH(B133,Config!$A$4:$A$7,0),99)*10+IF(ISNUMBER(F133),1,IF(F133="",2,IF(UPPER(F133)="DNF",3,IF(UPPER(F133)="DNS",4,8)))))</f>
        <v>999</v>
      </c>
    </row>
    <row r="134" spans="2:12" x14ac:dyDescent="0.25">
      <c r="B134" t="str">
        <f>IF(A134="","",IFERROR(INDEX(tblReg[Field],MATCH(A134,tblReg[Bib],0)),""))</f>
        <v/>
      </c>
      <c r="C134" t="str">
        <f>IF(A134="","",IFERROR(INDEX(tblReg[FirstName],MATCH(A134,tblReg[Bib],0)),""))</f>
        <v/>
      </c>
      <c r="D134" t="str">
        <f>IF(A134="","",IFERROR(INDEX(tblReg[LastName],MATCH(A134,tblReg[Bib],0)),""))</f>
        <v/>
      </c>
      <c r="E134" t="str">
        <f>IF(A134="","",IFERROR(INDEX(tblReg[Team],MATCH(A134,tblReg[Bib],0)),""))</f>
        <v/>
      </c>
      <c r="F134" s="4" t="s">
        <v>103</v>
      </c>
      <c r="G134" t="str">
        <f t="shared" si="8"/>
        <v/>
      </c>
      <c r="H134" t="str">
        <f t="shared" si="9"/>
        <v/>
      </c>
      <c r="I134">
        <f>IF(H134="",0,IFERROR(INDEX(Config!$K$4:$K$6,MATCH(H134,Config!$H$4:$H$6,0)),0))</f>
        <v>0</v>
      </c>
      <c r="J134" t="str">
        <f t="shared" si="10"/>
        <v/>
      </c>
      <c r="K134" s="5" t="str">
        <f t="shared" si="11"/>
        <v/>
      </c>
      <c r="L134">
        <f>IF(A134="",999,IFERROR(MATCH(B134,Config!$A$4:$A$7,0),99)*10+IF(ISNUMBER(F134),1,IF(F134="",2,IF(UPPER(F134)="DNF",3,IF(UPPER(F134)="DNS",4,8)))))</f>
        <v>999</v>
      </c>
    </row>
    <row r="135" spans="2:12" x14ac:dyDescent="0.25">
      <c r="B135" t="str">
        <f>IF(A135="","",IFERROR(INDEX(tblReg[Field],MATCH(A135,tblReg[Bib],0)),""))</f>
        <v/>
      </c>
      <c r="C135" t="str">
        <f>IF(A135="","",IFERROR(INDEX(tblReg[FirstName],MATCH(A135,tblReg[Bib],0)),""))</f>
        <v/>
      </c>
      <c r="D135" t="str">
        <f>IF(A135="","",IFERROR(INDEX(tblReg[LastName],MATCH(A135,tblReg[Bib],0)),""))</f>
        <v/>
      </c>
      <c r="E135" t="str">
        <f>IF(A135="","",IFERROR(INDEX(tblReg[Team],MATCH(A135,tblReg[Bib],0)),""))</f>
        <v/>
      </c>
      <c r="F135" s="4" t="s">
        <v>103</v>
      </c>
      <c r="G135" t="str">
        <f t="shared" si="8"/>
        <v/>
      </c>
      <c r="H135" t="str">
        <f t="shared" si="9"/>
        <v/>
      </c>
      <c r="I135">
        <f>IF(H135="",0,IFERROR(INDEX(Config!$K$4:$K$6,MATCH(H135,Config!$H$4:$H$6,0)),0))</f>
        <v>0</v>
      </c>
      <c r="J135" t="str">
        <f t="shared" si="10"/>
        <v/>
      </c>
      <c r="K135" s="5" t="str">
        <f t="shared" si="11"/>
        <v/>
      </c>
      <c r="L135">
        <f>IF(A135="",999,IFERROR(MATCH(B135,Config!$A$4:$A$7,0),99)*10+IF(ISNUMBER(F135),1,IF(F135="",2,IF(UPPER(F135)="DNF",3,IF(UPPER(F135)="DNS",4,8)))))</f>
        <v>999</v>
      </c>
    </row>
    <row r="136" spans="2:12" x14ac:dyDescent="0.25">
      <c r="B136" t="str">
        <f>IF(A136="","",IFERROR(INDEX(tblReg[Field],MATCH(A136,tblReg[Bib],0)),""))</f>
        <v/>
      </c>
      <c r="C136" t="str">
        <f>IF(A136="","",IFERROR(INDEX(tblReg[FirstName],MATCH(A136,tblReg[Bib],0)),""))</f>
        <v/>
      </c>
      <c r="D136" t="str">
        <f>IF(A136="","",IFERROR(INDEX(tblReg[LastName],MATCH(A136,tblReg[Bib],0)),""))</f>
        <v/>
      </c>
      <c r="E136" t="str">
        <f>IF(A136="","",IFERROR(INDEX(tblReg[Team],MATCH(A136,tblReg[Bib],0)),""))</f>
        <v/>
      </c>
      <c r="F136" s="4" t="s">
        <v>103</v>
      </c>
      <c r="G136" t="str">
        <f t="shared" si="8"/>
        <v/>
      </c>
      <c r="H136" t="str">
        <f t="shared" si="9"/>
        <v/>
      </c>
      <c r="I136">
        <f>IF(H136="",0,IFERROR(INDEX(Config!$K$4:$K$6,MATCH(H136,Config!$H$4:$H$6,0)),0))</f>
        <v>0</v>
      </c>
      <c r="J136" t="str">
        <f t="shared" si="10"/>
        <v/>
      </c>
      <c r="K136" s="5" t="str">
        <f t="shared" si="11"/>
        <v/>
      </c>
      <c r="L136">
        <f>IF(A136="",999,IFERROR(MATCH(B136,Config!$A$4:$A$7,0),99)*10+IF(ISNUMBER(F136),1,IF(F136="",2,IF(UPPER(F136)="DNF",3,IF(UPPER(F136)="DNS",4,8)))))</f>
        <v>999</v>
      </c>
    </row>
    <row r="137" spans="2:12" x14ac:dyDescent="0.25">
      <c r="B137" t="str">
        <f>IF(A137="","",IFERROR(INDEX(tblReg[Field],MATCH(A137,tblReg[Bib],0)),""))</f>
        <v/>
      </c>
      <c r="C137" t="str">
        <f>IF(A137="","",IFERROR(INDEX(tblReg[FirstName],MATCH(A137,tblReg[Bib],0)),""))</f>
        <v/>
      </c>
      <c r="D137" t="str">
        <f>IF(A137="","",IFERROR(INDEX(tblReg[LastName],MATCH(A137,tblReg[Bib],0)),""))</f>
        <v/>
      </c>
      <c r="E137" t="str">
        <f>IF(A137="","",IFERROR(INDEX(tblReg[Team],MATCH(A137,tblReg[Bib],0)),""))</f>
        <v/>
      </c>
      <c r="F137" s="4" t="s">
        <v>103</v>
      </c>
      <c r="G137" t="str">
        <f t="shared" si="8"/>
        <v/>
      </c>
      <c r="H137" t="str">
        <f t="shared" si="9"/>
        <v/>
      </c>
      <c r="I137">
        <f>IF(H137="",0,IFERROR(INDEX(Config!$K$4:$K$6,MATCH(H137,Config!$H$4:$H$6,0)),0))</f>
        <v>0</v>
      </c>
      <c r="J137" t="str">
        <f t="shared" si="10"/>
        <v/>
      </c>
      <c r="K137" s="5" t="str">
        <f t="shared" si="11"/>
        <v/>
      </c>
      <c r="L137">
        <f>IF(A137="",999,IFERROR(MATCH(B137,Config!$A$4:$A$7,0),99)*10+IF(ISNUMBER(F137),1,IF(F137="",2,IF(UPPER(F137)="DNF",3,IF(UPPER(F137)="DNS",4,8)))))</f>
        <v>999</v>
      </c>
    </row>
    <row r="138" spans="2:12" x14ac:dyDescent="0.25">
      <c r="B138" t="str">
        <f>IF(A138="","",IFERROR(INDEX(tblReg[Field],MATCH(A138,tblReg[Bib],0)),""))</f>
        <v/>
      </c>
      <c r="C138" t="str">
        <f>IF(A138="","",IFERROR(INDEX(tblReg[FirstName],MATCH(A138,tblReg[Bib],0)),""))</f>
        <v/>
      </c>
      <c r="D138" t="str">
        <f>IF(A138="","",IFERROR(INDEX(tblReg[LastName],MATCH(A138,tblReg[Bib],0)),""))</f>
        <v/>
      </c>
      <c r="E138" t="str">
        <f>IF(A138="","",IFERROR(INDEX(tblReg[Team],MATCH(A138,tblReg[Bib],0)),""))</f>
        <v/>
      </c>
      <c r="F138" s="4" t="s">
        <v>103</v>
      </c>
      <c r="G138" t="str">
        <f t="shared" si="8"/>
        <v/>
      </c>
      <c r="H138" t="str">
        <f t="shared" si="9"/>
        <v/>
      </c>
      <c r="I138">
        <f>IF(H138="",0,IFERROR(INDEX(Config!$K$4:$K$6,MATCH(H138,Config!$H$4:$H$6,0)),0))</f>
        <v>0</v>
      </c>
      <c r="J138" t="str">
        <f t="shared" si="10"/>
        <v/>
      </c>
      <c r="K138" s="5" t="str">
        <f t="shared" si="11"/>
        <v/>
      </c>
      <c r="L138">
        <f>IF(A138="",999,IFERROR(MATCH(B138,Config!$A$4:$A$7,0),99)*10+IF(ISNUMBER(F138),1,IF(F138="",2,IF(UPPER(F138)="DNF",3,IF(UPPER(F138)="DNS",4,8)))))</f>
        <v>999</v>
      </c>
    </row>
    <row r="139" spans="2:12" x14ac:dyDescent="0.25">
      <c r="B139" t="str">
        <f>IF(A139="","",IFERROR(INDEX(tblReg[Field],MATCH(A139,tblReg[Bib],0)),""))</f>
        <v/>
      </c>
      <c r="C139" t="str">
        <f>IF(A139="","",IFERROR(INDEX(tblReg[FirstName],MATCH(A139,tblReg[Bib],0)),""))</f>
        <v/>
      </c>
      <c r="D139" t="str">
        <f>IF(A139="","",IFERROR(INDEX(tblReg[LastName],MATCH(A139,tblReg[Bib],0)),""))</f>
        <v/>
      </c>
      <c r="E139" t="str">
        <f>IF(A139="","",IFERROR(INDEX(tblReg[Team],MATCH(A139,tblReg[Bib],0)),""))</f>
        <v/>
      </c>
      <c r="F139" s="4" t="s">
        <v>103</v>
      </c>
      <c r="G139" t="str">
        <f t="shared" si="8"/>
        <v/>
      </c>
      <c r="H139" t="str">
        <f t="shared" si="9"/>
        <v/>
      </c>
      <c r="I139">
        <f>IF(H139="",0,IFERROR(INDEX(Config!$K$4:$K$6,MATCH(H139,Config!$H$4:$H$6,0)),0))</f>
        <v>0</v>
      </c>
      <c r="J139" t="str">
        <f t="shared" si="10"/>
        <v/>
      </c>
      <c r="K139" s="5" t="str">
        <f t="shared" si="11"/>
        <v/>
      </c>
      <c r="L139">
        <f>IF(A139="",999,IFERROR(MATCH(B139,Config!$A$4:$A$7,0),99)*10+IF(ISNUMBER(F139),1,IF(F139="",2,IF(UPPER(F139)="DNF",3,IF(UPPER(F139)="DNS",4,8)))))</f>
        <v>999</v>
      </c>
    </row>
    <row r="140" spans="2:12" x14ac:dyDescent="0.25">
      <c r="B140" t="str">
        <f>IF(A140="","",IFERROR(INDEX(tblReg[Field],MATCH(A140,tblReg[Bib],0)),""))</f>
        <v/>
      </c>
      <c r="C140" t="str">
        <f>IF(A140="","",IFERROR(INDEX(tblReg[FirstName],MATCH(A140,tblReg[Bib],0)),""))</f>
        <v/>
      </c>
      <c r="D140" t="str">
        <f>IF(A140="","",IFERROR(INDEX(tblReg[LastName],MATCH(A140,tblReg[Bib],0)),""))</f>
        <v/>
      </c>
      <c r="E140" t="str">
        <f>IF(A140="","",IFERROR(INDEX(tblReg[Team],MATCH(A140,tblReg[Bib],0)),""))</f>
        <v/>
      </c>
      <c r="F140" s="4" t="s">
        <v>103</v>
      </c>
      <c r="G140" t="str">
        <f t="shared" si="8"/>
        <v/>
      </c>
      <c r="H140" t="str">
        <f t="shared" si="9"/>
        <v/>
      </c>
      <c r="I140">
        <f>IF(H140="",0,IFERROR(INDEX(Config!$K$4:$K$6,MATCH(H140,Config!$H$4:$H$6,0)),0))</f>
        <v>0</v>
      </c>
      <c r="J140" t="str">
        <f t="shared" si="10"/>
        <v/>
      </c>
      <c r="K140" s="5" t="str">
        <f t="shared" si="11"/>
        <v/>
      </c>
      <c r="L140">
        <f>IF(A140="",999,IFERROR(MATCH(B140,Config!$A$4:$A$7,0),99)*10+IF(ISNUMBER(F140),1,IF(F140="",2,IF(UPPER(F140)="DNF",3,IF(UPPER(F140)="DNS",4,8)))))</f>
        <v>999</v>
      </c>
    </row>
    <row r="141" spans="2:12" x14ac:dyDescent="0.25">
      <c r="B141" t="str">
        <f>IF(A141="","",IFERROR(INDEX(tblReg[Field],MATCH(A141,tblReg[Bib],0)),""))</f>
        <v/>
      </c>
      <c r="C141" t="str">
        <f>IF(A141="","",IFERROR(INDEX(tblReg[FirstName],MATCH(A141,tblReg[Bib],0)),""))</f>
        <v/>
      </c>
      <c r="D141" t="str">
        <f>IF(A141="","",IFERROR(INDEX(tblReg[LastName],MATCH(A141,tblReg[Bib],0)),""))</f>
        <v/>
      </c>
      <c r="E141" t="str">
        <f>IF(A141="","",IFERROR(INDEX(tblReg[Team],MATCH(A141,tblReg[Bib],0)),""))</f>
        <v/>
      </c>
      <c r="F141" s="4" t="s">
        <v>103</v>
      </c>
      <c r="G141" t="str">
        <f t="shared" si="8"/>
        <v/>
      </c>
      <c r="H141" t="str">
        <f t="shared" si="9"/>
        <v/>
      </c>
      <c r="I141">
        <f>IF(H141="",0,IFERROR(INDEX(Config!$K$4:$K$6,MATCH(H141,Config!$H$4:$H$6,0)),0))</f>
        <v>0</v>
      </c>
      <c r="J141" t="str">
        <f t="shared" si="10"/>
        <v/>
      </c>
      <c r="K141" s="5" t="str">
        <f t="shared" si="11"/>
        <v/>
      </c>
      <c r="L141">
        <f>IF(A141="",999,IFERROR(MATCH(B141,Config!$A$4:$A$7,0),99)*10+IF(ISNUMBER(F141),1,IF(F141="",2,IF(UPPER(F141)="DNF",3,IF(UPPER(F141)="DNS",4,8)))))</f>
        <v>999</v>
      </c>
    </row>
    <row r="142" spans="2:12" x14ac:dyDescent="0.25">
      <c r="B142" t="str">
        <f>IF(A142="","",IFERROR(INDEX(tblReg[Field],MATCH(A142,tblReg[Bib],0)),""))</f>
        <v/>
      </c>
      <c r="C142" t="str">
        <f>IF(A142="","",IFERROR(INDEX(tblReg[FirstName],MATCH(A142,tblReg[Bib],0)),""))</f>
        <v/>
      </c>
      <c r="D142" t="str">
        <f>IF(A142="","",IFERROR(INDEX(tblReg[LastName],MATCH(A142,tblReg[Bib],0)),""))</f>
        <v/>
      </c>
      <c r="E142" t="str">
        <f>IF(A142="","",IFERROR(INDEX(tblReg[Team],MATCH(A142,tblReg[Bib],0)),""))</f>
        <v/>
      </c>
      <c r="F142" s="4" t="s">
        <v>103</v>
      </c>
      <c r="G142" t="str">
        <f t="shared" si="8"/>
        <v/>
      </c>
      <c r="H142" t="str">
        <f t="shared" si="9"/>
        <v/>
      </c>
      <c r="I142">
        <f>IF(H142="",0,IFERROR(INDEX(Config!$K$4:$K$6,MATCH(H142,Config!$H$4:$H$6,0)),0))</f>
        <v>0</v>
      </c>
      <c r="J142" t="str">
        <f t="shared" si="10"/>
        <v/>
      </c>
      <c r="K142" s="5" t="str">
        <f t="shared" si="11"/>
        <v/>
      </c>
      <c r="L142">
        <f>IF(A142="",999,IFERROR(MATCH(B142,Config!$A$4:$A$7,0),99)*10+IF(ISNUMBER(F142),1,IF(F142="",2,IF(UPPER(F142)="DNF",3,IF(UPPER(F142)="DNS",4,8)))))</f>
        <v>999</v>
      </c>
    </row>
    <row r="143" spans="2:12" x14ac:dyDescent="0.25">
      <c r="B143" t="str">
        <f>IF(A143="","",IFERROR(INDEX(tblReg[Field],MATCH(A143,tblReg[Bib],0)),""))</f>
        <v/>
      </c>
      <c r="C143" t="str">
        <f>IF(A143="","",IFERROR(INDEX(tblReg[FirstName],MATCH(A143,tblReg[Bib],0)),""))</f>
        <v/>
      </c>
      <c r="D143" t="str">
        <f>IF(A143="","",IFERROR(INDEX(tblReg[LastName],MATCH(A143,tblReg[Bib],0)),""))</f>
        <v/>
      </c>
      <c r="E143" t="str">
        <f>IF(A143="","",IFERROR(INDEX(tblReg[Team],MATCH(A143,tblReg[Bib],0)),""))</f>
        <v/>
      </c>
      <c r="F143" s="4" t="s">
        <v>103</v>
      </c>
      <c r="G143" t="str">
        <f t="shared" si="8"/>
        <v/>
      </c>
      <c r="H143" t="str">
        <f t="shared" si="9"/>
        <v/>
      </c>
      <c r="I143">
        <f>IF(H143="",0,IFERROR(INDEX(Config!$K$4:$K$6,MATCH(H143,Config!$H$4:$H$6,0)),0))</f>
        <v>0</v>
      </c>
      <c r="J143" t="str">
        <f t="shared" si="10"/>
        <v/>
      </c>
      <c r="K143" s="5" t="str">
        <f t="shared" si="11"/>
        <v/>
      </c>
      <c r="L143">
        <f>IF(A143="",999,IFERROR(MATCH(B143,Config!$A$4:$A$7,0),99)*10+IF(ISNUMBER(F143),1,IF(F143="",2,IF(UPPER(F143)="DNF",3,IF(UPPER(F143)="DNS",4,8)))))</f>
        <v>999</v>
      </c>
    </row>
    <row r="144" spans="2:12" x14ac:dyDescent="0.25">
      <c r="B144" t="str">
        <f>IF(A144="","",IFERROR(INDEX(tblReg[Field],MATCH(A144,tblReg[Bib],0)),""))</f>
        <v/>
      </c>
      <c r="C144" t="str">
        <f>IF(A144="","",IFERROR(INDEX(tblReg[FirstName],MATCH(A144,tblReg[Bib],0)),""))</f>
        <v/>
      </c>
      <c r="D144" t="str">
        <f>IF(A144="","",IFERROR(INDEX(tblReg[LastName],MATCH(A144,tblReg[Bib],0)),""))</f>
        <v/>
      </c>
      <c r="E144" t="str">
        <f>IF(A144="","",IFERROR(INDEX(tblReg[Team],MATCH(A144,tblReg[Bib],0)),""))</f>
        <v/>
      </c>
      <c r="F144" s="4" t="s">
        <v>103</v>
      </c>
      <c r="G144" t="str">
        <f t="shared" si="8"/>
        <v/>
      </c>
      <c r="H144" t="str">
        <f t="shared" si="9"/>
        <v/>
      </c>
      <c r="I144">
        <f>IF(H144="",0,IFERROR(INDEX(Config!$K$4:$K$6,MATCH(H144,Config!$H$4:$H$6,0)),0))</f>
        <v>0</v>
      </c>
      <c r="J144" t="str">
        <f t="shared" si="10"/>
        <v/>
      </c>
      <c r="K144" s="5" t="str">
        <f t="shared" si="11"/>
        <v/>
      </c>
      <c r="L144">
        <f>IF(A144="",999,IFERROR(MATCH(B144,Config!$A$4:$A$7,0),99)*10+IF(ISNUMBER(F144),1,IF(F144="",2,IF(UPPER(F144)="DNF",3,IF(UPPER(F144)="DNS",4,8)))))</f>
        <v>999</v>
      </c>
    </row>
    <row r="145" spans="2:12" x14ac:dyDescent="0.25">
      <c r="B145" t="str">
        <f>IF(A145="","",IFERROR(INDEX(tblReg[Field],MATCH(A145,tblReg[Bib],0)),""))</f>
        <v/>
      </c>
      <c r="C145" t="str">
        <f>IF(A145="","",IFERROR(INDEX(tblReg[FirstName],MATCH(A145,tblReg[Bib],0)),""))</f>
        <v/>
      </c>
      <c r="D145" t="str">
        <f>IF(A145="","",IFERROR(INDEX(tblReg[LastName],MATCH(A145,tblReg[Bib],0)),""))</f>
        <v/>
      </c>
      <c r="E145" t="str">
        <f>IF(A145="","",IFERROR(INDEX(tblReg[Team],MATCH(A145,tblReg[Bib],0)),""))</f>
        <v/>
      </c>
      <c r="F145" s="4" t="s">
        <v>103</v>
      </c>
      <c r="G145" t="str">
        <f t="shared" si="8"/>
        <v/>
      </c>
      <c r="H145" t="str">
        <f t="shared" si="9"/>
        <v/>
      </c>
      <c r="I145">
        <f>IF(H145="",0,IFERROR(INDEX(Config!$K$4:$K$6,MATCH(H145,Config!$H$4:$H$6,0)),0))</f>
        <v>0</v>
      </c>
      <c r="J145" t="str">
        <f t="shared" si="10"/>
        <v/>
      </c>
      <c r="K145" s="5" t="str">
        <f t="shared" si="11"/>
        <v/>
      </c>
      <c r="L145">
        <f>IF(A145="",999,IFERROR(MATCH(B145,Config!$A$4:$A$7,0),99)*10+IF(ISNUMBER(F145),1,IF(F145="",2,IF(UPPER(F145)="DNF",3,IF(UPPER(F145)="DNS",4,8)))))</f>
        <v>999</v>
      </c>
    </row>
    <row r="146" spans="2:12" x14ac:dyDescent="0.25">
      <c r="B146" t="str">
        <f>IF(A146="","",IFERROR(INDEX(tblReg[Field],MATCH(A146,tblReg[Bib],0)),""))</f>
        <v/>
      </c>
      <c r="C146" t="str">
        <f>IF(A146="","",IFERROR(INDEX(tblReg[FirstName],MATCH(A146,tblReg[Bib],0)),""))</f>
        <v/>
      </c>
      <c r="D146" t="str">
        <f>IF(A146="","",IFERROR(INDEX(tblReg[LastName],MATCH(A146,tblReg[Bib],0)),""))</f>
        <v/>
      </c>
      <c r="E146" t="str">
        <f>IF(A146="","",IFERROR(INDEX(tblReg[Team],MATCH(A146,tblReg[Bib],0)),""))</f>
        <v/>
      </c>
      <c r="F146" s="4" t="s">
        <v>103</v>
      </c>
      <c r="G146" t="str">
        <f t="shared" si="8"/>
        <v/>
      </c>
      <c r="H146" t="str">
        <f t="shared" si="9"/>
        <v/>
      </c>
      <c r="I146">
        <f>IF(H146="",0,IFERROR(INDEX(Config!$K$4:$K$6,MATCH(H146,Config!$H$4:$H$6,0)),0))</f>
        <v>0</v>
      </c>
      <c r="J146" t="str">
        <f t="shared" si="10"/>
        <v/>
      </c>
      <c r="K146" s="5" t="str">
        <f t="shared" si="11"/>
        <v/>
      </c>
      <c r="L146">
        <f>IF(A146="",999,IFERROR(MATCH(B146,Config!$A$4:$A$7,0),99)*10+IF(ISNUMBER(F146),1,IF(F146="",2,IF(UPPER(F146)="DNF",3,IF(UPPER(F146)="DNS",4,8)))))</f>
        <v>999</v>
      </c>
    </row>
    <row r="147" spans="2:12" x14ac:dyDescent="0.25">
      <c r="B147" t="str">
        <f>IF(A147="","",IFERROR(INDEX(tblReg[Field],MATCH(A147,tblReg[Bib],0)),""))</f>
        <v/>
      </c>
      <c r="C147" t="str">
        <f>IF(A147="","",IFERROR(INDEX(tblReg[FirstName],MATCH(A147,tblReg[Bib],0)),""))</f>
        <v/>
      </c>
      <c r="D147" t="str">
        <f>IF(A147="","",IFERROR(INDEX(tblReg[LastName],MATCH(A147,tblReg[Bib],0)),""))</f>
        <v/>
      </c>
      <c r="E147" t="str">
        <f>IF(A147="","",IFERROR(INDEX(tblReg[Team],MATCH(A147,tblReg[Bib],0)),""))</f>
        <v/>
      </c>
      <c r="F147" s="4" t="s">
        <v>103</v>
      </c>
      <c r="G147" t="str">
        <f t="shared" si="8"/>
        <v/>
      </c>
      <c r="H147" t="str">
        <f t="shared" si="9"/>
        <v/>
      </c>
      <c r="I147">
        <f>IF(H147="",0,IFERROR(INDEX(Config!$K$4:$K$6,MATCH(H147,Config!$H$4:$H$6,0)),0))</f>
        <v>0</v>
      </c>
      <c r="J147" t="str">
        <f t="shared" si="10"/>
        <v/>
      </c>
      <c r="K147" s="5" t="str">
        <f t="shared" si="11"/>
        <v/>
      </c>
      <c r="L147">
        <f>IF(A147="",999,IFERROR(MATCH(B147,Config!$A$4:$A$7,0),99)*10+IF(ISNUMBER(F147),1,IF(F147="",2,IF(UPPER(F147)="DNF",3,IF(UPPER(F147)="DNS",4,8)))))</f>
        <v>999</v>
      </c>
    </row>
    <row r="148" spans="2:12" x14ac:dyDescent="0.25">
      <c r="B148" t="str">
        <f>IF(A148="","",IFERROR(INDEX(tblReg[Field],MATCH(A148,tblReg[Bib],0)),""))</f>
        <v/>
      </c>
      <c r="C148" t="str">
        <f>IF(A148="","",IFERROR(INDEX(tblReg[FirstName],MATCH(A148,tblReg[Bib],0)),""))</f>
        <v/>
      </c>
      <c r="D148" t="str">
        <f>IF(A148="","",IFERROR(INDEX(tblReg[LastName],MATCH(A148,tblReg[Bib],0)),""))</f>
        <v/>
      </c>
      <c r="E148" t="str">
        <f>IF(A148="","",IFERROR(INDEX(tblReg[Team],MATCH(A148,tblReg[Bib],0)),""))</f>
        <v/>
      </c>
      <c r="F148" s="4" t="s">
        <v>103</v>
      </c>
      <c r="G148" t="str">
        <f t="shared" si="8"/>
        <v/>
      </c>
      <c r="H148" t="str">
        <f t="shared" si="9"/>
        <v/>
      </c>
      <c r="I148">
        <f>IF(H148="",0,IFERROR(INDEX(Config!$K$4:$K$6,MATCH(H148,Config!$H$4:$H$6,0)),0))</f>
        <v>0</v>
      </c>
      <c r="J148" t="str">
        <f t="shared" si="10"/>
        <v/>
      </c>
      <c r="K148" s="5" t="str">
        <f t="shared" si="11"/>
        <v/>
      </c>
      <c r="L148">
        <f>IF(A148="",999,IFERROR(MATCH(B148,Config!$A$4:$A$7,0),99)*10+IF(ISNUMBER(F148),1,IF(F148="",2,IF(UPPER(F148)="DNF",3,IF(UPPER(F148)="DNS",4,8)))))</f>
        <v>999</v>
      </c>
    </row>
    <row r="149" spans="2:12" x14ac:dyDescent="0.25">
      <c r="B149" t="str">
        <f>IF(A149="","",IFERROR(INDEX(tblReg[Field],MATCH(A149,tblReg[Bib],0)),""))</f>
        <v/>
      </c>
      <c r="C149" t="str">
        <f>IF(A149="","",IFERROR(INDEX(tblReg[FirstName],MATCH(A149,tblReg[Bib],0)),""))</f>
        <v/>
      </c>
      <c r="D149" t="str">
        <f>IF(A149="","",IFERROR(INDEX(tblReg[LastName],MATCH(A149,tblReg[Bib],0)),""))</f>
        <v/>
      </c>
      <c r="E149" t="str">
        <f>IF(A149="","",IFERROR(INDEX(tblReg[Team],MATCH(A149,tblReg[Bib],0)),""))</f>
        <v/>
      </c>
      <c r="F149" s="4" t="s">
        <v>103</v>
      </c>
      <c r="G149" t="str">
        <f t="shared" si="8"/>
        <v/>
      </c>
      <c r="H149" t="str">
        <f t="shared" si="9"/>
        <v/>
      </c>
      <c r="I149">
        <f>IF(H149="",0,IFERROR(INDEX(Config!$K$4:$K$6,MATCH(H149,Config!$H$4:$H$6,0)),0))</f>
        <v>0</v>
      </c>
      <c r="J149" t="str">
        <f t="shared" si="10"/>
        <v/>
      </c>
      <c r="K149" s="5" t="str">
        <f t="shared" si="11"/>
        <v/>
      </c>
      <c r="L149">
        <f>IF(A149="",999,IFERROR(MATCH(B149,Config!$A$4:$A$7,0),99)*10+IF(ISNUMBER(F149),1,IF(F149="",2,IF(UPPER(F149)="DNF",3,IF(UPPER(F149)="DNS",4,8)))))</f>
        <v>999</v>
      </c>
    </row>
    <row r="150" spans="2:12" x14ac:dyDescent="0.25">
      <c r="B150" t="str">
        <f>IF(A150="","",IFERROR(INDEX(tblReg[Field],MATCH(A150,tblReg[Bib],0)),""))</f>
        <v/>
      </c>
      <c r="C150" t="str">
        <f>IF(A150="","",IFERROR(INDEX(tblReg[FirstName],MATCH(A150,tblReg[Bib],0)),""))</f>
        <v/>
      </c>
      <c r="D150" t="str">
        <f>IF(A150="","",IFERROR(INDEX(tblReg[LastName],MATCH(A150,tblReg[Bib],0)),""))</f>
        <v/>
      </c>
      <c r="E150" t="str">
        <f>IF(A150="","",IFERROR(INDEX(tblReg[Team],MATCH(A150,tblReg[Bib],0)),""))</f>
        <v/>
      </c>
      <c r="F150" s="4" t="s">
        <v>103</v>
      </c>
      <c r="G150" t="str">
        <f t="shared" si="8"/>
        <v/>
      </c>
      <c r="H150" t="str">
        <f t="shared" si="9"/>
        <v/>
      </c>
      <c r="I150">
        <f>IF(H150="",0,IFERROR(INDEX(Config!$K$4:$K$6,MATCH(H150,Config!$H$4:$H$6,0)),0))</f>
        <v>0</v>
      </c>
      <c r="J150" t="str">
        <f t="shared" si="10"/>
        <v/>
      </c>
      <c r="K150" s="5" t="str">
        <f t="shared" si="11"/>
        <v/>
      </c>
      <c r="L150">
        <f>IF(A150="",999,IFERROR(MATCH(B150,Config!$A$4:$A$7,0),99)*10+IF(ISNUMBER(F150),1,IF(F150="",2,IF(UPPER(F150)="DNF",3,IF(UPPER(F150)="DNS",4,8)))))</f>
        <v>999</v>
      </c>
    </row>
    <row r="151" spans="2:12" x14ac:dyDescent="0.25">
      <c r="B151" t="str">
        <f>IF(A151="","",IFERROR(INDEX(tblReg[Field],MATCH(A151,tblReg[Bib],0)),""))</f>
        <v/>
      </c>
      <c r="C151" t="str">
        <f>IF(A151="","",IFERROR(INDEX(tblReg[FirstName],MATCH(A151,tblReg[Bib],0)),""))</f>
        <v/>
      </c>
      <c r="D151" t="str">
        <f>IF(A151="","",IFERROR(INDEX(tblReg[LastName],MATCH(A151,tblReg[Bib],0)),""))</f>
        <v/>
      </c>
      <c r="E151" t="str">
        <f>IF(A151="","",IFERROR(INDEX(tblReg[Team],MATCH(A151,tblReg[Bib],0)),""))</f>
        <v/>
      </c>
      <c r="F151" s="4" t="s">
        <v>103</v>
      </c>
      <c r="G151" t="str">
        <f t="shared" si="8"/>
        <v/>
      </c>
      <c r="H151" t="str">
        <f t="shared" si="9"/>
        <v/>
      </c>
      <c r="I151">
        <f>IF(H151="",0,IFERROR(INDEX(Config!$K$4:$K$6,MATCH(H151,Config!$H$4:$H$6,0)),0))</f>
        <v>0</v>
      </c>
      <c r="J151" t="str">
        <f t="shared" si="10"/>
        <v/>
      </c>
      <c r="K151" s="5" t="str">
        <f t="shared" si="11"/>
        <v/>
      </c>
      <c r="L151">
        <f>IF(A151="",999,IFERROR(MATCH(B151,Config!$A$4:$A$7,0),99)*10+IF(ISNUMBER(F151),1,IF(F151="",2,IF(UPPER(F151)="DNF",3,IF(UPPER(F151)="DNS",4,8)))))</f>
        <v>999</v>
      </c>
    </row>
    <row r="152" spans="2:12" x14ac:dyDescent="0.25">
      <c r="B152" t="str">
        <f>IF(A152="","",IFERROR(INDEX(tblReg[Field],MATCH(A152,tblReg[Bib],0)),""))</f>
        <v/>
      </c>
      <c r="C152" t="str">
        <f>IF(A152="","",IFERROR(INDEX(tblReg[FirstName],MATCH(A152,tblReg[Bib],0)),""))</f>
        <v/>
      </c>
      <c r="D152" t="str">
        <f>IF(A152="","",IFERROR(INDEX(tblReg[LastName],MATCH(A152,tblReg[Bib],0)),""))</f>
        <v/>
      </c>
      <c r="E152" t="str">
        <f>IF(A152="","",IFERROR(INDEX(tblReg[Team],MATCH(A152,tblReg[Bib],0)),""))</f>
        <v/>
      </c>
      <c r="F152" s="4" t="s">
        <v>103</v>
      </c>
      <c r="G152" t="str">
        <f t="shared" si="8"/>
        <v/>
      </c>
      <c r="H152" t="str">
        <f t="shared" si="9"/>
        <v/>
      </c>
      <c r="I152">
        <f>IF(H152="",0,IFERROR(INDEX(Config!$K$4:$K$6,MATCH(H152,Config!$H$4:$H$6,0)),0))</f>
        <v>0</v>
      </c>
      <c r="J152" t="str">
        <f t="shared" si="10"/>
        <v/>
      </c>
      <c r="K152" s="5" t="str">
        <f t="shared" si="11"/>
        <v/>
      </c>
      <c r="L152">
        <f>IF(A152="",999,IFERROR(MATCH(B152,Config!$A$4:$A$7,0),99)*10+IF(ISNUMBER(F152),1,IF(F152="",2,IF(UPPER(F152)="DNF",3,IF(UPPER(F152)="DNS",4,8)))))</f>
        <v>999</v>
      </c>
    </row>
    <row r="153" spans="2:12" x14ac:dyDescent="0.25">
      <c r="B153" t="str">
        <f>IF(A153="","",IFERROR(INDEX(tblReg[Field],MATCH(A153,tblReg[Bib],0)),""))</f>
        <v/>
      </c>
      <c r="C153" t="str">
        <f>IF(A153="","",IFERROR(INDEX(tblReg[FirstName],MATCH(A153,tblReg[Bib],0)),""))</f>
        <v/>
      </c>
      <c r="D153" t="str">
        <f>IF(A153="","",IFERROR(INDEX(tblReg[LastName],MATCH(A153,tblReg[Bib],0)),""))</f>
        <v/>
      </c>
      <c r="E153" t="str">
        <f>IF(A153="","",IFERROR(INDEX(tblReg[Team],MATCH(A153,tblReg[Bib],0)),""))</f>
        <v/>
      </c>
      <c r="F153" s="4" t="s">
        <v>103</v>
      </c>
      <c r="G153" t="str">
        <f t="shared" si="8"/>
        <v/>
      </c>
      <c r="H153" t="str">
        <f t="shared" si="9"/>
        <v/>
      </c>
      <c r="I153">
        <f>IF(H153="",0,IFERROR(INDEX(Config!$K$4:$K$6,MATCH(H153,Config!$H$4:$H$6,0)),0))</f>
        <v>0</v>
      </c>
      <c r="J153" t="str">
        <f t="shared" si="10"/>
        <v/>
      </c>
      <c r="K153" s="5" t="str">
        <f t="shared" si="11"/>
        <v/>
      </c>
      <c r="L153">
        <f>IF(A153="",999,IFERROR(MATCH(B153,Config!$A$4:$A$7,0),99)*10+IF(ISNUMBER(F153),1,IF(F153="",2,IF(UPPER(F153)="DNF",3,IF(UPPER(F153)="DNS",4,8)))))</f>
        <v>999</v>
      </c>
    </row>
    <row r="154" spans="2:12" x14ac:dyDescent="0.25">
      <c r="B154" t="str">
        <f>IF(A154="","",IFERROR(INDEX(tblReg[Field],MATCH(A154,tblReg[Bib],0)),""))</f>
        <v/>
      </c>
      <c r="C154" t="str">
        <f>IF(A154="","",IFERROR(INDEX(tblReg[FirstName],MATCH(A154,tblReg[Bib],0)),""))</f>
        <v/>
      </c>
      <c r="D154" t="str">
        <f>IF(A154="","",IFERROR(INDEX(tblReg[LastName],MATCH(A154,tblReg[Bib],0)),""))</f>
        <v/>
      </c>
      <c r="E154" t="str">
        <f>IF(A154="","",IFERROR(INDEX(tblReg[Team],MATCH(A154,tblReg[Bib],0)),""))</f>
        <v/>
      </c>
      <c r="F154" s="4" t="s">
        <v>103</v>
      </c>
      <c r="G154" t="str">
        <f t="shared" si="8"/>
        <v/>
      </c>
      <c r="H154" t="str">
        <f t="shared" si="9"/>
        <v/>
      </c>
      <c r="I154">
        <f>IF(H154="",0,IFERROR(INDEX(Config!$K$4:$K$6,MATCH(H154,Config!$H$4:$H$6,0)),0))</f>
        <v>0</v>
      </c>
      <c r="J154" t="str">
        <f t="shared" si="10"/>
        <v/>
      </c>
      <c r="K154" s="5" t="str">
        <f t="shared" si="11"/>
        <v/>
      </c>
      <c r="L154">
        <f>IF(A154="",999,IFERROR(MATCH(B154,Config!$A$4:$A$7,0),99)*10+IF(ISNUMBER(F154),1,IF(F154="",2,IF(UPPER(F154)="DNF",3,IF(UPPER(F154)="DNS",4,8)))))</f>
        <v>999</v>
      </c>
    </row>
    <row r="155" spans="2:12" x14ac:dyDescent="0.25">
      <c r="B155" t="str">
        <f>IF(A155="","",IFERROR(INDEX(tblReg[Field],MATCH(A155,tblReg[Bib],0)),""))</f>
        <v/>
      </c>
      <c r="C155" t="str">
        <f>IF(A155="","",IFERROR(INDEX(tblReg[FirstName],MATCH(A155,tblReg[Bib],0)),""))</f>
        <v/>
      </c>
      <c r="D155" t="str">
        <f>IF(A155="","",IFERROR(INDEX(tblReg[LastName],MATCH(A155,tblReg[Bib],0)),""))</f>
        <v/>
      </c>
      <c r="E155" t="str">
        <f>IF(A155="","",IFERROR(INDEX(tblReg[Team],MATCH(A155,tblReg[Bib],0)),""))</f>
        <v/>
      </c>
      <c r="F155" s="4" t="s">
        <v>103</v>
      </c>
      <c r="G155" t="str">
        <f t="shared" si="8"/>
        <v/>
      </c>
      <c r="H155" t="str">
        <f t="shared" si="9"/>
        <v/>
      </c>
      <c r="I155">
        <f>IF(H155="",0,IFERROR(INDEX(Config!$K$4:$K$6,MATCH(H155,Config!$H$4:$H$6,0)),0))</f>
        <v>0</v>
      </c>
      <c r="J155" t="str">
        <f t="shared" si="10"/>
        <v/>
      </c>
      <c r="K155" s="5" t="str">
        <f t="shared" si="11"/>
        <v/>
      </c>
      <c r="L155">
        <f>IF(A155="",999,IFERROR(MATCH(B155,Config!$A$4:$A$7,0),99)*10+IF(ISNUMBER(F155),1,IF(F155="",2,IF(UPPER(F155)="DNF",3,IF(UPPER(F155)="DNS",4,8)))))</f>
        <v>999</v>
      </c>
    </row>
    <row r="156" spans="2:12" x14ac:dyDescent="0.25">
      <c r="B156" t="str">
        <f>IF(A156="","",IFERROR(INDEX(tblReg[Field],MATCH(A156,tblReg[Bib],0)),""))</f>
        <v/>
      </c>
      <c r="C156" t="str">
        <f>IF(A156="","",IFERROR(INDEX(tblReg[FirstName],MATCH(A156,tblReg[Bib],0)),""))</f>
        <v/>
      </c>
      <c r="D156" t="str">
        <f>IF(A156="","",IFERROR(INDEX(tblReg[LastName],MATCH(A156,tblReg[Bib],0)),""))</f>
        <v/>
      </c>
      <c r="E156" t="str">
        <f>IF(A156="","",IFERROR(INDEX(tblReg[Team],MATCH(A156,tblReg[Bib],0)),""))</f>
        <v/>
      </c>
      <c r="F156" s="4" t="s">
        <v>103</v>
      </c>
      <c r="G156" t="str">
        <f t="shared" si="8"/>
        <v/>
      </c>
      <c r="H156" t="str">
        <f t="shared" si="9"/>
        <v/>
      </c>
      <c r="I156">
        <f>IF(H156="",0,IFERROR(INDEX(Config!$K$4:$K$6,MATCH(H156,Config!$H$4:$H$6,0)),0))</f>
        <v>0</v>
      </c>
      <c r="J156" t="str">
        <f t="shared" si="10"/>
        <v/>
      </c>
      <c r="K156" s="5" t="str">
        <f t="shared" si="11"/>
        <v/>
      </c>
      <c r="L156">
        <f>IF(A156="",999,IFERROR(MATCH(B156,Config!$A$4:$A$7,0),99)*10+IF(ISNUMBER(F156),1,IF(F156="",2,IF(UPPER(F156)="DNF",3,IF(UPPER(F156)="DNS",4,8)))))</f>
        <v>999</v>
      </c>
    </row>
    <row r="157" spans="2:12" x14ac:dyDescent="0.25">
      <c r="B157" t="str">
        <f>IF(A157="","",IFERROR(INDEX(tblReg[Field],MATCH(A157,tblReg[Bib],0)),""))</f>
        <v/>
      </c>
      <c r="C157" t="str">
        <f>IF(A157="","",IFERROR(INDEX(tblReg[FirstName],MATCH(A157,tblReg[Bib],0)),""))</f>
        <v/>
      </c>
      <c r="D157" t="str">
        <f>IF(A157="","",IFERROR(INDEX(tblReg[LastName],MATCH(A157,tblReg[Bib],0)),""))</f>
        <v/>
      </c>
      <c r="E157" t="str">
        <f>IF(A157="","",IFERROR(INDEX(tblReg[Team],MATCH(A157,tblReg[Bib],0)),""))</f>
        <v/>
      </c>
      <c r="F157" s="4" t="s">
        <v>103</v>
      </c>
      <c r="G157" t="str">
        <f t="shared" si="8"/>
        <v/>
      </c>
      <c r="H157" t="str">
        <f t="shared" si="9"/>
        <v/>
      </c>
      <c r="I157">
        <f>IF(H157="",0,IFERROR(INDEX(Config!$K$4:$K$6,MATCH(H157,Config!$H$4:$H$6,0)),0))</f>
        <v>0</v>
      </c>
      <c r="J157" t="str">
        <f t="shared" si="10"/>
        <v/>
      </c>
      <c r="K157" s="5" t="str">
        <f t="shared" si="11"/>
        <v/>
      </c>
      <c r="L157">
        <f>IF(A157="",999,IFERROR(MATCH(B157,Config!$A$4:$A$7,0),99)*10+IF(ISNUMBER(F157),1,IF(F157="",2,IF(UPPER(F157)="DNF",3,IF(UPPER(F157)="DNS",4,8)))))</f>
        <v>999</v>
      </c>
    </row>
    <row r="158" spans="2:12" x14ac:dyDescent="0.25">
      <c r="B158" t="str">
        <f>IF(A158="","",IFERROR(INDEX(tblReg[Field],MATCH(A158,tblReg[Bib],0)),""))</f>
        <v/>
      </c>
      <c r="C158" t="str">
        <f>IF(A158="","",IFERROR(INDEX(tblReg[FirstName],MATCH(A158,tblReg[Bib],0)),""))</f>
        <v/>
      </c>
      <c r="D158" t="str">
        <f>IF(A158="","",IFERROR(INDEX(tblReg[LastName],MATCH(A158,tblReg[Bib],0)),""))</f>
        <v/>
      </c>
      <c r="E158" t="str">
        <f>IF(A158="","",IFERROR(INDEX(tblReg[Team],MATCH(A158,tblReg[Bib],0)),""))</f>
        <v/>
      </c>
      <c r="F158" s="4" t="s">
        <v>103</v>
      </c>
      <c r="G158" t="str">
        <f t="shared" si="8"/>
        <v/>
      </c>
      <c r="H158" t="str">
        <f t="shared" si="9"/>
        <v/>
      </c>
      <c r="I158">
        <f>IF(H158="",0,IFERROR(INDEX(Config!$K$4:$K$6,MATCH(H158,Config!$H$4:$H$6,0)),0))</f>
        <v>0</v>
      </c>
      <c r="J158" t="str">
        <f t="shared" si="10"/>
        <v/>
      </c>
      <c r="K158" s="5" t="str">
        <f t="shared" si="11"/>
        <v/>
      </c>
      <c r="L158">
        <f>IF(A158="",999,IFERROR(MATCH(B158,Config!$A$4:$A$7,0),99)*10+IF(ISNUMBER(F158),1,IF(F158="",2,IF(UPPER(F158)="DNF",3,IF(UPPER(F158)="DNS",4,8)))))</f>
        <v>999</v>
      </c>
    </row>
    <row r="159" spans="2:12" x14ac:dyDescent="0.25">
      <c r="B159" t="str">
        <f>IF(A159="","",IFERROR(INDEX(tblReg[Field],MATCH(A159,tblReg[Bib],0)),""))</f>
        <v/>
      </c>
      <c r="C159" t="str">
        <f>IF(A159="","",IFERROR(INDEX(tblReg[FirstName],MATCH(A159,tblReg[Bib],0)),""))</f>
        <v/>
      </c>
      <c r="D159" t="str">
        <f>IF(A159="","",IFERROR(INDEX(tblReg[LastName],MATCH(A159,tblReg[Bib],0)),""))</f>
        <v/>
      </c>
      <c r="E159" t="str">
        <f>IF(A159="","",IFERROR(INDEX(tblReg[Team],MATCH(A159,tblReg[Bib],0)),""))</f>
        <v/>
      </c>
      <c r="F159" s="4" t="s">
        <v>103</v>
      </c>
      <c r="G159" t="str">
        <f t="shared" si="8"/>
        <v/>
      </c>
      <c r="H159" t="str">
        <f t="shared" si="9"/>
        <v/>
      </c>
      <c r="I159">
        <f>IF(H159="",0,IFERROR(INDEX(Config!$K$4:$K$6,MATCH(H159,Config!$H$4:$H$6,0)),0))</f>
        <v>0</v>
      </c>
      <c r="J159" t="str">
        <f t="shared" si="10"/>
        <v/>
      </c>
      <c r="K159" s="5" t="str">
        <f t="shared" si="11"/>
        <v/>
      </c>
      <c r="L159">
        <f>IF(A159="",999,IFERROR(MATCH(B159,Config!$A$4:$A$7,0),99)*10+IF(ISNUMBER(F159),1,IF(F159="",2,IF(UPPER(F159)="DNF",3,IF(UPPER(F159)="DNS",4,8)))))</f>
        <v>999</v>
      </c>
    </row>
    <row r="160" spans="2:12" x14ac:dyDescent="0.25">
      <c r="B160" t="str">
        <f>IF(A160="","",IFERROR(INDEX(tblReg[Field],MATCH(A160,tblReg[Bib],0)),""))</f>
        <v/>
      </c>
      <c r="C160" t="str">
        <f>IF(A160="","",IFERROR(INDEX(tblReg[FirstName],MATCH(A160,tblReg[Bib],0)),""))</f>
        <v/>
      </c>
      <c r="D160" t="str">
        <f>IF(A160="","",IFERROR(INDEX(tblReg[LastName],MATCH(A160,tblReg[Bib],0)),""))</f>
        <v/>
      </c>
      <c r="E160" t="str">
        <f>IF(A160="","",IFERROR(INDEX(tblReg[Team],MATCH(A160,tblReg[Bib],0)),""))</f>
        <v/>
      </c>
      <c r="F160" s="4" t="s">
        <v>103</v>
      </c>
      <c r="G160" t="str">
        <f t="shared" si="8"/>
        <v/>
      </c>
      <c r="H160" t="str">
        <f t="shared" si="9"/>
        <v/>
      </c>
      <c r="I160">
        <f>IF(H160="",0,IFERROR(INDEX(Config!$K$4:$K$6,MATCH(H160,Config!$H$4:$H$6,0)),0))</f>
        <v>0</v>
      </c>
      <c r="J160" t="str">
        <f t="shared" si="10"/>
        <v/>
      </c>
      <c r="K160" s="5" t="str">
        <f t="shared" si="11"/>
        <v/>
      </c>
      <c r="L160">
        <f>IF(A160="",999,IFERROR(MATCH(B160,Config!$A$4:$A$7,0),99)*10+IF(ISNUMBER(F160),1,IF(F160="",2,IF(UPPER(F160)="DNF",3,IF(UPPER(F160)="DNS",4,8)))))</f>
        <v>999</v>
      </c>
    </row>
    <row r="161" spans="2:12" x14ac:dyDescent="0.25">
      <c r="B161" t="str">
        <f>IF(A161="","",IFERROR(INDEX(tblReg[Field],MATCH(A161,tblReg[Bib],0)),""))</f>
        <v/>
      </c>
      <c r="C161" t="str">
        <f>IF(A161="","",IFERROR(INDEX(tblReg[FirstName],MATCH(A161,tblReg[Bib],0)),""))</f>
        <v/>
      </c>
      <c r="D161" t="str">
        <f>IF(A161="","",IFERROR(INDEX(tblReg[LastName],MATCH(A161,tblReg[Bib],0)),""))</f>
        <v/>
      </c>
      <c r="E161" t="str">
        <f>IF(A161="","",IFERROR(INDEX(tblReg[Team],MATCH(A161,tblReg[Bib],0)),""))</f>
        <v/>
      </c>
      <c r="F161" s="4" t="s">
        <v>103</v>
      </c>
      <c r="G161" t="str">
        <f t="shared" si="8"/>
        <v/>
      </c>
      <c r="H161" t="str">
        <f t="shared" si="9"/>
        <v/>
      </c>
      <c r="I161">
        <f>IF(H161="",0,IFERROR(INDEX(Config!$K$4:$K$6,MATCH(H161,Config!$H$4:$H$6,0)),0))</f>
        <v>0</v>
      </c>
      <c r="J161" t="str">
        <f t="shared" si="10"/>
        <v/>
      </c>
      <c r="K161" s="5" t="str">
        <f t="shared" si="11"/>
        <v/>
      </c>
      <c r="L161">
        <f>IF(A161="",999,IFERROR(MATCH(B161,Config!$A$4:$A$7,0),99)*10+IF(ISNUMBER(F161),1,IF(F161="",2,IF(UPPER(F161)="DNF",3,IF(UPPER(F161)="DNS",4,8)))))</f>
        <v>999</v>
      </c>
    </row>
    <row r="162" spans="2:12" x14ac:dyDescent="0.25">
      <c r="B162" t="str">
        <f>IF(A162="","",IFERROR(INDEX(tblReg[Field],MATCH(A162,tblReg[Bib],0)),""))</f>
        <v/>
      </c>
      <c r="C162" t="str">
        <f>IF(A162="","",IFERROR(INDEX(tblReg[FirstName],MATCH(A162,tblReg[Bib],0)),""))</f>
        <v/>
      </c>
      <c r="D162" t="str">
        <f>IF(A162="","",IFERROR(INDEX(tblReg[LastName],MATCH(A162,tblReg[Bib],0)),""))</f>
        <v/>
      </c>
      <c r="E162" t="str">
        <f>IF(A162="","",IFERROR(INDEX(tblReg[Team],MATCH(A162,tblReg[Bib],0)),""))</f>
        <v/>
      </c>
      <c r="F162" s="4" t="s">
        <v>103</v>
      </c>
      <c r="G162" t="str">
        <f t="shared" si="8"/>
        <v/>
      </c>
      <c r="H162" t="str">
        <f t="shared" si="9"/>
        <v/>
      </c>
      <c r="I162">
        <f>IF(H162="",0,IFERROR(INDEX(Config!$K$4:$K$6,MATCH(H162,Config!$H$4:$H$6,0)),0))</f>
        <v>0</v>
      </c>
      <c r="J162" t="str">
        <f t="shared" si="10"/>
        <v/>
      </c>
      <c r="K162" s="5" t="str">
        <f t="shared" si="11"/>
        <v/>
      </c>
      <c r="L162">
        <f>IF(A162="",999,IFERROR(MATCH(B162,Config!$A$4:$A$7,0),99)*10+IF(ISNUMBER(F162),1,IF(F162="",2,IF(UPPER(F162)="DNF",3,IF(UPPER(F162)="DNS",4,8)))))</f>
        <v>999</v>
      </c>
    </row>
    <row r="163" spans="2:12" x14ac:dyDescent="0.25">
      <c r="B163" t="str">
        <f>IF(A163="","",IFERROR(INDEX(tblReg[Field],MATCH(A163,tblReg[Bib],0)),""))</f>
        <v/>
      </c>
      <c r="C163" t="str">
        <f>IF(A163="","",IFERROR(INDEX(tblReg[FirstName],MATCH(A163,tblReg[Bib],0)),""))</f>
        <v/>
      </c>
      <c r="D163" t="str">
        <f>IF(A163="","",IFERROR(INDEX(tblReg[LastName],MATCH(A163,tblReg[Bib],0)),""))</f>
        <v/>
      </c>
      <c r="E163" t="str">
        <f>IF(A163="","",IFERROR(INDEX(tblReg[Team],MATCH(A163,tblReg[Bib],0)),""))</f>
        <v/>
      </c>
      <c r="F163" s="4" t="s">
        <v>103</v>
      </c>
      <c r="G163" t="str">
        <f t="shared" si="8"/>
        <v/>
      </c>
      <c r="H163" t="str">
        <f t="shared" si="9"/>
        <v/>
      </c>
      <c r="I163">
        <f>IF(H163="",0,IFERROR(INDEX(Config!$K$4:$K$6,MATCH(H163,Config!$H$4:$H$6,0)),0))</f>
        <v>0</v>
      </c>
      <c r="J163" t="str">
        <f t="shared" si="10"/>
        <v/>
      </c>
      <c r="K163" s="5" t="str">
        <f t="shared" si="11"/>
        <v/>
      </c>
      <c r="L163">
        <f>IF(A163="",999,IFERROR(MATCH(B163,Config!$A$4:$A$7,0),99)*10+IF(ISNUMBER(F163),1,IF(F163="",2,IF(UPPER(F163)="DNF",3,IF(UPPER(F163)="DNS",4,8)))))</f>
        <v>999</v>
      </c>
    </row>
    <row r="164" spans="2:12" x14ac:dyDescent="0.25">
      <c r="B164" t="str">
        <f>IF(A164="","",IFERROR(INDEX(tblReg[Field],MATCH(A164,tblReg[Bib],0)),""))</f>
        <v/>
      </c>
      <c r="C164" t="str">
        <f>IF(A164="","",IFERROR(INDEX(tblReg[FirstName],MATCH(A164,tblReg[Bib],0)),""))</f>
        <v/>
      </c>
      <c r="D164" t="str">
        <f>IF(A164="","",IFERROR(INDEX(tblReg[LastName],MATCH(A164,tblReg[Bib],0)),""))</f>
        <v/>
      </c>
      <c r="E164" t="str">
        <f>IF(A164="","",IFERROR(INDEX(tblReg[Team],MATCH(A164,tblReg[Bib],0)),""))</f>
        <v/>
      </c>
      <c r="F164" s="4" t="s">
        <v>103</v>
      </c>
      <c r="G164" t="str">
        <f t="shared" si="8"/>
        <v/>
      </c>
      <c r="H164" t="str">
        <f t="shared" si="9"/>
        <v/>
      </c>
      <c r="I164">
        <f>IF(H164="",0,IFERROR(INDEX(Config!$K$4:$K$6,MATCH(H164,Config!$H$4:$H$6,0)),0))</f>
        <v>0</v>
      </c>
      <c r="J164" t="str">
        <f t="shared" si="10"/>
        <v/>
      </c>
      <c r="K164" s="5" t="str">
        <f t="shared" si="11"/>
        <v/>
      </c>
      <c r="L164">
        <f>IF(A164="",999,IFERROR(MATCH(B164,Config!$A$4:$A$7,0),99)*10+IF(ISNUMBER(F164),1,IF(F164="",2,IF(UPPER(F164)="DNF",3,IF(UPPER(F164)="DNS",4,8)))))</f>
        <v>999</v>
      </c>
    </row>
    <row r="165" spans="2:12" x14ac:dyDescent="0.25">
      <c r="B165" t="str">
        <f>IF(A165="","",IFERROR(INDEX(tblReg[Field],MATCH(A165,tblReg[Bib],0)),""))</f>
        <v/>
      </c>
      <c r="C165" t="str">
        <f>IF(A165="","",IFERROR(INDEX(tblReg[FirstName],MATCH(A165,tblReg[Bib],0)),""))</f>
        <v/>
      </c>
      <c r="D165" t="str">
        <f>IF(A165="","",IFERROR(INDEX(tblReg[LastName],MATCH(A165,tblReg[Bib],0)),""))</f>
        <v/>
      </c>
      <c r="E165" t="str">
        <f>IF(A165="","",IFERROR(INDEX(tblReg[Team],MATCH(A165,tblReg[Bib],0)),""))</f>
        <v/>
      </c>
      <c r="F165" s="4" t="s">
        <v>103</v>
      </c>
      <c r="G165" t="str">
        <f t="shared" si="8"/>
        <v/>
      </c>
      <c r="H165" t="str">
        <f t="shared" si="9"/>
        <v/>
      </c>
      <c r="I165">
        <f>IF(H165="",0,IFERROR(INDEX(Config!$K$4:$K$6,MATCH(H165,Config!$H$4:$H$6,0)),0))</f>
        <v>0</v>
      </c>
      <c r="J165" t="str">
        <f t="shared" si="10"/>
        <v/>
      </c>
      <c r="K165" s="5" t="str">
        <f t="shared" si="11"/>
        <v/>
      </c>
      <c r="L165">
        <f>IF(A165="",999,IFERROR(MATCH(B165,Config!$A$4:$A$7,0),99)*10+IF(ISNUMBER(F165),1,IF(F165="",2,IF(UPPER(F165)="DNF",3,IF(UPPER(F165)="DNS",4,8)))))</f>
        <v>999</v>
      </c>
    </row>
    <row r="166" spans="2:12" x14ac:dyDescent="0.25">
      <c r="B166" t="str">
        <f>IF(A166="","",IFERROR(INDEX(tblReg[Field],MATCH(A166,tblReg[Bib],0)),""))</f>
        <v/>
      </c>
      <c r="C166" t="str">
        <f>IF(A166="","",IFERROR(INDEX(tblReg[FirstName],MATCH(A166,tblReg[Bib],0)),""))</f>
        <v/>
      </c>
      <c r="D166" t="str">
        <f>IF(A166="","",IFERROR(INDEX(tblReg[LastName],MATCH(A166,tblReg[Bib],0)),""))</f>
        <v/>
      </c>
      <c r="E166" t="str">
        <f>IF(A166="","",IFERROR(INDEX(tblReg[Team],MATCH(A166,tblReg[Bib],0)),""))</f>
        <v/>
      </c>
      <c r="F166" s="4" t="s">
        <v>103</v>
      </c>
      <c r="G166" t="str">
        <f t="shared" si="8"/>
        <v/>
      </c>
      <c r="H166" t="str">
        <f t="shared" si="9"/>
        <v/>
      </c>
      <c r="I166">
        <f>IF(H166="",0,IFERROR(INDEX(Config!$K$4:$K$6,MATCH(H166,Config!$H$4:$H$6,0)),0))</f>
        <v>0</v>
      </c>
      <c r="J166" t="str">
        <f t="shared" si="10"/>
        <v/>
      </c>
      <c r="K166" s="5" t="str">
        <f t="shared" si="11"/>
        <v/>
      </c>
      <c r="L166">
        <f>IF(A166="",999,IFERROR(MATCH(B166,Config!$A$4:$A$7,0),99)*10+IF(ISNUMBER(F166),1,IF(F166="",2,IF(UPPER(F166)="DNF",3,IF(UPPER(F166)="DNS",4,8)))))</f>
        <v>999</v>
      </c>
    </row>
    <row r="167" spans="2:12" x14ac:dyDescent="0.25">
      <c r="B167" t="str">
        <f>IF(A167="","",IFERROR(INDEX(tblReg[Field],MATCH(A167,tblReg[Bib],0)),""))</f>
        <v/>
      </c>
      <c r="C167" t="str">
        <f>IF(A167="","",IFERROR(INDEX(tblReg[FirstName],MATCH(A167,tblReg[Bib],0)),""))</f>
        <v/>
      </c>
      <c r="D167" t="str">
        <f>IF(A167="","",IFERROR(INDEX(tblReg[LastName],MATCH(A167,tblReg[Bib],0)),""))</f>
        <v/>
      </c>
      <c r="E167" t="str">
        <f>IF(A167="","",IFERROR(INDEX(tblReg[Team],MATCH(A167,tblReg[Bib],0)),""))</f>
        <v/>
      </c>
      <c r="F167" s="4" t="s">
        <v>103</v>
      </c>
      <c r="G167" t="str">
        <f t="shared" si="8"/>
        <v/>
      </c>
      <c r="H167" t="str">
        <f t="shared" si="9"/>
        <v/>
      </c>
      <c r="I167">
        <f>IF(H167="",0,IFERROR(INDEX(Config!$K$4:$K$6,MATCH(H167,Config!$H$4:$H$6,0)),0))</f>
        <v>0</v>
      </c>
      <c r="J167" t="str">
        <f t="shared" si="10"/>
        <v/>
      </c>
      <c r="K167" s="5" t="str">
        <f t="shared" si="11"/>
        <v/>
      </c>
      <c r="L167">
        <f>IF(A167="",999,IFERROR(MATCH(B167,Config!$A$4:$A$7,0),99)*10+IF(ISNUMBER(F167),1,IF(F167="",2,IF(UPPER(F167)="DNF",3,IF(UPPER(F167)="DNS",4,8)))))</f>
        <v>999</v>
      </c>
    </row>
    <row r="168" spans="2:12" x14ac:dyDescent="0.25">
      <c r="B168" t="str">
        <f>IF(A168="","",IFERROR(INDEX(tblReg[Field],MATCH(A168,tblReg[Bib],0)),""))</f>
        <v/>
      </c>
      <c r="C168" t="str">
        <f>IF(A168="","",IFERROR(INDEX(tblReg[FirstName],MATCH(A168,tblReg[Bib],0)),""))</f>
        <v/>
      </c>
      <c r="D168" t="str">
        <f>IF(A168="","",IFERROR(INDEX(tblReg[LastName],MATCH(A168,tblReg[Bib],0)),""))</f>
        <v/>
      </c>
      <c r="E168" t="str">
        <f>IF(A168="","",IFERROR(INDEX(tblReg[Team],MATCH(A168,tblReg[Bib],0)),""))</f>
        <v/>
      </c>
      <c r="F168" s="4" t="s">
        <v>103</v>
      </c>
      <c r="G168" t="str">
        <f t="shared" si="8"/>
        <v/>
      </c>
      <c r="H168" t="str">
        <f t="shared" si="9"/>
        <v/>
      </c>
      <c r="I168">
        <f>IF(H168="",0,IFERROR(INDEX(Config!$K$4:$K$6,MATCH(H168,Config!$H$4:$H$6,0)),0))</f>
        <v>0</v>
      </c>
      <c r="J168" t="str">
        <f t="shared" si="10"/>
        <v/>
      </c>
      <c r="K168" s="5" t="str">
        <f t="shared" si="11"/>
        <v/>
      </c>
      <c r="L168">
        <f>IF(A168="",999,IFERROR(MATCH(B168,Config!$A$4:$A$7,0),99)*10+IF(ISNUMBER(F168),1,IF(F168="",2,IF(UPPER(F168)="DNF",3,IF(UPPER(F168)="DNS",4,8)))))</f>
        <v>999</v>
      </c>
    </row>
    <row r="169" spans="2:12" x14ac:dyDescent="0.25">
      <c r="B169" t="str">
        <f>IF(A169="","",IFERROR(INDEX(tblReg[Field],MATCH(A169,tblReg[Bib],0)),""))</f>
        <v/>
      </c>
      <c r="C169" t="str">
        <f>IF(A169="","",IFERROR(INDEX(tblReg[FirstName],MATCH(A169,tblReg[Bib],0)),""))</f>
        <v/>
      </c>
      <c r="D169" t="str">
        <f>IF(A169="","",IFERROR(INDEX(tblReg[LastName],MATCH(A169,tblReg[Bib],0)),""))</f>
        <v/>
      </c>
      <c r="E169" t="str">
        <f>IF(A169="","",IFERROR(INDEX(tblReg[Team],MATCH(A169,tblReg[Bib],0)),""))</f>
        <v/>
      </c>
      <c r="F169" s="4" t="s">
        <v>103</v>
      </c>
      <c r="G169" t="str">
        <f t="shared" si="8"/>
        <v/>
      </c>
      <c r="H169" t="str">
        <f t="shared" si="9"/>
        <v/>
      </c>
      <c r="I169">
        <f>IF(H169="",0,IFERROR(INDEX(Config!$K$4:$K$6,MATCH(H169,Config!$H$4:$H$6,0)),0))</f>
        <v>0</v>
      </c>
      <c r="J169" t="str">
        <f t="shared" si="10"/>
        <v/>
      </c>
      <c r="K169" s="5" t="str">
        <f t="shared" si="11"/>
        <v/>
      </c>
      <c r="L169">
        <f>IF(A169="",999,IFERROR(MATCH(B169,Config!$A$4:$A$7,0),99)*10+IF(ISNUMBER(F169),1,IF(F169="",2,IF(UPPER(F169)="DNF",3,IF(UPPER(F169)="DNS",4,8)))))</f>
        <v>999</v>
      </c>
    </row>
    <row r="170" spans="2:12" x14ac:dyDescent="0.25">
      <c r="B170" t="str">
        <f>IF(A170="","",IFERROR(INDEX(tblReg[Field],MATCH(A170,tblReg[Bib],0)),""))</f>
        <v/>
      </c>
      <c r="C170" t="str">
        <f>IF(A170="","",IFERROR(INDEX(tblReg[FirstName],MATCH(A170,tblReg[Bib],0)),""))</f>
        <v/>
      </c>
      <c r="D170" t="str">
        <f>IF(A170="","",IFERROR(INDEX(tblReg[LastName],MATCH(A170,tblReg[Bib],0)),""))</f>
        <v/>
      </c>
      <c r="E170" t="str">
        <f>IF(A170="","",IFERROR(INDEX(tblReg[Team],MATCH(A170,tblReg[Bib],0)),""))</f>
        <v/>
      </c>
      <c r="F170" s="4" t="s">
        <v>103</v>
      </c>
      <c r="G170" t="str">
        <f t="shared" si="8"/>
        <v/>
      </c>
      <c r="H170" t="str">
        <f t="shared" si="9"/>
        <v/>
      </c>
      <c r="I170">
        <f>IF(H170="",0,IFERROR(INDEX(Config!$K$4:$K$6,MATCH(H170,Config!$H$4:$H$6,0)),0))</f>
        <v>0</v>
      </c>
      <c r="J170" t="str">
        <f t="shared" si="10"/>
        <v/>
      </c>
      <c r="K170" s="5" t="str">
        <f t="shared" si="11"/>
        <v/>
      </c>
      <c r="L170">
        <f>IF(A170="",999,IFERROR(MATCH(B170,Config!$A$4:$A$7,0),99)*10+IF(ISNUMBER(F170),1,IF(F170="",2,IF(UPPER(F170)="DNF",3,IF(UPPER(F170)="DNS",4,8)))))</f>
        <v>999</v>
      </c>
    </row>
    <row r="171" spans="2:12" x14ac:dyDescent="0.25">
      <c r="B171" t="str">
        <f>IF(A171="","",IFERROR(INDEX(tblReg[Field],MATCH(A171,tblReg[Bib],0)),""))</f>
        <v/>
      </c>
      <c r="C171" t="str">
        <f>IF(A171="","",IFERROR(INDEX(tblReg[FirstName],MATCH(A171,tblReg[Bib],0)),""))</f>
        <v/>
      </c>
      <c r="D171" t="str">
        <f>IF(A171="","",IFERROR(INDEX(tblReg[LastName],MATCH(A171,tblReg[Bib],0)),""))</f>
        <v/>
      </c>
      <c r="E171" t="str">
        <f>IF(A171="","",IFERROR(INDEX(tblReg[Team],MATCH(A171,tblReg[Bib],0)),""))</f>
        <v/>
      </c>
      <c r="F171" s="4" t="s">
        <v>103</v>
      </c>
      <c r="G171" t="str">
        <f t="shared" si="8"/>
        <v/>
      </c>
      <c r="H171" t="str">
        <f t="shared" si="9"/>
        <v/>
      </c>
      <c r="I171">
        <f>IF(H171="",0,IFERROR(INDEX(Config!$K$4:$K$6,MATCH(H171,Config!$H$4:$H$6,0)),0))</f>
        <v>0</v>
      </c>
      <c r="J171" t="str">
        <f t="shared" si="10"/>
        <v/>
      </c>
      <c r="K171" s="5" t="str">
        <f t="shared" si="11"/>
        <v/>
      </c>
      <c r="L171">
        <f>IF(A171="",999,IFERROR(MATCH(B171,Config!$A$4:$A$7,0),99)*10+IF(ISNUMBER(F171),1,IF(F171="",2,IF(UPPER(F171)="DNF",3,IF(UPPER(F171)="DNS",4,8)))))</f>
        <v>999</v>
      </c>
    </row>
    <row r="172" spans="2:12" x14ac:dyDescent="0.25">
      <c r="B172" t="str">
        <f>IF(A172="","",IFERROR(INDEX(tblReg[Field],MATCH(A172,tblReg[Bib],0)),""))</f>
        <v/>
      </c>
      <c r="C172" t="str">
        <f>IF(A172="","",IFERROR(INDEX(tblReg[FirstName],MATCH(A172,tblReg[Bib],0)),""))</f>
        <v/>
      </c>
      <c r="D172" t="str">
        <f>IF(A172="","",IFERROR(INDEX(tblReg[LastName],MATCH(A172,tblReg[Bib],0)),""))</f>
        <v/>
      </c>
      <c r="E172" t="str">
        <f>IF(A172="","",IFERROR(INDEX(tblReg[Team],MATCH(A172,tblReg[Bib],0)),""))</f>
        <v/>
      </c>
      <c r="F172" s="4" t="s">
        <v>103</v>
      </c>
      <c r="G172" t="str">
        <f t="shared" si="8"/>
        <v/>
      </c>
      <c r="H172" t="str">
        <f t="shared" si="9"/>
        <v/>
      </c>
      <c r="I172">
        <f>IF(H172="",0,IFERROR(INDEX(Config!$K$4:$K$6,MATCH(H172,Config!$H$4:$H$6,0)),0))</f>
        <v>0</v>
      </c>
      <c r="J172" t="str">
        <f t="shared" si="10"/>
        <v/>
      </c>
      <c r="K172" s="5" t="str">
        <f t="shared" si="11"/>
        <v/>
      </c>
      <c r="L172">
        <f>IF(A172="",999,IFERROR(MATCH(B172,Config!$A$4:$A$7,0),99)*10+IF(ISNUMBER(F172),1,IF(F172="",2,IF(UPPER(F172)="DNF",3,IF(UPPER(F172)="DNS",4,8)))))</f>
        <v>999</v>
      </c>
    </row>
    <row r="173" spans="2:12" x14ac:dyDescent="0.25">
      <c r="B173" t="str">
        <f>IF(A173="","",IFERROR(INDEX(tblReg[Field],MATCH(A173,tblReg[Bib],0)),""))</f>
        <v/>
      </c>
      <c r="C173" t="str">
        <f>IF(A173="","",IFERROR(INDEX(tblReg[FirstName],MATCH(A173,tblReg[Bib],0)),""))</f>
        <v/>
      </c>
      <c r="D173" t="str">
        <f>IF(A173="","",IFERROR(INDEX(tblReg[LastName],MATCH(A173,tblReg[Bib],0)),""))</f>
        <v/>
      </c>
      <c r="E173" t="str">
        <f>IF(A173="","",IFERROR(INDEX(tblReg[Team],MATCH(A173,tblReg[Bib],0)),""))</f>
        <v/>
      </c>
      <c r="F173" s="4" t="s">
        <v>103</v>
      </c>
      <c r="G173" t="str">
        <f t="shared" si="8"/>
        <v/>
      </c>
      <c r="H173" t="str">
        <f t="shared" si="9"/>
        <v/>
      </c>
      <c r="I173">
        <f>IF(H173="",0,IFERROR(INDEX(Config!$K$4:$K$6,MATCH(H173,Config!$H$4:$H$6,0)),0))</f>
        <v>0</v>
      </c>
      <c r="J173" t="str">
        <f t="shared" si="10"/>
        <v/>
      </c>
      <c r="K173" s="5" t="str">
        <f t="shared" si="11"/>
        <v/>
      </c>
      <c r="L173">
        <f>IF(A173="",999,IFERROR(MATCH(B173,Config!$A$4:$A$7,0),99)*10+IF(ISNUMBER(F173),1,IF(F173="",2,IF(UPPER(F173)="DNF",3,IF(UPPER(F173)="DNS",4,8)))))</f>
        <v>999</v>
      </c>
    </row>
    <row r="174" spans="2:12" x14ac:dyDescent="0.25">
      <c r="B174" t="str">
        <f>IF(A174="","",IFERROR(INDEX(tblReg[Field],MATCH(A174,tblReg[Bib],0)),""))</f>
        <v/>
      </c>
      <c r="C174" t="str">
        <f>IF(A174="","",IFERROR(INDEX(tblReg[FirstName],MATCH(A174,tblReg[Bib],0)),""))</f>
        <v/>
      </c>
      <c r="D174" t="str">
        <f>IF(A174="","",IFERROR(INDEX(tblReg[LastName],MATCH(A174,tblReg[Bib],0)),""))</f>
        <v/>
      </c>
      <c r="E174" t="str">
        <f>IF(A174="","",IFERROR(INDEX(tblReg[Team],MATCH(A174,tblReg[Bib],0)),""))</f>
        <v/>
      </c>
      <c r="F174" s="4" t="s">
        <v>103</v>
      </c>
      <c r="G174" t="str">
        <f t="shared" si="8"/>
        <v/>
      </c>
      <c r="H174" t="str">
        <f t="shared" si="9"/>
        <v/>
      </c>
      <c r="I174">
        <f>IF(H174="",0,IFERROR(INDEX(Config!$K$4:$K$6,MATCH(H174,Config!$H$4:$H$6,0)),0))</f>
        <v>0</v>
      </c>
      <c r="J174" t="str">
        <f t="shared" si="10"/>
        <v/>
      </c>
      <c r="K174" s="5" t="str">
        <f t="shared" si="11"/>
        <v/>
      </c>
      <c r="L174">
        <f>IF(A174="",999,IFERROR(MATCH(B174,Config!$A$4:$A$7,0),99)*10+IF(ISNUMBER(F174),1,IF(F174="",2,IF(UPPER(F174)="DNF",3,IF(UPPER(F174)="DNS",4,8)))))</f>
        <v>999</v>
      </c>
    </row>
    <row r="175" spans="2:12" x14ac:dyDescent="0.25">
      <c r="B175" t="str">
        <f>IF(A175="","",IFERROR(INDEX(tblReg[Field],MATCH(A175,tblReg[Bib],0)),""))</f>
        <v/>
      </c>
      <c r="C175" t="str">
        <f>IF(A175="","",IFERROR(INDEX(tblReg[FirstName],MATCH(A175,tblReg[Bib],0)),""))</f>
        <v/>
      </c>
      <c r="D175" t="str">
        <f>IF(A175="","",IFERROR(INDEX(tblReg[LastName],MATCH(A175,tblReg[Bib],0)),""))</f>
        <v/>
      </c>
      <c r="E175" t="str">
        <f>IF(A175="","",IFERROR(INDEX(tblReg[Team],MATCH(A175,tblReg[Bib],0)),""))</f>
        <v/>
      </c>
      <c r="F175" s="4" t="s">
        <v>103</v>
      </c>
      <c r="G175" t="str">
        <f t="shared" si="8"/>
        <v/>
      </c>
      <c r="H175" t="str">
        <f t="shared" si="9"/>
        <v/>
      </c>
      <c r="I175">
        <f>IF(H175="",0,IFERROR(INDEX(Config!$K$4:$K$6,MATCH(H175,Config!$H$4:$H$6,0)),0))</f>
        <v>0</v>
      </c>
      <c r="J175" t="str">
        <f t="shared" si="10"/>
        <v/>
      </c>
      <c r="K175" s="5" t="str">
        <f t="shared" si="11"/>
        <v/>
      </c>
      <c r="L175">
        <f>IF(A175="",999,IFERROR(MATCH(B175,Config!$A$4:$A$7,0),99)*10+IF(ISNUMBER(F175),1,IF(F175="",2,IF(UPPER(F175)="DNF",3,IF(UPPER(F175)="DNS",4,8)))))</f>
        <v>999</v>
      </c>
    </row>
    <row r="176" spans="2:12" x14ac:dyDescent="0.25">
      <c r="B176" t="str">
        <f>IF(A176="","",IFERROR(INDEX(tblReg[Field],MATCH(A176,tblReg[Bib],0)),""))</f>
        <v/>
      </c>
      <c r="C176" t="str">
        <f>IF(A176="","",IFERROR(INDEX(tblReg[FirstName],MATCH(A176,tblReg[Bib],0)),""))</f>
        <v/>
      </c>
      <c r="D176" t="str">
        <f>IF(A176="","",IFERROR(INDEX(tblReg[LastName],MATCH(A176,tblReg[Bib],0)),""))</f>
        <v/>
      </c>
      <c r="E176" t="str">
        <f>IF(A176="","",IFERROR(INDEX(tblReg[Team],MATCH(A176,tblReg[Bib],0)),""))</f>
        <v/>
      </c>
      <c r="F176" s="4" t="s">
        <v>103</v>
      </c>
      <c r="G176" t="str">
        <f t="shared" si="8"/>
        <v/>
      </c>
      <c r="H176" t="str">
        <f t="shared" si="9"/>
        <v/>
      </c>
      <c r="I176">
        <f>IF(H176="",0,IFERROR(INDEX(Config!$K$4:$K$6,MATCH(H176,Config!$H$4:$H$6,0)),0))</f>
        <v>0</v>
      </c>
      <c r="J176" t="str">
        <f t="shared" si="10"/>
        <v/>
      </c>
      <c r="K176" s="5" t="str">
        <f t="shared" si="11"/>
        <v/>
      </c>
      <c r="L176">
        <f>IF(A176="",999,IFERROR(MATCH(B176,Config!$A$4:$A$7,0),99)*10+IF(ISNUMBER(F176),1,IF(F176="",2,IF(UPPER(F176)="DNF",3,IF(UPPER(F176)="DNS",4,8)))))</f>
        <v>999</v>
      </c>
    </row>
    <row r="177" spans="2:12" x14ac:dyDescent="0.25">
      <c r="B177" t="str">
        <f>IF(A177="","",IFERROR(INDEX(tblReg[Field],MATCH(A177,tblReg[Bib],0)),""))</f>
        <v/>
      </c>
      <c r="C177" t="str">
        <f>IF(A177="","",IFERROR(INDEX(tblReg[FirstName],MATCH(A177,tblReg[Bib],0)),""))</f>
        <v/>
      </c>
      <c r="D177" t="str">
        <f>IF(A177="","",IFERROR(INDEX(tblReg[LastName],MATCH(A177,tblReg[Bib],0)),""))</f>
        <v/>
      </c>
      <c r="E177" t="str">
        <f>IF(A177="","",IFERROR(INDEX(tblReg[Team],MATCH(A177,tblReg[Bib],0)),""))</f>
        <v/>
      </c>
      <c r="F177" s="4" t="s">
        <v>103</v>
      </c>
      <c r="G177" t="str">
        <f t="shared" si="8"/>
        <v/>
      </c>
      <c r="H177" t="str">
        <f t="shared" si="9"/>
        <v/>
      </c>
      <c r="I177">
        <f>IF(H177="",0,IFERROR(INDEX(Config!$K$4:$K$6,MATCH(H177,Config!$H$4:$H$6,0)),0))</f>
        <v>0</v>
      </c>
      <c r="J177" t="str">
        <f t="shared" si="10"/>
        <v/>
      </c>
      <c r="K177" s="5" t="str">
        <f t="shared" si="11"/>
        <v/>
      </c>
      <c r="L177">
        <f>IF(A177="",999,IFERROR(MATCH(B177,Config!$A$4:$A$7,0),99)*10+IF(ISNUMBER(F177),1,IF(F177="",2,IF(UPPER(F177)="DNF",3,IF(UPPER(F177)="DNS",4,8)))))</f>
        <v>999</v>
      </c>
    </row>
    <row r="178" spans="2:12" x14ac:dyDescent="0.25">
      <c r="B178" t="str">
        <f>IF(A178="","",IFERROR(INDEX(tblReg[Field],MATCH(A178,tblReg[Bib],0)),""))</f>
        <v/>
      </c>
      <c r="C178" t="str">
        <f>IF(A178="","",IFERROR(INDEX(tblReg[FirstName],MATCH(A178,tblReg[Bib],0)),""))</f>
        <v/>
      </c>
      <c r="D178" t="str">
        <f>IF(A178="","",IFERROR(INDEX(tblReg[LastName],MATCH(A178,tblReg[Bib],0)),""))</f>
        <v/>
      </c>
      <c r="E178" t="str">
        <f>IF(A178="","",IFERROR(INDEX(tblReg[Team],MATCH(A178,tblReg[Bib],0)),""))</f>
        <v/>
      </c>
      <c r="F178" s="4" t="s">
        <v>103</v>
      </c>
      <c r="G178" t="str">
        <f t="shared" si="8"/>
        <v/>
      </c>
      <c r="H178" t="str">
        <f t="shared" si="9"/>
        <v/>
      </c>
      <c r="I178">
        <f>IF(H178="",0,IFERROR(INDEX(Config!$K$4:$K$6,MATCH(H178,Config!$H$4:$H$6,0)),0))</f>
        <v>0</v>
      </c>
      <c r="J178" t="str">
        <f t="shared" si="10"/>
        <v/>
      </c>
      <c r="K178" s="5" t="str">
        <f t="shared" si="11"/>
        <v/>
      </c>
      <c r="L178">
        <f>IF(A178="",999,IFERROR(MATCH(B178,Config!$A$4:$A$7,0),99)*10+IF(ISNUMBER(F178),1,IF(F178="",2,IF(UPPER(F178)="DNF",3,IF(UPPER(F178)="DNS",4,8)))))</f>
        <v>999</v>
      </c>
    </row>
    <row r="179" spans="2:12" x14ac:dyDescent="0.25">
      <c r="B179" t="str">
        <f>IF(A179="","",IFERROR(INDEX(tblReg[Field],MATCH(A179,tblReg[Bib],0)),""))</f>
        <v/>
      </c>
      <c r="C179" t="str">
        <f>IF(A179="","",IFERROR(INDEX(tblReg[FirstName],MATCH(A179,tblReg[Bib],0)),""))</f>
        <v/>
      </c>
      <c r="D179" t="str">
        <f>IF(A179="","",IFERROR(INDEX(tblReg[LastName],MATCH(A179,tblReg[Bib],0)),""))</f>
        <v/>
      </c>
      <c r="E179" t="str">
        <f>IF(A179="","",IFERROR(INDEX(tblReg[Team],MATCH(A179,tblReg[Bib],0)),""))</f>
        <v/>
      </c>
      <c r="F179" s="4" t="s">
        <v>103</v>
      </c>
      <c r="G179" t="str">
        <f t="shared" si="8"/>
        <v/>
      </c>
      <c r="H179" t="str">
        <f t="shared" si="9"/>
        <v/>
      </c>
      <c r="I179">
        <f>IF(H179="",0,IFERROR(INDEX(Config!$K$4:$K$6,MATCH(H179,Config!$H$4:$H$6,0)),0))</f>
        <v>0</v>
      </c>
      <c r="J179" t="str">
        <f t="shared" si="10"/>
        <v/>
      </c>
      <c r="K179" s="5" t="str">
        <f t="shared" si="11"/>
        <v/>
      </c>
      <c r="L179">
        <f>IF(A179="",999,IFERROR(MATCH(B179,Config!$A$4:$A$7,0),99)*10+IF(ISNUMBER(F179),1,IF(F179="",2,IF(UPPER(F179)="DNF",3,IF(UPPER(F179)="DNS",4,8)))))</f>
        <v>999</v>
      </c>
    </row>
    <row r="180" spans="2:12" x14ac:dyDescent="0.25">
      <c r="B180" t="str">
        <f>IF(A180="","",IFERROR(INDEX(tblReg[Field],MATCH(A180,tblReg[Bib],0)),""))</f>
        <v/>
      </c>
      <c r="C180" t="str">
        <f>IF(A180="","",IFERROR(INDEX(tblReg[FirstName],MATCH(A180,tblReg[Bib],0)),""))</f>
        <v/>
      </c>
      <c r="D180" t="str">
        <f>IF(A180="","",IFERROR(INDEX(tblReg[LastName],MATCH(A180,tblReg[Bib],0)),""))</f>
        <v/>
      </c>
      <c r="E180" t="str">
        <f>IF(A180="","",IFERROR(INDEX(tblReg[Team],MATCH(A180,tblReg[Bib],0)),""))</f>
        <v/>
      </c>
      <c r="F180" s="4" t="s">
        <v>103</v>
      </c>
      <c r="G180" t="str">
        <f t="shared" si="8"/>
        <v/>
      </c>
      <c r="H180" t="str">
        <f t="shared" si="9"/>
        <v/>
      </c>
      <c r="I180">
        <f>IF(H180="",0,IFERROR(INDEX(Config!$K$4:$K$6,MATCH(H180,Config!$H$4:$H$6,0)),0))</f>
        <v>0</v>
      </c>
      <c r="J180" t="str">
        <f t="shared" si="10"/>
        <v/>
      </c>
      <c r="K180" s="5" t="str">
        <f t="shared" si="11"/>
        <v/>
      </c>
      <c r="L180">
        <f>IF(A180="",999,IFERROR(MATCH(B180,Config!$A$4:$A$7,0),99)*10+IF(ISNUMBER(F180),1,IF(F180="",2,IF(UPPER(F180)="DNF",3,IF(UPPER(F180)="DNS",4,8)))))</f>
        <v>999</v>
      </c>
    </row>
    <row r="181" spans="2:12" x14ac:dyDescent="0.25">
      <c r="B181" t="str">
        <f>IF(A181="","",IFERROR(INDEX(tblReg[Field],MATCH(A181,tblReg[Bib],0)),""))</f>
        <v/>
      </c>
      <c r="C181" t="str">
        <f>IF(A181="","",IFERROR(INDEX(tblReg[FirstName],MATCH(A181,tblReg[Bib],0)),""))</f>
        <v/>
      </c>
      <c r="D181" t="str">
        <f>IF(A181="","",IFERROR(INDEX(tblReg[LastName],MATCH(A181,tblReg[Bib],0)),""))</f>
        <v/>
      </c>
      <c r="E181" t="str">
        <f>IF(A181="","",IFERROR(INDEX(tblReg[Team],MATCH(A181,tblReg[Bib],0)),""))</f>
        <v/>
      </c>
      <c r="F181" s="4" t="s">
        <v>103</v>
      </c>
      <c r="G181" t="str">
        <f t="shared" si="8"/>
        <v/>
      </c>
      <c r="H181" t="str">
        <f t="shared" si="9"/>
        <v/>
      </c>
      <c r="I181">
        <f>IF(H181="",0,IFERROR(INDEX(Config!$K$4:$K$6,MATCH(H181,Config!$H$4:$H$6,0)),0))</f>
        <v>0</v>
      </c>
      <c r="J181" t="str">
        <f t="shared" si="10"/>
        <v/>
      </c>
      <c r="K181" s="5" t="str">
        <f t="shared" si="11"/>
        <v/>
      </c>
      <c r="L181">
        <f>IF(A181="",999,IFERROR(MATCH(B181,Config!$A$4:$A$7,0),99)*10+IF(ISNUMBER(F181),1,IF(F181="",2,IF(UPPER(F181)="DNF",3,IF(UPPER(F181)="DNS",4,8)))))</f>
        <v>999</v>
      </c>
    </row>
    <row r="182" spans="2:12" x14ac:dyDescent="0.25">
      <c r="B182" t="str">
        <f>IF(A182="","",IFERROR(INDEX(tblReg[Field],MATCH(A182,tblReg[Bib],0)),""))</f>
        <v/>
      </c>
      <c r="C182" t="str">
        <f>IF(A182="","",IFERROR(INDEX(tblReg[FirstName],MATCH(A182,tblReg[Bib],0)),""))</f>
        <v/>
      </c>
      <c r="D182" t="str">
        <f>IF(A182="","",IFERROR(INDEX(tblReg[LastName],MATCH(A182,tblReg[Bib],0)),""))</f>
        <v/>
      </c>
      <c r="E182" t="str">
        <f>IF(A182="","",IFERROR(INDEX(tblReg[Team],MATCH(A182,tblReg[Bib],0)),""))</f>
        <v/>
      </c>
      <c r="F182" s="4" t="s">
        <v>103</v>
      </c>
      <c r="G182" t="str">
        <f t="shared" si="8"/>
        <v/>
      </c>
      <c r="H182" t="str">
        <f t="shared" si="9"/>
        <v/>
      </c>
      <c r="I182">
        <f>IF(H182="",0,IFERROR(INDEX(Config!$K$4:$K$6,MATCH(H182,Config!$H$4:$H$6,0)),0))</f>
        <v>0</v>
      </c>
      <c r="J182" t="str">
        <f t="shared" si="10"/>
        <v/>
      </c>
      <c r="K182" s="5" t="str">
        <f t="shared" si="11"/>
        <v/>
      </c>
      <c r="L182">
        <f>IF(A182="",999,IFERROR(MATCH(B182,Config!$A$4:$A$7,0),99)*10+IF(ISNUMBER(F182),1,IF(F182="",2,IF(UPPER(F182)="DNF",3,IF(UPPER(F182)="DNS",4,8)))))</f>
        <v>999</v>
      </c>
    </row>
    <row r="183" spans="2:12" x14ac:dyDescent="0.25">
      <c r="B183" t="str">
        <f>IF(A183="","",IFERROR(INDEX(tblReg[Field],MATCH(A183,tblReg[Bib],0)),""))</f>
        <v/>
      </c>
      <c r="C183" t="str">
        <f>IF(A183="","",IFERROR(INDEX(tblReg[FirstName],MATCH(A183,tblReg[Bib],0)),""))</f>
        <v/>
      </c>
      <c r="D183" t="str">
        <f>IF(A183="","",IFERROR(INDEX(tblReg[LastName],MATCH(A183,tblReg[Bib],0)),""))</f>
        <v/>
      </c>
      <c r="E183" t="str">
        <f>IF(A183="","",IFERROR(INDEX(tblReg[Team],MATCH(A183,tblReg[Bib],0)),""))</f>
        <v/>
      </c>
      <c r="F183" s="4" t="s">
        <v>103</v>
      </c>
      <c r="G183" t="str">
        <f t="shared" si="8"/>
        <v/>
      </c>
      <c r="H183" t="str">
        <f t="shared" si="9"/>
        <v/>
      </c>
      <c r="I183">
        <f>IF(H183="",0,IFERROR(INDEX(Config!$K$4:$K$6,MATCH(H183,Config!$H$4:$H$6,0)),0))</f>
        <v>0</v>
      </c>
      <c r="J183" t="str">
        <f t="shared" si="10"/>
        <v/>
      </c>
      <c r="K183" s="5" t="str">
        <f t="shared" si="11"/>
        <v/>
      </c>
      <c r="L183">
        <f>IF(A183="",999,IFERROR(MATCH(B183,Config!$A$4:$A$7,0),99)*10+IF(ISNUMBER(F183),1,IF(F183="",2,IF(UPPER(F183)="DNF",3,IF(UPPER(F183)="DNS",4,8)))))</f>
        <v>999</v>
      </c>
    </row>
    <row r="184" spans="2:12" x14ac:dyDescent="0.25">
      <c r="B184" t="str">
        <f>IF(A184="","",IFERROR(INDEX(tblReg[Field],MATCH(A184,tblReg[Bib],0)),""))</f>
        <v/>
      </c>
      <c r="C184" t="str">
        <f>IF(A184="","",IFERROR(INDEX(tblReg[FirstName],MATCH(A184,tblReg[Bib],0)),""))</f>
        <v/>
      </c>
      <c r="D184" t="str">
        <f>IF(A184="","",IFERROR(INDEX(tblReg[LastName],MATCH(A184,tblReg[Bib],0)),""))</f>
        <v/>
      </c>
      <c r="E184" t="str">
        <f>IF(A184="","",IFERROR(INDEX(tblReg[Team],MATCH(A184,tblReg[Bib],0)),""))</f>
        <v/>
      </c>
      <c r="F184" s="4" t="s">
        <v>103</v>
      </c>
      <c r="G184" t="str">
        <f t="shared" si="8"/>
        <v/>
      </c>
      <c r="H184" t="str">
        <f t="shared" si="9"/>
        <v/>
      </c>
      <c r="I184">
        <f>IF(H184="",0,IFERROR(INDEX(Config!$K$4:$K$6,MATCH(H184,Config!$H$4:$H$6,0)),0))</f>
        <v>0</v>
      </c>
      <c r="J184" t="str">
        <f t="shared" si="10"/>
        <v/>
      </c>
      <c r="K184" s="5" t="str">
        <f t="shared" si="11"/>
        <v/>
      </c>
      <c r="L184">
        <f>IF(A184="",999,IFERROR(MATCH(B184,Config!$A$4:$A$7,0),99)*10+IF(ISNUMBER(F184),1,IF(F184="",2,IF(UPPER(F184)="DNF",3,IF(UPPER(F184)="DNS",4,8)))))</f>
        <v>999</v>
      </c>
    </row>
    <row r="185" spans="2:12" x14ac:dyDescent="0.25">
      <c r="B185" t="str">
        <f>IF(A185="","",IFERROR(INDEX(tblReg[Field],MATCH(A185,tblReg[Bib],0)),""))</f>
        <v/>
      </c>
      <c r="C185" t="str">
        <f>IF(A185="","",IFERROR(INDEX(tblReg[FirstName],MATCH(A185,tblReg[Bib],0)),""))</f>
        <v/>
      </c>
      <c r="D185" t="str">
        <f>IF(A185="","",IFERROR(INDEX(tblReg[LastName],MATCH(A185,tblReg[Bib],0)),""))</f>
        <v/>
      </c>
      <c r="E185" t="str">
        <f>IF(A185="","",IFERROR(INDEX(tblReg[Team],MATCH(A185,tblReg[Bib],0)),""))</f>
        <v/>
      </c>
      <c r="F185" s="4" t="s">
        <v>103</v>
      </c>
      <c r="G185" t="str">
        <f t="shared" si="8"/>
        <v/>
      </c>
      <c r="H185" t="str">
        <f t="shared" si="9"/>
        <v/>
      </c>
      <c r="I185">
        <f>IF(H185="",0,IFERROR(INDEX(Config!$K$4:$K$6,MATCH(H185,Config!$H$4:$H$6,0)),0))</f>
        <v>0</v>
      </c>
      <c r="J185" t="str">
        <f t="shared" si="10"/>
        <v/>
      </c>
      <c r="K185" s="5" t="str">
        <f t="shared" si="11"/>
        <v/>
      </c>
      <c r="L185">
        <f>IF(A185="",999,IFERROR(MATCH(B185,Config!$A$4:$A$7,0),99)*10+IF(ISNUMBER(F185),1,IF(F185="",2,IF(UPPER(F185)="DNF",3,IF(UPPER(F185)="DNS",4,8)))))</f>
        <v>999</v>
      </c>
    </row>
    <row r="186" spans="2:12" x14ac:dyDescent="0.25">
      <c r="B186" t="str">
        <f>IF(A186="","",IFERROR(INDEX(tblReg[Field],MATCH(A186,tblReg[Bib],0)),""))</f>
        <v/>
      </c>
      <c r="C186" t="str">
        <f>IF(A186="","",IFERROR(INDEX(tblReg[FirstName],MATCH(A186,tblReg[Bib],0)),""))</f>
        <v/>
      </c>
      <c r="D186" t="str">
        <f>IF(A186="","",IFERROR(INDEX(tblReg[LastName],MATCH(A186,tblReg[Bib],0)),""))</f>
        <v/>
      </c>
      <c r="E186" t="str">
        <f>IF(A186="","",IFERROR(INDEX(tblReg[Team],MATCH(A186,tblReg[Bib],0)),""))</f>
        <v/>
      </c>
      <c r="F186" s="4" t="s">
        <v>103</v>
      </c>
      <c r="G186" t="str">
        <f t="shared" si="8"/>
        <v/>
      </c>
      <c r="H186" t="str">
        <f t="shared" si="9"/>
        <v/>
      </c>
      <c r="I186">
        <f>IF(H186="",0,IFERROR(INDEX(Config!$K$4:$K$6,MATCH(H186,Config!$H$4:$H$6,0)),0))</f>
        <v>0</v>
      </c>
      <c r="J186" t="str">
        <f t="shared" si="10"/>
        <v/>
      </c>
      <c r="K186" s="5" t="str">
        <f t="shared" si="11"/>
        <v/>
      </c>
      <c r="L186">
        <f>IF(A186="",999,IFERROR(MATCH(B186,Config!$A$4:$A$7,0),99)*10+IF(ISNUMBER(F186),1,IF(F186="",2,IF(UPPER(F186)="DNF",3,IF(UPPER(F186)="DNS",4,8)))))</f>
        <v>999</v>
      </c>
    </row>
    <row r="187" spans="2:12" x14ac:dyDescent="0.25">
      <c r="B187" t="str">
        <f>IF(A187="","",IFERROR(INDEX(tblReg[Field],MATCH(A187,tblReg[Bib],0)),""))</f>
        <v/>
      </c>
      <c r="C187" t="str">
        <f>IF(A187="","",IFERROR(INDEX(tblReg[FirstName],MATCH(A187,tblReg[Bib],0)),""))</f>
        <v/>
      </c>
      <c r="D187" t="str">
        <f>IF(A187="","",IFERROR(INDEX(tblReg[LastName],MATCH(A187,tblReg[Bib],0)),""))</f>
        <v/>
      </c>
      <c r="E187" t="str">
        <f>IF(A187="","",IFERROR(INDEX(tblReg[Team],MATCH(A187,tblReg[Bib],0)),""))</f>
        <v/>
      </c>
      <c r="F187" s="4" t="s">
        <v>103</v>
      </c>
      <c r="G187" t="str">
        <f t="shared" si="8"/>
        <v/>
      </c>
      <c r="H187" t="str">
        <f t="shared" si="9"/>
        <v/>
      </c>
      <c r="I187">
        <f>IF(H187="",0,IFERROR(INDEX(Config!$K$4:$K$6,MATCH(H187,Config!$H$4:$H$6,0)),0))</f>
        <v>0</v>
      </c>
      <c r="J187" t="str">
        <f t="shared" si="10"/>
        <v/>
      </c>
      <c r="K187" s="5" t="str">
        <f t="shared" si="11"/>
        <v/>
      </c>
      <c r="L187">
        <f>IF(A187="",999,IFERROR(MATCH(B187,Config!$A$4:$A$7,0),99)*10+IF(ISNUMBER(F187),1,IF(F187="",2,IF(UPPER(F187)="DNF",3,IF(UPPER(F187)="DNS",4,8)))))</f>
        <v>999</v>
      </c>
    </row>
    <row r="188" spans="2:12" x14ac:dyDescent="0.25">
      <c r="B188" t="str">
        <f>IF(A188="","",IFERROR(INDEX(tblReg[Field],MATCH(A188,tblReg[Bib],0)),""))</f>
        <v/>
      </c>
      <c r="C188" t="str">
        <f>IF(A188="","",IFERROR(INDEX(tblReg[FirstName],MATCH(A188,tblReg[Bib],0)),""))</f>
        <v/>
      </c>
      <c r="D188" t="str">
        <f>IF(A188="","",IFERROR(INDEX(tblReg[LastName],MATCH(A188,tblReg[Bib],0)),""))</f>
        <v/>
      </c>
      <c r="E188" t="str">
        <f>IF(A188="","",IFERROR(INDEX(tblReg[Team],MATCH(A188,tblReg[Bib],0)),""))</f>
        <v/>
      </c>
      <c r="F188" s="4" t="s">
        <v>103</v>
      </c>
      <c r="G188" t="str">
        <f t="shared" si="8"/>
        <v/>
      </c>
      <c r="H188" t="str">
        <f t="shared" si="9"/>
        <v/>
      </c>
      <c r="I188">
        <f>IF(H188="",0,IFERROR(INDEX(Config!$K$4:$K$6,MATCH(H188,Config!$H$4:$H$6,0)),0))</f>
        <v>0</v>
      </c>
      <c r="J188" t="str">
        <f t="shared" si="10"/>
        <v/>
      </c>
      <c r="K188" s="5" t="str">
        <f t="shared" si="11"/>
        <v/>
      </c>
      <c r="L188">
        <f>IF(A188="",999,IFERROR(MATCH(B188,Config!$A$4:$A$7,0),99)*10+IF(ISNUMBER(F188),1,IF(F188="",2,IF(UPPER(F188)="DNF",3,IF(UPPER(F188)="DNS",4,8)))))</f>
        <v>999</v>
      </c>
    </row>
    <row r="189" spans="2:12" x14ac:dyDescent="0.25">
      <c r="B189" t="str">
        <f>IF(A189="","",IFERROR(INDEX(tblReg[Field],MATCH(A189,tblReg[Bib],0)),""))</f>
        <v/>
      </c>
      <c r="C189" t="str">
        <f>IF(A189="","",IFERROR(INDEX(tblReg[FirstName],MATCH(A189,tblReg[Bib],0)),""))</f>
        <v/>
      </c>
      <c r="D189" t="str">
        <f>IF(A189="","",IFERROR(INDEX(tblReg[LastName],MATCH(A189,tblReg[Bib],0)),""))</f>
        <v/>
      </c>
      <c r="E189" t="str">
        <f>IF(A189="","",IFERROR(INDEX(tblReg[Team],MATCH(A189,tblReg[Bib],0)),""))</f>
        <v/>
      </c>
      <c r="F189" s="4" t="s">
        <v>103</v>
      </c>
      <c r="G189" t="str">
        <f t="shared" si="8"/>
        <v/>
      </c>
      <c r="H189" t="str">
        <f t="shared" si="9"/>
        <v/>
      </c>
      <c r="I189">
        <f>IF(H189="",0,IFERROR(INDEX(Config!$K$4:$K$6,MATCH(H189,Config!$H$4:$H$6,0)),0))</f>
        <v>0</v>
      </c>
      <c r="J189" t="str">
        <f t="shared" si="10"/>
        <v/>
      </c>
      <c r="K189" s="5" t="str">
        <f t="shared" si="11"/>
        <v/>
      </c>
      <c r="L189">
        <f>IF(A189="",999,IFERROR(MATCH(B189,Config!$A$4:$A$7,0),99)*10+IF(ISNUMBER(F189),1,IF(F189="",2,IF(UPPER(F189)="DNF",3,IF(UPPER(F189)="DNS",4,8)))))</f>
        <v>999</v>
      </c>
    </row>
    <row r="190" spans="2:12" x14ac:dyDescent="0.25">
      <c r="B190" t="str">
        <f>IF(A190="","",IFERROR(INDEX(tblReg[Field],MATCH(A190,tblReg[Bib],0)),""))</f>
        <v/>
      </c>
      <c r="C190" t="str">
        <f>IF(A190="","",IFERROR(INDEX(tblReg[FirstName],MATCH(A190,tblReg[Bib],0)),""))</f>
        <v/>
      </c>
      <c r="D190" t="str">
        <f>IF(A190="","",IFERROR(INDEX(tblReg[LastName],MATCH(A190,tblReg[Bib],0)),""))</f>
        <v/>
      </c>
      <c r="E190" t="str">
        <f>IF(A190="","",IFERROR(INDEX(tblReg[Team],MATCH(A190,tblReg[Bib],0)),""))</f>
        <v/>
      </c>
      <c r="F190" s="4" t="s">
        <v>103</v>
      </c>
      <c r="G190" t="str">
        <f t="shared" si="8"/>
        <v/>
      </c>
      <c r="H190" t="str">
        <f t="shared" si="9"/>
        <v/>
      </c>
      <c r="I190">
        <f>IF(H190="",0,IFERROR(INDEX(Config!$K$4:$K$6,MATCH(H190,Config!$H$4:$H$6,0)),0))</f>
        <v>0</v>
      </c>
      <c r="J190" t="str">
        <f t="shared" si="10"/>
        <v/>
      </c>
      <c r="K190" s="5" t="str">
        <f t="shared" si="11"/>
        <v/>
      </c>
      <c r="L190">
        <f>IF(A190="",999,IFERROR(MATCH(B190,Config!$A$4:$A$7,0),99)*10+IF(ISNUMBER(F190),1,IF(F190="",2,IF(UPPER(F190)="DNF",3,IF(UPPER(F190)="DNS",4,8)))))</f>
        <v>999</v>
      </c>
    </row>
    <row r="191" spans="2:12" x14ac:dyDescent="0.25">
      <c r="B191" t="str">
        <f>IF(A191="","",IFERROR(INDEX(tblReg[Field],MATCH(A191,tblReg[Bib],0)),""))</f>
        <v/>
      </c>
      <c r="C191" t="str">
        <f>IF(A191="","",IFERROR(INDEX(tblReg[FirstName],MATCH(A191,tblReg[Bib],0)),""))</f>
        <v/>
      </c>
      <c r="D191" t="str">
        <f>IF(A191="","",IFERROR(INDEX(tblReg[LastName],MATCH(A191,tblReg[Bib],0)),""))</f>
        <v/>
      </c>
      <c r="E191" t="str">
        <f>IF(A191="","",IFERROR(INDEX(tblReg[Team],MATCH(A191,tblReg[Bib],0)),""))</f>
        <v/>
      </c>
      <c r="F191" s="4" t="s">
        <v>103</v>
      </c>
      <c r="G191" t="str">
        <f t="shared" si="8"/>
        <v/>
      </c>
      <c r="H191" t="str">
        <f t="shared" si="9"/>
        <v/>
      </c>
      <c r="I191">
        <f>IF(H191="",0,IFERROR(INDEX(Config!$K$4:$K$6,MATCH(H191,Config!$H$4:$H$6,0)),0))</f>
        <v>0</v>
      </c>
      <c r="J191" t="str">
        <f t="shared" si="10"/>
        <v/>
      </c>
      <c r="K191" s="5" t="str">
        <f t="shared" si="11"/>
        <v/>
      </c>
      <c r="L191">
        <f>IF(A191="",999,IFERROR(MATCH(B191,Config!$A$4:$A$7,0),99)*10+IF(ISNUMBER(F191),1,IF(F191="",2,IF(UPPER(F191)="DNF",3,IF(UPPER(F191)="DNS",4,8)))))</f>
        <v>999</v>
      </c>
    </row>
    <row r="192" spans="2:12" x14ac:dyDescent="0.25">
      <c r="B192" t="str">
        <f>IF(A192="","",IFERROR(INDEX(tblReg[Field],MATCH(A192,tblReg[Bib],0)),""))</f>
        <v/>
      </c>
      <c r="C192" t="str">
        <f>IF(A192="","",IFERROR(INDEX(tblReg[FirstName],MATCH(A192,tblReg[Bib],0)),""))</f>
        <v/>
      </c>
      <c r="D192" t="str">
        <f>IF(A192="","",IFERROR(INDEX(tblReg[LastName],MATCH(A192,tblReg[Bib],0)),""))</f>
        <v/>
      </c>
      <c r="E192" t="str">
        <f>IF(A192="","",IFERROR(INDEX(tblReg[Team],MATCH(A192,tblReg[Bib],0)),""))</f>
        <v/>
      </c>
      <c r="F192" s="4" t="s">
        <v>103</v>
      </c>
      <c r="G192" t="str">
        <f t="shared" si="8"/>
        <v/>
      </c>
      <c r="H192" t="str">
        <f t="shared" si="9"/>
        <v/>
      </c>
      <c r="I192">
        <f>IF(H192="",0,IFERROR(INDEX(Config!$K$4:$K$6,MATCH(H192,Config!$H$4:$H$6,0)),0))</f>
        <v>0</v>
      </c>
      <c r="J192" t="str">
        <f t="shared" si="10"/>
        <v/>
      </c>
      <c r="K192" s="5" t="str">
        <f t="shared" si="11"/>
        <v/>
      </c>
      <c r="L192">
        <f>IF(A192="",999,IFERROR(MATCH(B192,Config!$A$4:$A$7,0),99)*10+IF(ISNUMBER(F192),1,IF(F192="",2,IF(UPPER(F192)="DNF",3,IF(UPPER(F192)="DNS",4,8)))))</f>
        <v>999</v>
      </c>
    </row>
    <row r="193" spans="2:12" x14ac:dyDescent="0.25">
      <c r="B193" t="str">
        <f>IF(A193="","",IFERROR(INDEX(tblReg[Field],MATCH(A193,tblReg[Bib],0)),""))</f>
        <v/>
      </c>
      <c r="C193" t="str">
        <f>IF(A193="","",IFERROR(INDEX(tblReg[FirstName],MATCH(A193,tblReg[Bib],0)),""))</f>
        <v/>
      </c>
      <c r="D193" t="str">
        <f>IF(A193="","",IFERROR(INDEX(tblReg[LastName],MATCH(A193,tblReg[Bib],0)),""))</f>
        <v/>
      </c>
      <c r="E193" t="str">
        <f>IF(A193="","",IFERROR(INDEX(tblReg[Team],MATCH(A193,tblReg[Bib],0)),""))</f>
        <v/>
      </c>
      <c r="F193" s="4" t="s">
        <v>103</v>
      </c>
      <c r="G193" t="str">
        <f t="shared" si="8"/>
        <v/>
      </c>
      <c r="H193" t="str">
        <f t="shared" si="9"/>
        <v/>
      </c>
      <c r="I193">
        <f>IF(H193="",0,IFERROR(INDEX(Config!$K$4:$K$6,MATCH(H193,Config!$H$4:$H$6,0)),0))</f>
        <v>0</v>
      </c>
      <c r="J193" t="str">
        <f t="shared" si="10"/>
        <v/>
      </c>
      <c r="K193" s="5" t="str">
        <f t="shared" si="11"/>
        <v/>
      </c>
      <c r="L193">
        <f>IF(A193="",999,IFERROR(MATCH(B193,Config!$A$4:$A$7,0),99)*10+IF(ISNUMBER(F193),1,IF(F193="",2,IF(UPPER(F193)="DNF",3,IF(UPPER(F193)="DNS",4,8)))))</f>
        <v>999</v>
      </c>
    </row>
    <row r="194" spans="2:12" x14ac:dyDescent="0.25">
      <c r="B194" t="str">
        <f>IF(A194="","",IFERROR(INDEX(tblReg[Field],MATCH(A194,tblReg[Bib],0)),""))</f>
        <v/>
      </c>
      <c r="C194" t="str">
        <f>IF(A194="","",IFERROR(INDEX(tblReg[FirstName],MATCH(A194,tblReg[Bib],0)),""))</f>
        <v/>
      </c>
      <c r="D194" t="str">
        <f>IF(A194="","",IFERROR(INDEX(tblReg[LastName],MATCH(A194,tblReg[Bib],0)),""))</f>
        <v/>
      </c>
      <c r="E194" t="str">
        <f>IF(A194="","",IFERROR(INDEX(tblReg[Team],MATCH(A194,tblReg[Bib],0)),""))</f>
        <v/>
      </c>
      <c r="F194" s="4" t="s">
        <v>103</v>
      </c>
      <c r="G194" t="str">
        <f t="shared" ref="G194:G251" si="12">IF(OR(F194="",UPPER(F194)="DNF",UPPER(F194)="DNS"),"",HOUR(F194)*3600 + MINUTE(F194)*60 + SECOND(F194))</f>
        <v/>
      </c>
      <c r="H194" t="str">
        <f t="shared" ref="H194:H251" si="13">IF(OR(A194="",B194=""),"",IF(ISNUMBER(G194),1+COUNTIFS($B$2:$B$251,B194,$G$2:$G$251,"&lt;"&amp;G194),IF(F194="",COUNTIFS($B$2:$B$251,B194,$G$2:$G$251,"&gt;=0")+COUNTIFS($B$2:$B$251,B194,$F$2:$F$251,"",$A$2:$A$251,"&lt;"&amp;A194)+1,"")))</f>
        <v/>
      </c>
      <c r="I194">
        <f>IF(H194="",0,IFERROR(INDEX(Config!$K$4:$K$6,MATCH(H194,Config!$H$4:$H$6,0)),0))</f>
        <v>0</v>
      </c>
      <c r="J194" t="str">
        <f t="shared" ref="J194:J251" si="14">IF(G194="","",G194-I194)</f>
        <v/>
      </c>
      <c r="K194" s="5" t="str">
        <f t="shared" ref="K194:K251" si="15">IF(J194="","",J194/86400)</f>
        <v/>
      </c>
      <c r="L194">
        <f>IF(A194="",999,IFERROR(MATCH(B194,Config!$A$4:$A$7,0),99)*10+IF(ISNUMBER(F194),1,IF(F194="",2,IF(UPPER(F194)="DNF",3,IF(UPPER(F194)="DNS",4,8)))))</f>
        <v>999</v>
      </c>
    </row>
    <row r="195" spans="2:12" x14ac:dyDescent="0.25">
      <c r="B195" t="str">
        <f>IF(A195="","",IFERROR(INDEX(tblReg[Field],MATCH(A195,tblReg[Bib],0)),""))</f>
        <v/>
      </c>
      <c r="C195" t="str">
        <f>IF(A195="","",IFERROR(INDEX(tblReg[FirstName],MATCH(A195,tblReg[Bib],0)),""))</f>
        <v/>
      </c>
      <c r="D195" t="str">
        <f>IF(A195="","",IFERROR(INDEX(tblReg[LastName],MATCH(A195,tblReg[Bib],0)),""))</f>
        <v/>
      </c>
      <c r="E195" t="str">
        <f>IF(A195="","",IFERROR(INDEX(tblReg[Team],MATCH(A195,tblReg[Bib],0)),""))</f>
        <v/>
      </c>
      <c r="F195" s="4" t="s">
        <v>103</v>
      </c>
      <c r="G195" t="str">
        <f t="shared" si="12"/>
        <v/>
      </c>
      <c r="H195" t="str">
        <f t="shared" si="13"/>
        <v/>
      </c>
      <c r="I195">
        <f>IF(H195="",0,IFERROR(INDEX(Config!$K$4:$K$6,MATCH(H195,Config!$H$4:$H$6,0)),0))</f>
        <v>0</v>
      </c>
      <c r="J195" t="str">
        <f t="shared" si="14"/>
        <v/>
      </c>
      <c r="K195" s="5" t="str">
        <f t="shared" si="15"/>
        <v/>
      </c>
      <c r="L195">
        <f>IF(A195="",999,IFERROR(MATCH(B195,Config!$A$4:$A$7,0),99)*10+IF(ISNUMBER(F195),1,IF(F195="",2,IF(UPPER(F195)="DNF",3,IF(UPPER(F195)="DNS",4,8)))))</f>
        <v>999</v>
      </c>
    </row>
    <row r="196" spans="2:12" x14ac:dyDescent="0.25">
      <c r="B196" t="str">
        <f>IF(A196="","",IFERROR(INDEX(tblReg[Field],MATCH(A196,tblReg[Bib],0)),""))</f>
        <v/>
      </c>
      <c r="C196" t="str">
        <f>IF(A196="","",IFERROR(INDEX(tblReg[FirstName],MATCH(A196,tblReg[Bib],0)),""))</f>
        <v/>
      </c>
      <c r="D196" t="str">
        <f>IF(A196="","",IFERROR(INDEX(tblReg[LastName],MATCH(A196,tblReg[Bib],0)),""))</f>
        <v/>
      </c>
      <c r="E196" t="str">
        <f>IF(A196="","",IFERROR(INDEX(tblReg[Team],MATCH(A196,tblReg[Bib],0)),""))</f>
        <v/>
      </c>
      <c r="F196" s="4" t="s">
        <v>103</v>
      </c>
      <c r="G196" t="str">
        <f t="shared" si="12"/>
        <v/>
      </c>
      <c r="H196" t="str">
        <f t="shared" si="13"/>
        <v/>
      </c>
      <c r="I196">
        <f>IF(H196="",0,IFERROR(INDEX(Config!$K$4:$K$6,MATCH(H196,Config!$H$4:$H$6,0)),0))</f>
        <v>0</v>
      </c>
      <c r="J196" t="str">
        <f t="shared" si="14"/>
        <v/>
      </c>
      <c r="K196" s="5" t="str">
        <f t="shared" si="15"/>
        <v/>
      </c>
      <c r="L196">
        <f>IF(A196="",999,IFERROR(MATCH(B196,Config!$A$4:$A$7,0),99)*10+IF(ISNUMBER(F196),1,IF(F196="",2,IF(UPPER(F196)="DNF",3,IF(UPPER(F196)="DNS",4,8)))))</f>
        <v>999</v>
      </c>
    </row>
    <row r="197" spans="2:12" x14ac:dyDescent="0.25">
      <c r="B197" t="str">
        <f>IF(A197="","",IFERROR(INDEX(tblReg[Field],MATCH(A197,tblReg[Bib],0)),""))</f>
        <v/>
      </c>
      <c r="C197" t="str">
        <f>IF(A197="","",IFERROR(INDEX(tblReg[FirstName],MATCH(A197,tblReg[Bib],0)),""))</f>
        <v/>
      </c>
      <c r="D197" t="str">
        <f>IF(A197="","",IFERROR(INDEX(tblReg[LastName],MATCH(A197,tblReg[Bib],0)),""))</f>
        <v/>
      </c>
      <c r="E197" t="str">
        <f>IF(A197="","",IFERROR(INDEX(tblReg[Team],MATCH(A197,tblReg[Bib],0)),""))</f>
        <v/>
      </c>
      <c r="F197" s="4" t="s">
        <v>103</v>
      </c>
      <c r="G197" t="str">
        <f t="shared" si="12"/>
        <v/>
      </c>
      <c r="H197" t="str">
        <f t="shared" si="13"/>
        <v/>
      </c>
      <c r="I197">
        <f>IF(H197="",0,IFERROR(INDEX(Config!$K$4:$K$6,MATCH(H197,Config!$H$4:$H$6,0)),0))</f>
        <v>0</v>
      </c>
      <c r="J197" t="str">
        <f t="shared" si="14"/>
        <v/>
      </c>
      <c r="K197" s="5" t="str">
        <f t="shared" si="15"/>
        <v/>
      </c>
      <c r="L197">
        <f>IF(A197="",999,IFERROR(MATCH(B197,Config!$A$4:$A$7,0),99)*10+IF(ISNUMBER(F197),1,IF(F197="",2,IF(UPPER(F197)="DNF",3,IF(UPPER(F197)="DNS",4,8)))))</f>
        <v>999</v>
      </c>
    </row>
    <row r="198" spans="2:12" x14ac:dyDescent="0.25">
      <c r="B198" t="str">
        <f>IF(A198="","",IFERROR(INDEX(tblReg[Field],MATCH(A198,tblReg[Bib],0)),""))</f>
        <v/>
      </c>
      <c r="C198" t="str">
        <f>IF(A198="","",IFERROR(INDEX(tblReg[FirstName],MATCH(A198,tblReg[Bib],0)),""))</f>
        <v/>
      </c>
      <c r="D198" t="str">
        <f>IF(A198="","",IFERROR(INDEX(tblReg[LastName],MATCH(A198,tblReg[Bib],0)),""))</f>
        <v/>
      </c>
      <c r="E198" t="str">
        <f>IF(A198="","",IFERROR(INDEX(tblReg[Team],MATCH(A198,tblReg[Bib],0)),""))</f>
        <v/>
      </c>
      <c r="F198" s="4" t="s">
        <v>103</v>
      </c>
      <c r="G198" t="str">
        <f t="shared" si="12"/>
        <v/>
      </c>
      <c r="H198" t="str">
        <f t="shared" si="13"/>
        <v/>
      </c>
      <c r="I198">
        <f>IF(H198="",0,IFERROR(INDEX(Config!$K$4:$K$6,MATCH(H198,Config!$H$4:$H$6,0)),0))</f>
        <v>0</v>
      </c>
      <c r="J198" t="str">
        <f t="shared" si="14"/>
        <v/>
      </c>
      <c r="K198" s="5" t="str">
        <f t="shared" si="15"/>
        <v/>
      </c>
      <c r="L198">
        <f>IF(A198="",999,IFERROR(MATCH(B198,Config!$A$4:$A$7,0),99)*10+IF(ISNUMBER(F198),1,IF(F198="",2,IF(UPPER(F198)="DNF",3,IF(UPPER(F198)="DNS",4,8)))))</f>
        <v>999</v>
      </c>
    </row>
    <row r="199" spans="2:12" x14ac:dyDescent="0.25">
      <c r="B199" t="str">
        <f>IF(A199="","",IFERROR(INDEX(tblReg[Field],MATCH(A199,tblReg[Bib],0)),""))</f>
        <v/>
      </c>
      <c r="C199" t="str">
        <f>IF(A199="","",IFERROR(INDEX(tblReg[FirstName],MATCH(A199,tblReg[Bib],0)),""))</f>
        <v/>
      </c>
      <c r="D199" t="str">
        <f>IF(A199="","",IFERROR(INDEX(tblReg[LastName],MATCH(A199,tblReg[Bib],0)),""))</f>
        <v/>
      </c>
      <c r="E199" t="str">
        <f>IF(A199="","",IFERROR(INDEX(tblReg[Team],MATCH(A199,tblReg[Bib],0)),""))</f>
        <v/>
      </c>
      <c r="F199" s="4" t="s">
        <v>103</v>
      </c>
      <c r="G199" t="str">
        <f t="shared" si="12"/>
        <v/>
      </c>
      <c r="H199" t="str">
        <f t="shared" si="13"/>
        <v/>
      </c>
      <c r="I199">
        <f>IF(H199="",0,IFERROR(INDEX(Config!$K$4:$K$6,MATCH(H199,Config!$H$4:$H$6,0)),0))</f>
        <v>0</v>
      </c>
      <c r="J199" t="str">
        <f t="shared" si="14"/>
        <v/>
      </c>
      <c r="K199" s="5" t="str">
        <f t="shared" si="15"/>
        <v/>
      </c>
      <c r="L199">
        <f>IF(A199="",999,IFERROR(MATCH(B199,Config!$A$4:$A$7,0),99)*10+IF(ISNUMBER(F199),1,IF(F199="",2,IF(UPPER(F199)="DNF",3,IF(UPPER(F199)="DNS",4,8)))))</f>
        <v>999</v>
      </c>
    </row>
    <row r="200" spans="2:12" x14ac:dyDescent="0.25">
      <c r="B200" t="str">
        <f>IF(A200="","",IFERROR(INDEX(tblReg[Field],MATCH(A200,tblReg[Bib],0)),""))</f>
        <v/>
      </c>
      <c r="C200" t="str">
        <f>IF(A200="","",IFERROR(INDEX(tblReg[FirstName],MATCH(A200,tblReg[Bib],0)),""))</f>
        <v/>
      </c>
      <c r="D200" t="str">
        <f>IF(A200="","",IFERROR(INDEX(tblReg[LastName],MATCH(A200,tblReg[Bib],0)),""))</f>
        <v/>
      </c>
      <c r="E200" t="str">
        <f>IF(A200="","",IFERROR(INDEX(tblReg[Team],MATCH(A200,tblReg[Bib],0)),""))</f>
        <v/>
      </c>
      <c r="F200" s="4" t="s">
        <v>103</v>
      </c>
      <c r="G200" t="str">
        <f t="shared" si="12"/>
        <v/>
      </c>
      <c r="H200" t="str">
        <f t="shared" si="13"/>
        <v/>
      </c>
      <c r="I200">
        <f>IF(H200="",0,IFERROR(INDEX(Config!$K$4:$K$6,MATCH(H200,Config!$H$4:$H$6,0)),0))</f>
        <v>0</v>
      </c>
      <c r="J200" t="str">
        <f t="shared" si="14"/>
        <v/>
      </c>
      <c r="K200" s="5" t="str">
        <f t="shared" si="15"/>
        <v/>
      </c>
      <c r="L200">
        <f>IF(A200="",999,IFERROR(MATCH(B200,Config!$A$4:$A$7,0),99)*10+IF(ISNUMBER(F200),1,IF(F200="",2,IF(UPPER(F200)="DNF",3,IF(UPPER(F200)="DNS",4,8)))))</f>
        <v>999</v>
      </c>
    </row>
    <row r="201" spans="2:12" x14ac:dyDescent="0.25">
      <c r="B201" t="str">
        <f>IF(A201="","",IFERROR(INDEX(tblReg[Field],MATCH(A201,tblReg[Bib],0)),""))</f>
        <v/>
      </c>
      <c r="C201" t="str">
        <f>IF(A201="","",IFERROR(INDEX(tblReg[FirstName],MATCH(A201,tblReg[Bib],0)),""))</f>
        <v/>
      </c>
      <c r="D201" t="str">
        <f>IF(A201="","",IFERROR(INDEX(tblReg[LastName],MATCH(A201,tblReg[Bib],0)),""))</f>
        <v/>
      </c>
      <c r="E201" t="str">
        <f>IF(A201="","",IFERROR(INDEX(tblReg[Team],MATCH(A201,tblReg[Bib],0)),""))</f>
        <v/>
      </c>
      <c r="F201" s="4" t="s">
        <v>103</v>
      </c>
      <c r="G201" t="str">
        <f t="shared" si="12"/>
        <v/>
      </c>
      <c r="H201" t="str">
        <f t="shared" si="13"/>
        <v/>
      </c>
      <c r="I201">
        <f>IF(H201="",0,IFERROR(INDEX(Config!$K$4:$K$6,MATCH(H201,Config!$H$4:$H$6,0)),0))</f>
        <v>0</v>
      </c>
      <c r="J201" t="str">
        <f t="shared" si="14"/>
        <v/>
      </c>
      <c r="K201" s="5" t="str">
        <f t="shared" si="15"/>
        <v/>
      </c>
      <c r="L201">
        <f>IF(A201="",999,IFERROR(MATCH(B201,Config!$A$4:$A$7,0),99)*10+IF(ISNUMBER(F201),1,IF(F201="",2,IF(UPPER(F201)="DNF",3,IF(UPPER(F201)="DNS",4,8)))))</f>
        <v>999</v>
      </c>
    </row>
    <row r="202" spans="2:12" x14ac:dyDescent="0.25">
      <c r="B202" t="str">
        <f>IF(A202="","",IFERROR(INDEX(tblReg[Field],MATCH(A202,tblReg[Bib],0)),""))</f>
        <v/>
      </c>
      <c r="C202" t="str">
        <f>IF(A202="","",IFERROR(INDEX(tblReg[FirstName],MATCH(A202,tblReg[Bib],0)),""))</f>
        <v/>
      </c>
      <c r="D202" t="str">
        <f>IF(A202="","",IFERROR(INDEX(tblReg[LastName],MATCH(A202,tblReg[Bib],0)),""))</f>
        <v/>
      </c>
      <c r="E202" t="str">
        <f>IF(A202="","",IFERROR(INDEX(tblReg[Team],MATCH(A202,tblReg[Bib],0)),""))</f>
        <v/>
      </c>
      <c r="F202" s="4" t="s">
        <v>103</v>
      </c>
      <c r="G202" t="str">
        <f t="shared" si="12"/>
        <v/>
      </c>
      <c r="H202" t="str">
        <f t="shared" si="13"/>
        <v/>
      </c>
      <c r="I202">
        <f>IF(H202="",0,IFERROR(INDEX(Config!$K$4:$K$6,MATCH(H202,Config!$H$4:$H$6,0)),0))</f>
        <v>0</v>
      </c>
      <c r="J202" t="str">
        <f t="shared" si="14"/>
        <v/>
      </c>
      <c r="K202" s="5" t="str">
        <f t="shared" si="15"/>
        <v/>
      </c>
      <c r="L202">
        <f>IF(A202="",999,IFERROR(MATCH(B202,Config!$A$4:$A$7,0),99)*10+IF(ISNUMBER(F202),1,IF(F202="",2,IF(UPPER(F202)="DNF",3,IF(UPPER(F202)="DNS",4,8)))))</f>
        <v>999</v>
      </c>
    </row>
    <row r="203" spans="2:12" x14ac:dyDescent="0.25">
      <c r="B203" t="str">
        <f>IF(A203="","",IFERROR(INDEX(tblReg[Field],MATCH(A203,tblReg[Bib],0)),""))</f>
        <v/>
      </c>
      <c r="C203" t="str">
        <f>IF(A203="","",IFERROR(INDEX(tblReg[FirstName],MATCH(A203,tblReg[Bib],0)),""))</f>
        <v/>
      </c>
      <c r="D203" t="str">
        <f>IF(A203="","",IFERROR(INDEX(tblReg[LastName],MATCH(A203,tblReg[Bib],0)),""))</f>
        <v/>
      </c>
      <c r="E203" t="str">
        <f>IF(A203="","",IFERROR(INDEX(tblReg[Team],MATCH(A203,tblReg[Bib],0)),""))</f>
        <v/>
      </c>
      <c r="F203" s="4" t="s">
        <v>103</v>
      </c>
      <c r="G203" t="str">
        <f t="shared" si="12"/>
        <v/>
      </c>
      <c r="H203" t="str">
        <f t="shared" si="13"/>
        <v/>
      </c>
      <c r="I203">
        <f>IF(H203="",0,IFERROR(INDEX(Config!$K$4:$K$6,MATCH(H203,Config!$H$4:$H$6,0)),0))</f>
        <v>0</v>
      </c>
      <c r="J203" t="str">
        <f t="shared" si="14"/>
        <v/>
      </c>
      <c r="K203" s="5" t="str">
        <f t="shared" si="15"/>
        <v/>
      </c>
      <c r="L203">
        <f>IF(A203="",999,IFERROR(MATCH(B203,Config!$A$4:$A$7,0),99)*10+IF(ISNUMBER(F203),1,IF(F203="",2,IF(UPPER(F203)="DNF",3,IF(UPPER(F203)="DNS",4,8)))))</f>
        <v>999</v>
      </c>
    </row>
    <row r="204" spans="2:12" x14ac:dyDescent="0.25">
      <c r="B204" t="str">
        <f>IF(A204="","",IFERROR(INDEX(tblReg[Field],MATCH(A204,tblReg[Bib],0)),""))</f>
        <v/>
      </c>
      <c r="C204" t="str">
        <f>IF(A204="","",IFERROR(INDEX(tblReg[FirstName],MATCH(A204,tblReg[Bib],0)),""))</f>
        <v/>
      </c>
      <c r="D204" t="str">
        <f>IF(A204="","",IFERROR(INDEX(tblReg[LastName],MATCH(A204,tblReg[Bib],0)),""))</f>
        <v/>
      </c>
      <c r="E204" t="str">
        <f>IF(A204="","",IFERROR(INDEX(tblReg[Team],MATCH(A204,tblReg[Bib],0)),""))</f>
        <v/>
      </c>
      <c r="F204" s="4" t="s">
        <v>103</v>
      </c>
      <c r="G204" t="str">
        <f t="shared" si="12"/>
        <v/>
      </c>
      <c r="H204" t="str">
        <f t="shared" si="13"/>
        <v/>
      </c>
      <c r="I204">
        <f>IF(H204="",0,IFERROR(INDEX(Config!$K$4:$K$6,MATCH(H204,Config!$H$4:$H$6,0)),0))</f>
        <v>0</v>
      </c>
      <c r="J204" t="str">
        <f t="shared" si="14"/>
        <v/>
      </c>
      <c r="K204" s="5" t="str">
        <f t="shared" si="15"/>
        <v/>
      </c>
      <c r="L204">
        <f>IF(A204="",999,IFERROR(MATCH(B204,Config!$A$4:$A$7,0),99)*10+IF(ISNUMBER(F204),1,IF(F204="",2,IF(UPPER(F204)="DNF",3,IF(UPPER(F204)="DNS",4,8)))))</f>
        <v>999</v>
      </c>
    </row>
    <row r="205" spans="2:12" x14ac:dyDescent="0.25">
      <c r="B205" t="str">
        <f>IF(A205="","",IFERROR(INDEX(tblReg[Field],MATCH(A205,tblReg[Bib],0)),""))</f>
        <v/>
      </c>
      <c r="C205" t="str">
        <f>IF(A205="","",IFERROR(INDEX(tblReg[FirstName],MATCH(A205,tblReg[Bib],0)),""))</f>
        <v/>
      </c>
      <c r="D205" t="str">
        <f>IF(A205="","",IFERROR(INDEX(tblReg[LastName],MATCH(A205,tblReg[Bib],0)),""))</f>
        <v/>
      </c>
      <c r="E205" t="str">
        <f>IF(A205="","",IFERROR(INDEX(tblReg[Team],MATCH(A205,tblReg[Bib],0)),""))</f>
        <v/>
      </c>
      <c r="F205" s="4" t="s">
        <v>103</v>
      </c>
      <c r="G205" t="str">
        <f t="shared" si="12"/>
        <v/>
      </c>
      <c r="H205" t="str">
        <f t="shared" si="13"/>
        <v/>
      </c>
      <c r="I205">
        <f>IF(H205="",0,IFERROR(INDEX(Config!$K$4:$K$6,MATCH(H205,Config!$H$4:$H$6,0)),0))</f>
        <v>0</v>
      </c>
      <c r="J205" t="str">
        <f t="shared" si="14"/>
        <v/>
      </c>
      <c r="K205" s="5" t="str">
        <f t="shared" si="15"/>
        <v/>
      </c>
      <c r="L205">
        <f>IF(A205="",999,IFERROR(MATCH(B205,Config!$A$4:$A$7,0),99)*10+IF(ISNUMBER(F205),1,IF(F205="",2,IF(UPPER(F205)="DNF",3,IF(UPPER(F205)="DNS",4,8)))))</f>
        <v>999</v>
      </c>
    </row>
    <row r="206" spans="2:12" x14ac:dyDescent="0.25">
      <c r="B206" t="str">
        <f>IF(A206="","",IFERROR(INDEX(tblReg[Field],MATCH(A206,tblReg[Bib],0)),""))</f>
        <v/>
      </c>
      <c r="C206" t="str">
        <f>IF(A206="","",IFERROR(INDEX(tblReg[FirstName],MATCH(A206,tblReg[Bib],0)),""))</f>
        <v/>
      </c>
      <c r="D206" t="str">
        <f>IF(A206="","",IFERROR(INDEX(tblReg[LastName],MATCH(A206,tblReg[Bib],0)),""))</f>
        <v/>
      </c>
      <c r="E206" t="str">
        <f>IF(A206="","",IFERROR(INDEX(tblReg[Team],MATCH(A206,tblReg[Bib],0)),""))</f>
        <v/>
      </c>
      <c r="F206" s="4" t="s">
        <v>103</v>
      </c>
      <c r="G206" t="str">
        <f t="shared" si="12"/>
        <v/>
      </c>
      <c r="H206" t="str">
        <f t="shared" si="13"/>
        <v/>
      </c>
      <c r="I206">
        <f>IF(H206="",0,IFERROR(INDEX(Config!$K$4:$K$6,MATCH(H206,Config!$H$4:$H$6,0)),0))</f>
        <v>0</v>
      </c>
      <c r="J206" t="str">
        <f t="shared" si="14"/>
        <v/>
      </c>
      <c r="K206" s="5" t="str">
        <f t="shared" si="15"/>
        <v/>
      </c>
      <c r="L206">
        <f>IF(A206="",999,IFERROR(MATCH(B206,Config!$A$4:$A$7,0),99)*10+IF(ISNUMBER(F206),1,IF(F206="",2,IF(UPPER(F206)="DNF",3,IF(UPPER(F206)="DNS",4,8)))))</f>
        <v>999</v>
      </c>
    </row>
    <row r="207" spans="2:12" x14ac:dyDescent="0.25">
      <c r="B207" t="str">
        <f>IF(A207="","",IFERROR(INDEX(tblReg[Field],MATCH(A207,tblReg[Bib],0)),""))</f>
        <v/>
      </c>
      <c r="C207" t="str">
        <f>IF(A207="","",IFERROR(INDEX(tblReg[FirstName],MATCH(A207,tblReg[Bib],0)),""))</f>
        <v/>
      </c>
      <c r="D207" t="str">
        <f>IF(A207="","",IFERROR(INDEX(tblReg[LastName],MATCH(A207,tblReg[Bib],0)),""))</f>
        <v/>
      </c>
      <c r="E207" t="str">
        <f>IF(A207="","",IFERROR(INDEX(tblReg[Team],MATCH(A207,tblReg[Bib],0)),""))</f>
        <v/>
      </c>
      <c r="F207" s="4" t="s">
        <v>103</v>
      </c>
      <c r="G207" t="str">
        <f t="shared" si="12"/>
        <v/>
      </c>
      <c r="H207" t="str">
        <f t="shared" si="13"/>
        <v/>
      </c>
      <c r="I207">
        <f>IF(H207="",0,IFERROR(INDEX(Config!$K$4:$K$6,MATCH(H207,Config!$H$4:$H$6,0)),0))</f>
        <v>0</v>
      </c>
      <c r="J207" t="str">
        <f t="shared" si="14"/>
        <v/>
      </c>
      <c r="K207" s="5" t="str">
        <f t="shared" si="15"/>
        <v/>
      </c>
      <c r="L207">
        <f>IF(A207="",999,IFERROR(MATCH(B207,Config!$A$4:$A$7,0),99)*10+IF(ISNUMBER(F207),1,IF(F207="",2,IF(UPPER(F207)="DNF",3,IF(UPPER(F207)="DNS",4,8)))))</f>
        <v>999</v>
      </c>
    </row>
    <row r="208" spans="2:12" x14ac:dyDescent="0.25">
      <c r="B208" t="str">
        <f>IF(A208="","",IFERROR(INDEX(tblReg[Field],MATCH(A208,tblReg[Bib],0)),""))</f>
        <v/>
      </c>
      <c r="C208" t="str">
        <f>IF(A208="","",IFERROR(INDEX(tblReg[FirstName],MATCH(A208,tblReg[Bib],0)),""))</f>
        <v/>
      </c>
      <c r="D208" t="str">
        <f>IF(A208="","",IFERROR(INDEX(tblReg[LastName],MATCH(A208,tblReg[Bib],0)),""))</f>
        <v/>
      </c>
      <c r="E208" t="str">
        <f>IF(A208="","",IFERROR(INDEX(tblReg[Team],MATCH(A208,tblReg[Bib],0)),""))</f>
        <v/>
      </c>
      <c r="F208" s="4" t="s">
        <v>103</v>
      </c>
      <c r="G208" t="str">
        <f t="shared" si="12"/>
        <v/>
      </c>
      <c r="H208" t="str">
        <f t="shared" si="13"/>
        <v/>
      </c>
      <c r="I208">
        <f>IF(H208="",0,IFERROR(INDEX(Config!$K$4:$K$6,MATCH(H208,Config!$H$4:$H$6,0)),0))</f>
        <v>0</v>
      </c>
      <c r="J208" t="str">
        <f t="shared" si="14"/>
        <v/>
      </c>
      <c r="K208" s="5" t="str">
        <f t="shared" si="15"/>
        <v/>
      </c>
      <c r="L208">
        <f>IF(A208="",999,IFERROR(MATCH(B208,Config!$A$4:$A$7,0),99)*10+IF(ISNUMBER(F208),1,IF(F208="",2,IF(UPPER(F208)="DNF",3,IF(UPPER(F208)="DNS",4,8)))))</f>
        <v>999</v>
      </c>
    </row>
    <row r="209" spans="2:12" x14ac:dyDescent="0.25">
      <c r="B209" t="str">
        <f>IF(A209="","",IFERROR(INDEX(tblReg[Field],MATCH(A209,tblReg[Bib],0)),""))</f>
        <v/>
      </c>
      <c r="C209" t="str">
        <f>IF(A209="","",IFERROR(INDEX(tblReg[FirstName],MATCH(A209,tblReg[Bib],0)),""))</f>
        <v/>
      </c>
      <c r="D209" t="str">
        <f>IF(A209="","",IFERROR(INDEX(tblReg[LastName],MATCH(A209,tblReg[Bib],0)),""))</f>
        <v/>
      </c>
      <c r="E209" t="str">
        <f>IF(A209="","",IFERROR(INDEX(tblReg[Team],MATCH(A209,tblReg[Bib],0)),""))</f>
        <v/>
      </c>
      <c r="F209" s="4" t="s">
        <v>103</v>
      </c>
      <c r="G209" t="str">
        <f t="shared" si="12"/>
        <v/>
      </c>
      <c r="H209" t="str">
        <f t="shared" si="13"/>
        <v/>
      </c>
      <c r="I209">
        <f>IF(H209="",0,IFERROR(INDEX(Config!$K$4:$K$6,MATCH(H209,Config!$H$4:$H$6,0)),0))</f>
        <v>0</v>
      </c>
      <c r="J209" t="str">
        <f t="shared" si="14"/>
        <v/>
      </c>
      <c r="K209" s="5" t="str">
        <f t="shared" si="15"/>
        <v/>
      </c>
      <c r="L209">
        <f>IF(A209="",999,IFERROR(MATCH(B209,Config!$A$4:$A$7,0),99)*10+IF(ISNUMBER(F209),1,IF(F209="",2,IF(UPPER(F209)="DNF",3,IF(UPPER(F209)="DNS",4,8)))))</f>
        <v>999</v>
      </c>
    </row>
    <row r="210" spans="2:12" x14ac:dyDescent="0.25">
      <c r="B210" t="str">
        <f>IF(A210="","",IFERROR(INDEX(tblReg[Field],MATCH(A210,tblReg[Bib],0)),""))</f>
        <v/>
      </c>
      <c r="C210" t="str">
        <f>IF(A210="","",IFERROR(INDEX(tblReg[FirstName],MATCH(A210,tblReg[Bib],0)),""))</f>
        <v/>
      </c>
      <c r="D210" t="str">
        <f>IF(A210="","",IFERROR(INDEX(tblReg[LastName],MATCH(A210,tblReg[Bib],0)),""))</f>
        <v/>
      </c>
      <c r="E210" t="str">
        <f>IF(A210="","",IFERROR(INDEX(tblReg[Team],MATCH(A210,tblReg[Bib],0)),""))</f>
        <v/>
      </c>
      <c r="F210" s="4" t="s">
        <v>103</v>
      </c>
      <c r="G210" t="str">
        <f t="shared" si="12"/>
        <v/>
      </c>
      <c r="H210" t="str">
        <f t="shared" si="13"/>
        <v/>
      </c>
      <c r="I210">
        <f>IF(H210="",0,IFERROR(INDEX(Config!$K$4:$K$6,MATCH(H210,Config!$H$4:$H$6,0)),0))</f>
        <v>0</v>
      </c>
      <c r="J210" t="str">
        <f t="shared" si="14"/>
        <v/>
      </c>
      <c r="K210" s="5" t="str">
        <f t="shared" si="15"/>
        <v/>
      </c>
      <c r="L210">
        <f>IF(A210="",999,IFERROR(MATCH(B210,Config!$A$4:$A$7,0),99)*10+IF(ISNUMBER(F210),1,IF(F210="",2,IF(UPPER(F210)="DNF",3,IF(UPPER(F210)="DNS",4,8)))))</f>
        <v>999</v>
      </c>
    </row>
    <row r="211" spans="2:12" x14ac:dyDescent="0.25">
      <c r="B211" t="str">
        <f>IF(A211="","",IFERROR(INDEX(tblReg[Field],MATCH(A211,tblReg[Bib],0)),""))</f>
        <v/>
      </c>
      <c r="C211" t="str">
        <f>IF(A211="","",IFERROR(INDEX(tblReg[FirstName],MATCH(A211,tblReg[Bib],0)),""))</f>
        <v/>
      </c>
      <c r="D211" t="str">
        <f>IF(A211="","",IFERROR(INDEX(tblReg[LastName],MATCH(A211,tblReg[Bib],0)),""))</f>
        <v/>
      </c>
      <c r="E211" t="str">
        <f>IF(A211="","",IFERROR(INDEX(tblReg[Team],MATCH(A211,tblReg[Bib],0)),""))</f>
        <v/>
      </c>
      <c r="F211" s="4" t="s">
        <v>103</v>
      </c>
      <c r="G211" t="str">
        <f t="shared" si="12"/>
        <v/>
      </c>
      <c r="H211" t="str">
        <f t="shared" si="13"/>
        <v/>
      </c>
      <c r="I211">
        <f>IF(H211="",0,IFERROR(INDEX(Config!$K$4:$K$6,MATCH(H211,Config!$H$4:$H$6,0)),0))</f>
        <v>0</v>
      </c>
      <c r="J211" t="str">
        <f t="shared" si="14"/>
        <v/>
      </c>
      <c r="K211" s="5" t="str">
        <f t="shared" si="15"/>
        <v/>
      </c>
      <c r="L211">
        <f>IF(A211="",999,IFERROR(MATCH(B211,Config!$A$4:$A$7,0),99)*10+IF(ISNUMBER(F211),1,IF(F211="",2,IF(UPPER(F211)="DNF",3,IF(UPPER(F211)="DNS",4,8)))))</f>
        <v>999</v>
      </c>
    </row>
    <row r="212" spans="2:12" x14ac:dyDescent="0.25">
      <c r="B212" t="str">
        <f>IF(A212="","",IFERROR(INDEX(tblReg[Field],MATCH(A212,tblReg[Bib],0)),""))</f>
        <v/>
      </c>
      <c r="C212" t="str">
        <f>IF(A212="","",IFERROR(INDEX(tblReg[FirstName],MATCH(A212,tblReg[Bib],0)),""))</f>
        <v/>
      </c>
      <c r="D212" t="str">
        <f>IF(A212="","",IFERROR(INDEX(tblReg[LastName],MATCH(A212,tblReg[Bib],0)),""))</f>
        <v/>
      </c>
      <c r="E212" t="str">
        <f>IF(A212="","",IFERROR(INDEX(tblReg[Team],MATCH(A212,tblReg[Bib],0)),""))</f>
        <v/>
      </c>
      <c r="F212" s="4" t="s">
        <v>103</v>
      </c>
      <c r="G212" t="str">
        <f t="shared" si="12"/>
        <v/>
      </c>
      <c r="H212" t="str">
        <f t="shared" si="13"/>
        <v/>
      </c>
      <c r="I212">
        <f>IF(H212="",0,IFERROR(INDEX(Config!$K$4:$K$6,MATCH(H212,Config!$H$4:$H$6,0)),0))</f>
        <v>0</v>
      </c>
      <c r="J212" t="str">
        <f t="shared" si="14"/>
        <v/>
      </c>
      <c r="K212" s="5" t="str">
        <f t="shared" si="15"/>
        <v/>
      </c>
      <c r="L212">
        <f>IF(A212="",999,IFERROR(MATCH(B212,Config!$A$4:$A$7,0),99)*10+IF(ISNUMBER(F212),1,IF(F212="",2,IF(UPPER(F212)="DNF",3,IF(UPPER(F212)="DNS",4,8)))))</f>
        <v>999</v>
      </c>
    </row>
    <row r="213" spans="2:12" x14ac:dyDescent="0.25">
      <c r="B213" t="str">
        <f>IF(A213="","",IFERROR(INDEX(tblReg[Field],MATCH(A213,tblReg[Bib],0)),""))</f>
        <v/>
      </c>
      <c r="C213" t="str">
        <f>IF(A213="","",IFERROR(INDEX(tblReg[FirstName],MATCH(A213,tblReg[Bib],0)),""))</f>
        <v/>
      </c>
      <c r="D213" t="str">
        <f>IF(A213="","",IFERROR(INDEX(tblReg[LastName],MATCH(A213,tblReg[Bib],0)),""))</f>
        <v/>
      </c>
      <c r="E213" t="str">
        <f>IF(A213="","",IFERROR(INDEX(tblReg[Team],MATCH(A213,tblReg[Bib],0)),""))</f>
        <v/>
      </c>
      <c r="F213" s="4" t="s">
        <v>103</v>
      </c>
      <c r="G213" t="str">
        <f t="shared" si="12"/>
        <v/>
      </c>
      <c r="H213" t="str">
        <f t="shared" si="13"/>
        <v/>
      </c>
      <c r="I213">
        <f>IF(H213="",0,IFERROR(INDEX(Config!$K$4:$K$6,MATCH(H213,Config!$H$4:$H$6,0)),0))</f>
        <v>0</v>
      </c>
      <c r="J213" t="str">
        <f t="shared" si="14"/>
        <v/>
      </c>
      <c r="K213" s="5" t="str">
        <f t="shared" si="15"/>
        <v/>
      </c>
      <c r="L213">
        <f>IF(A213="",999,IFERROR(MATCH(B213,Config!$A$4:$A$7,0),99)*10+IF(ISNUMBER(F213),1,IF(F213="",2,IF(UPPER(F213)="DNF",3,IF(UPPER(F213)="DNS",4,8)))))</f>
        <v>999</v>
      </c>
    </row>
    <row r="214" spans="2:12" x14ac:dyDescent="0.25">
      <c r="B214" t="str">
        <f>IF(A214="","",IFERROR(INDEX(tblReg[Field],MATCH(A214,tblReg[Bib],0)),""))</f>
        <v/>
      </c>
      <c r="C214" t="str">
        <f>IF(A214="","",IFERROR(INDEX(tblReg[FirstName],MATCH(A214,tblReg[Bib],0)),""))</f>
        <v/>
      </c>
      <c r="D214" t="str">
        <f>IF(A214="","",IFERROR(INDEX(tblReg[LastName],MATCH(A214,tblReg[Bib],0)),""))</f>
        <v/>
      </c>
      <c r="E214" t="str">
        <f>IF(A214="","",IFERROR(INDEX(tblReg[Team],MATCH(A214,tblReg[Bib],0)),""))</f>
        <v/>
      </c>
      <c r="F214" s="4" t="s">
        <v>103</v>
      </c>
      <c r="G214" t="str">
        <f t="shared" si="12"/>
        <v/>
      </c>
      <c r="H214" t="str">
        <f t="shared" si="13"/>
        <v/>
      </c>
      <c r="I214">
        <f>IF(H214="",0,IFERROR(INDEX(Config!$K$4:$K$6,MATCH(H214,Config!$H$4:$H$6,0)),0))</f>
        <v>0</v>
      </c>
      <c r="J214" t="str">
        <f t="shared" si="14"/>
        <v/>
      </c>
      <c r="K214" s="5" t="str">
        <f t="shared" si="15"/>
        <v/>
      </c>
      <c r="L214">
        <f>IF(A214="",999,IFERROR(MATCH(B214,Config!$A$4:$A$7,0),99)*10+IF(ISNUMBER(F214),1,IF(F214="",2,IF(UPPER(F214)="DNF",3,IF(UPPER(F214)="DNS",4,8)))))</f>
        <v>999</v>
      </c>
    </row>
    <row r="215" spans="2:12" x14ac:dyDescent="0.25">
      <c r="B215" t="str">
        <f>IF(A215="","",IFERROR(INDEX(tblReg[Field],MATCH(A215,tblReg[Bib],0)),""))</f>
        <v/>
      </c>
      <c r="C215" t="str">
        <f>IF(A215="","",IFERROR(INDEX(tblReg[FirstName],MATCH(A215,tblReg[Bib],0)),""))</f>
        <v/>
      </c>
      <c r="D215" t="str">
        <f>IF(A215="","",IFERROR(INDEX(tblReg[LastName],MATCH(A215,tblReg[Bib],0)),""))</f>
        <v/>
      </c>
      <c r="E215" t="str">
        <f>IF(A215="","",IFERROR(INDEX(tblReg[Team],MATCH(A215,tblReg[Bib],0)),""))</f>
        <v/>
      </c>
      <c r="F215" s="4" t="s">
        <v>103</v>
      </c>
      <c r="G215" t="str">
        <f t="shared" si="12"/>
        <v/>
      </c>
      <c r="H215" t="str">
        <f t="shared" si="13"/>
        <v/>
      </c>
      <c r="I215">
        <f>IF(H215="",0,IFERROR(INDEX(Config!$K$4:$K$6,MATCH(H215,Config!$H$4:$H$6,0)),0))</f>
        <v>0</v>
      </c>
      <c r="J215" t="str">
        <f t="shared" si="14"/>
        <v/>
      </c>
      <c r="K215" s="5" t="str">
        <f t="shared" si="15"/>
        <v/>
      </c>
      <c r="L215">
        <f>IF(A215="",999,IFERROR(MATCH(B215,Config!$A$4:$A$7,0),99)*10+IF(ISNUMBER(F215),1,IF(F215="",2,IF(UPPER(F215)="DNF",3,IF(UPPER(F215)="DNS",4,8)))))</f>
        <v>999</v>
      </c>
    </row>
    <row r="216" spans="2:12" x14ac:dyDescent="0.25">
      <c r="B216" t="str">
        <f>IF(A216="","",IFERROR(INDEX(tblReg[Field],MATCH(A216,tblReg[Bib],0)),""))</f>
        <v/>
      </c>
      <c r="C216" t="str">
        <f>IF(A216="","",IFERROR(INDEX(tblReg[FirstName],MATCH(A216,tblReg[Bib],0)),""))</f>
        <v/>
      </c>
      <c r="D216" t="str">
        <f>IF(A216="","",IFERROR(INDEX(tblReg[LastName],MATCH(A216,tblReg[Bib],0)),""))</f>
        <v/>
      </c>
      <c r="E216" t="str">
        <f>IF(A216="","",IFERROR(INDEX(tblReg[Team],MATCH(A216,tblReg[Bib],0)),""))</f>
        <v/>
      </c>
      <c r="F216" s="4" t="s">
        <v>103</v>
      </c>
      <c r="G216" t="str">
        <f t="shared" si="12"/>
        <v/>
      </c>
      <c r="H216" t="str">
        <f t="shared" si="13"/>
        <v/>
      </c>
      <c r="I216">
        <f>IF(H216="",0,IFERROR(INDEX(Config!$K$4:$K$6,MATCH(H216,Config!$H$4:$H$6,0)),0))</f>
        <v>0</v>
      </c>
      <c r="J216" t="str">
        <f t="shared" si="14"/>
        <v/>
      </c>
      <c r="K216" s="5" t="str">
        <f t="shared" si="15"/>
        <v/>
      </c>
      <c r="L216">
        <f>IF(A216="",999,IFERROR(MATCH(B216,Config!$A$4:$A$7,0),99)*10+IF(ISNUMBER(F216),1,IF(F216="",2,IF(UPPER(F216)="DNF",3,IF(UPPER(F216)="DNS",4,8)))))</f>
        <v>999</v>
      </c>
    </row>
    <row r="217" spans="2:12" x14ac:dyDescent="0.25">
      <c r="B217" t="str">
        <f>IF(A217="","",IFERROR(INDEX(tblReg[Field],MATCH(A217,tblReg[Bib],0)),""))</f>
        <v/>
      </c>
      <c r="C217" t="str">
        <f>IF(A217="","",IFERROR(INDEX(tblReg[FirstName],MATCH(A217,tblReg[Bib],0)),""))</f>
        <v/>
      </c>
      <c r="D217" t="str">
        <f>IF(A217="","",IFERROR(INDEX(tblReg[LastName],MATCH(A217,tblReg[Bib],0)),""))</f>
        <v/>
      </c>
      <c r="E217" t="str">
        <f>IF(A217="","",IFERROR(INDEX(tblReg[Team],MATCH(A217,tblReg[Bib],0)),""))</f>
        <v/>
      </c>
      <c r="F217" s="4" t="s">
        <v>103</v>
      </c>
      <c r="G217" t="str">
        <f t="shared" si="12"/>
        <v/>
      </c>
      <c r="H217" t="str">
        <f t="shared" si="13"/>
        <v/>
      </c>
      <c r="I217">
        <f>IF(H217="",0,IFERROR(INDEX(Config!$K$4:$K$6,MATCH(H217,Config!$H$4:$H$6,0)),0))</f>
        <v>0</v>
      </c>
      <c r="J217" t="str">
        <f t="shared" si="14"/>
        <v/>
      </c>
      <c r="K217" s="5" t="str">
        <f t="shared" si="15"/>
        <v/>
      </c>
      <c r="L217">
        <f>IF(A217="",999,IFERROR(MATCH(B217,Config!$A$4:$A$7,0),99)*10+IF(ISNUMBER(F217),1,IF(F217="",2,IF(UPPER(F217)="DNF",3,IF(UPPER(F217)="DNS",4,8)))))</f>
        <v>999</v>
      </c>
    </row>
    <row r="218" spans="2:12" x14ac:dyDescent="0.25">
      <c r="B218" t="str">
        <f>IF(A218="","",IFERROR(INDEX(tblReg[Field],MATCH(A218,tblReg[Bib],0)),""))</f>
        <v/>
      </c>
      <c r="C218" t="str">
        <f>IF(A218="","",IFERROR(INDEX(tblReg[FirstName],MATCH(A218,tblReg[Bib],0)),""))</f>
        <v/>
      </c>
      <c r="D218" t="str">
        <f>IF(A218="","",IFERROR(INDEX(tblReg[LastName],MATCH(A218,tblReg[Bib],0)),""))</f>
        <v/>
      </c>
      <c r="E218" t="str">
        <f>IF(A218="","",IFERROR(INDEX(tblReg[Team],MATCH(A218,tblReg[Bib],0)),""))</f>
        <v/>
      </c>
      <c r="F218" s="4" t="s">
        <v>103</v>
      </c>
      <c r="G218" t="str">
        <f t="shared" si="12"/>
        <v/>
      </c>
      <c r="H218" t="str">
        <f t="shared" si="13"/>
        <v/>
      </c>
      <c r="I218">
        <f>IF(H218="",0,IFERROR(INDEX(Config!$K$4:$K$6,MATCH(H218,Config!$H$4:$H$6,0)),0))</f>
        <v>0</v>
      </c>
      <c r="J218" t="str">
        <f t="shared" si="14"/>
        <v/>
      </c>
      <c r="K218" s="5" t="str">
        <f t="shared" si="15"/>
        <v/>
      </c>
      <c r="L218">
        <f>IF(A218="",999,IFERROR(MATCH(B218,Config!$A$4:$A$7,0),99)*10+IF(ISNUMBER(F218),1,IF(F218="",2,IF(UPPER(F218)="DNF",3,IF(UPPER(F218)="DNS",4,8)))))</f>
        <v>999</v>
      </c>
    </row>
    <row r="219" spans="2:12" x14ac:dyDescent="0.25">
      <c r="B219" t="str">
        <f>IF(A219="","",IFERROR(INDEX(tblReg[Field],MATCH(A219,tblReg[Bib],0)),""))</f>
        <v/>
      </c>
      <c r="C219" t="str">
        <f>IF(A219="","",IFERROR(INDEX(tblReg[FirstName],MATCH(A219,tblReg[Bib],0)),""))</f>
        <v/>
      </c>
      <c r="D219" t="str">
        <f>IF(A219="","",IFERROR(INDEX(tblReg[LastName],MATCH(A219,tblReg[Bib],0)),""))</f>
        <v/>
      </c>
      <c r="E219" t="str">
        <f>IF(A219="","",IFERROR(INDEX(tblReg[Team],MATCH(A219,tblReg[Bib],0)),""))</f>
        <v/>
      </c>
      <c r="F219" s="4" t="s">
        <v>103</v>
      </c>
      <c r="G219" t="str">
        <f t="shared" si="12"/>
        <v/>
      </c>
      <c r="H219" t="str">
        <f t="shared" si="13"/>
        <v/>
      </c>
      <c r="I219">
        <f>IF(H219="",0,IFERROR(INDEX(Config!$K$4:$K$6,MATCH(H219,Config!$H$4:$H$6,0)),0))</f>
        <v>0</v>
      </c>
      <c r="J219" t="str">
        <f t="shared" si="14"/>
        <v/>
      </c>
      <c r="K219" s="5" t="str">
        <f t="shared" si="15"/>
        <v/>
      </c>
      <c r="L219">
        <f>IF(A219="",999,IFERROR(MATCH(B219,Config!$A$4:$A$7,0),99)*10+IF(ISNUMBER(F219),1,IF(F219="",2,IF(UPPER(F219)="DNF",3,IF(UPPER(F219)="DNS",4,8)))))</f>
        <v>999</v>
      </c>
    </row>
    <row r="220" spans="2:12" x14ac:dyDescent="0.25">
      <c r="B220" t="str">
        <f>IF(A220="","",IFERROR(INDEX(tblReg[Field],MATCH(A220,tblReg[Bib],0)),""))</f>
        <v/>
      </c>
      <c r="C220" t="str">
        <f>IF(A220="","",IFERROR(INDEX(tblReg[FirstName],MATCH(A220,tblReg[Bib],0)),""))</f>
        <v/>
      </c>
      <c r="D220" t="str">
        <f>IF(A220="","",IFERROR(INDEX(tblReg[LastName],MATCH(A220,tblReg[Bib],0)),""))</f>
        <v/>
      </c>
      <c r="E220" t="str">
        <f>IF(A220="","",IFERROR(INDEX(tblReg[Team],MATCH(A220,tblReg[Bib],0)),""))</f>
        <v/>
      </c>
      <c r="F220" s="4" t="s">
        <v>103</v>
      </c>
      <c r="G220" t="str">
        <f t="shared" si="12"/>
        <v/>
      </c>
      <c r="H220" t="str">
        <f t="shared" si="13"/>
        <v/>
      </c>
      <c r="I220">
        <f>IF(H220="",0,IFERROR(INDEX(Config!$K$4:$K$6,MATCH(H220,Config!$H$4:$H$6,0)),0))</f>
        <v>0</v>
      </c>
      <c r="J220" t="str">
        <f t="shared" si="14"/>
        <v/>
      </c>
      <c r="K220" s="5" t="str">
        <f t="shared" si="15"/>
        <v/>
      </c>
      <c r="L220">
        <f>IF(A220="",999,IFERROR(MATCH(B220,Config!$A$4:$A$7,0),99)*10+IF(ISNUMBER(F220),1,IF(F220="",2,IF(UPPER(F220)="DNF",3,IF(UPPER(F220)="DNS",4,8)))))</f>
        <v>999</v>
      </c>
    </row>
    <row r="221" spans="2:12" x14ac:dyDescent="0.25">
      <c r="B221" t="str">
        <f>IF(A221="","",IFERROR(INDEX(tblReg[Field],MATCH(A221,tblReg[Bib],0)),""))</f>
        <v/>
      </c>
      <c r="C221" t="str">
        <f>IF(A221="","",IFERROR(INDEX(tblReg[FirstName],MATCH(A221,tblReg[Bib],0)),""))</f>
        <v/>
      </c>
      <c r="D221" t="str">
        <f>IF(A221="","",IFERROR(INDEX(tblReg[LastName],MATCH(A221,tblReg[Bib],0)),""))</f>
        <v/>
      </c>
      <c r="E221" t="str">
        <f>IF(A221="","",IFERROR(INDEX(tblReg[Team],MATCH(A221,tblReg[Bib],0)),""))</f>
        <v/>
      </c>
      <c r="F221" s="4" t="s">
        <v>103</v>
      </c>
      <c r="G221" t="str">
        <f t="shared" si="12"/>
        <v/>
      </c>
      <c r="H221" t="str">
        <f t="shared" si="13"/>
        <v/>
      </c>
      <c r="I221">
        <f>IF(H221="",0,IFERROR(INDEX(Config!$K$4:$K$6,MATCH(H221,Config!$H$4:$H$6,0)),0))</f>
        <v>0</v>
      </c>
      <c r="J221" t="str">
        <f t="shared" si="14"/>
        <v/>
      </c>
      <c r="K221" s="5" t="str">
        <f t="shared" si="15"/>
        <v/>
      </c>
      <c r="L221">
        <f>IF(A221="",999,IFERROR(MATCH(B221,Config!$A$4:$A$7,0),99)*10+IF(ISNUMBER(F221),1,IF(F221="",2,IF(UPPER(F221)="DNF",3,IF(UPPER(F221)="DNS",4,8)))))</f>
        <v>999</v>
      </c>
    </row>
    <row r="222" spans="2:12" x14ac:dyDescent="0.25">
      <c r="B222" t="str">
        <f>IF(A222="","",IFERROR(INDEX(tblReg[Field],MATCH(A222,tblReg[Bib],0)),""))</f>
        <v/>
      </c>
      <c r="C222" t="str">
        <f>IF(A222="","",IFERROR(INDEX(tblReg[FirstName],MATCH(A222,tblReg[Bib],0)),""))</f>
        <v/>
      </c>
      <c r="D222" t="str">
        <f>IF(A222="","",IFERROR(INDEX(tblReg[LastName],MATCH(A222,tblReg[Bib],0)),""))</f>
        <v/>
      </c>
      <c r="E222" t="str">
        <f>IF(A222="","",IFERROR(INDEX(tblReg[Team],MATCH(A222,tblReg[Bib],0)),""))</f>
        <v/>
      </c>
      <c r="F222" s="4" t="s">
        <v>103</v>
      </c>
      <c r="G222" t="str">
        <f t="shared" si="12"/>
        <v/>
      </c>
      <c r="H222" t="str">
        <f t="shared" si="13"/>
        <v/>
      </c>
      <c r="I222">
        <f>IF(H222="",0,IFERROR(INDEX(Config!$K$4:$K$6,MATCH(H222,Config!$H$4:$H$6,0)),0))</f>
        <v>0</v>
      </c>
      <c r="J222" t="str">
        <f t="shared" si="14"/>
        <v/>
      </c>
      <c r="K222" s="5" t="str">
        <f t="shared" si="15"/>
        <v/>
      </c>
      <c r="L222">
        <f>IF(A222="",999,IFERROR(MATCH(B222,Config!$A$4:$A$7,0),99)*10+IF(ISNUMBER(F222),1,IF(F222="",2,IF(UPPER(F222)="DNF",3,IF(UPPER(F222)="DNS",4,8)))))</f>
        <v>999</v>
      </c>
    </row>
    <row r="223" spans="2:12" x14ac:dyDescent="0.25">
      <c r="B223" t="str">
        <f>IF(A223="","",IFERROR(INDEX(tblReg[Field],MATCH(A223,tblReg[Bib],0)),""))</f>
        <v/>
      </c>
      <c r="C223" t="str">
        <f>IF(A223="","",IFERROR(INDEX(tblReg[FirstName],MATCH(A223,tblReg[Bib],0)),""))</f>
        <v/>
      </c>
      <c r="D223" t="str">
        <f>IF(A223="","",IFERROR(INDEX(tblReg[LastName],MATCH(A223,tblReg[Bib],0)),""))</f>
        <v/>
      </c>
      <c r="E223" t="str">
        <f>IF(A223="","",IFERROR(INDEX(tblReg[Team],MATCH(A223,tblReg[Bib],0)),""))</f>
        <v/>
      </c>
      <c r="F223" s="4" t="s">
        <v>103</v>
      </c>
      <c r="G223" t="str">
        <f t="shared" si="12"/>
        <v/>
      </c>
      <c r="H223" t="str">
        <f t="shared" si="13"/>
        <v/>
      </c>
      <c r="I223">
        <f>IF(H223="",0,IFERROR(INDEX(Config!$K$4:$K$6,MATCH(H223,Config!$H$4:$H$6,0)),0))</f>
        <v>0</v>
      </c>
      <c r="J223" t="str">
        <f t="shared" si="14"/>
        <v/>
      </c>
      <c r="K223" s="5" t="str">
        <f t="shared" si="15"/>
        <v/>
      </c>
      <c r="L223">
        <f>IF(A223="",999,IFERROR(MATCH(B223,Config!$A$4:$A$7,0),99)*10+IF(ISNUMBER(F223),1,IF(F223="",2,IF(UPPER(F223)="DNF",3,IF(UPPER(F223)="DNS",4,8)))))</f>
        <v>999</v>
      </c>
    </row>
    <row r="224" spans="2:12" x14ac:dyDescent="0.25">
      <c r="B224" t="str">
        <f>IF(A224="","",IFERROR(INDEX(tblReg[Field],MATCH(A224,tblReg[Bib],0)),""))</f>
        <v/>
      </c>
      <c r="C224" t="str">
        <f>IF(A224="","",IFERROR(INDEX(tblReg[FirstName],MATCH(A224,tblReg[Bib],0)),""))</f>
        <v/>
      </c>
      <c r="D224" t="str">
        <f>IF(A224="","",IFERROR(INDEX(tblReg[LastName],MATCH(A224,tblReg[Bib],0)),""))</f>
        <v/>
      </c>
      <c r="E224" t="str">
        <f>IF(A224="","",IFERROR(INDEX(tblReg[Team],MATCH(A224,tblReg[Bib],0)),""))</f>
        <v/>
      </c>
      <c r="F224" s="4" t="s">
        <v>103</v>
      </c>
      <c r="G224" t="str">
        <f t="shared" si="12"/>
        <v/>
      </c>
      <c r="H224" t="str">
        <f t="shared" si="13"/>
        <v/>
      </c>
      <c r="I224">
        <f>IF(H224="",0,IFERROR(INDEX(Config!$K$4:$K$6,MATCH(H224,Config!$H$4:$H$6,0)),0))</f>
        <v>0</v>
      </c>
      <c r="J224" t="str">
        <f t="shared" si="14"/>
        <v/>
      </c>
      <c r="K224" s="5" t="str">
        <f t="shared" si="15"/>
        <v/>
      </c>
      <c r="L224">
        <f>IF(A224="",999,IFERROR(MATCH(B224,Config!$A$4:$A$7,0),99)*10+IF(ISNUMBER(F224),1,IF(F224="",2,IF(UPPER(F224)="DNF",3,IF(UPPER(F224)="DNS",4,8)))))</f>
        <v>999</v>
      </c>
    </row>
    <row r="225" spans="2:12" x14ac:dyDescent="0.25">
      <c r="B225" t="str">
        <f>IF(A225="","",IFERROR(INDEX(tblReg[Field],MATCH(A225,tblReg[Bib],0)),""))</f>
        <v/>
      </c>
      <c r="C225" t="str">
        <f>IF(A225="","",IFERROR(INDEX(tblReg[FirstName],MATCH(A225,tblReg[Bib],0)),""))</f>
        <v/>
      </c>
      <c r="D225" t="str">
        <f>IF(A225="","",IFERROR(INDEX(tblReg[LastName],MATCH(A225,tblReg[Bib],0)),""))</f>
        <v/>
      </c>
      <c r="E225" t="str">
        <f>IF(A225="","",IFERROR(INDEX(tblReg[Team],MATCH(A225,tblReg[Bib],0)),""))</f>
        <v/>
      </c>
      <c r="F225" s="4" t="s">
        <v>103</v>
      </c>
      <c r="G225" t="str">
        <f t="shared" si="12"/>
        <v/>
      </c>
      <c r="H225" t="str">
        <f t="shared" si="13"/>
        <v/>
      </c>
      <c r="I225">
        <f>IF(H225="",0,IFERROR(INDEX(Config!$K$4:$K$6,MATCH(H225,Config!$H$4:$H$6,0)),0))</f>
        <v>0</v>
      </c>
      <c r="J225" t="str">
        <f t="shared" si="14"/>
        <v/>
      </c>
      <c r="K225" s="5" t="str">
        <f t="shared" si="15"/>
        <v/>
      </c>
      <c r="L225">
        <f>IF(A225="",999,IFERROR(MATCH(B225,Config!$A$4:$A$7,0),99)*10+IF(ISNUMBER(F225),1,IF(F225="",2,IF(UPPER(F225)="DNF",3,IF(UPPER(F225)="DNS",4,8)))))</f>
        <v>999</v>
      </c>
    </row>
    <row r="226" spans="2:12" x14ac:dyDescent="0.25">
      <c r="B226" t="str">
        <f>IF(A226="","",IFERROR(INDEX(tblReg[Field],MATCH(A226,tblReg[Bib],0)),""))</f>
        <v/>
      </c>
      <c r="C226" t="str">
        <f>IF(A226="","",IFERROR(INDEX(tblReg[FirstName],MATCH(A226,tblReg[Bib],0)),""))</f>
        <v/>
      </c>
      <c r="D226" t="str">
        <f>IF(A226="","",IFERROR(INDEX(tblReg[LastName],MATCH(A226,tblReg[Bib],0)),""))</f>
        <v/>
      </c>
      <c r="E226" t="str">
        <f>IF(A226="","",IFERROR(INDEX(tblReg[Team],MATCH(A226,tblReg[Bib],0)),""))</f>
        <v/>
      </c>
      <c r="F226" s="4" t="s">
        <v>103</v>
      </c>
      <c r="G226" t="str">
        <f t="shared" si="12"/>
        <v/>
      </c>
      <c r="H226" t="str">
        <f t="shared" si="13"/>
        <v/>
      </c>
      <c r="I226">
        <f>IF(H226="",0,IFERROR(INDEX(Config!$K$4:$K$6,MATCH(H226,Config!$H$4:$H$6,0)),0))</f>
        <v>0</v>
      </c>
      <c r="J226" t="str">
        <f t="shared" si="14"/>
        <v/>
      </c>
      <c r="K226" s="5" t="str">
        <f t="shared" si="15"/>
        <v/>
      </c>
      <c r="L226">
        <f>IF(A226="",999,IFERROR(MATCH(B226,Config!$A$4:$A$7,0),99)*10+IF(ISNUMBER(F226),1,IF(F226="",2,IF(UPPER(F226)="DNF",3,IF(UPPER(F226)="DNS",4,8)))))</f>
        <v>999</v>
      </c>
    </row>
    <row r="227" spans="2:12" x14ac:dyDescent="0.25">
      <c r="B227" t="str">
        <f>IF(A227="","",IFERROR(INDEX(tblReg[Field],MATCH(A227,tblReg[Bib],0)),""))</f>
        <v/>
      </c>
      <c r="C227" t="str">
        <f>IF(A227="","",IFERROR(INDEX(tblReg[FirstName],MATCH(A227,tblReg[Bib],0)),""))</f>
        <v/>
      </c>
      <c r="D227" t="str">
        <f>IF(A227="","",IFERROR(INDEX(tblReg[LastName],MATCH(A227,tblReg[Bib],0)),""))</f>
        <v/>
      </c>
      <c r="E227" t="str">
        <f>IF(A227="","",IFERROR(INDEX(tblReg[Team],MATCH(A227,tblReg[Bib],0)),""))</f>
        <v/>
      </c>
      <c r="F227" s="4" t="s">
        <v>103</v>
      </c>
      <c r="G227" t="str">
        <f t="shared" si="12"/>
        <v/>
      </c>
      <c r="H227" t="str">
        <f t="shared" si="13"/>
        <v/>
      </c>
      <c r="I227">
        <f>IF(H227="",0,IFERROR(INDEX(Config!$K$4:$K$6,MATCH(H227,Config!$H$4:$H$6,0)),0))</f>
        <v>0</v>
      </c>
      <c r="J227" t="str">
        <f t="shared" si="14"/>
        <v/>
      </c>
      <c r="K227" s="5" t="str">
        <f t="shared" si="15"/>
        <v/>
      </c>
      <c r="L227">
        <f>IF(A227="",999,IFERROR(MATCH(B227,Config!$A$4:$A$7,0),99)*10+IF(ISNUMBER(F227),1,IF(F227="",2,IF(UPPER(F227)="DNF",3,IF(UPPER(F227)="DNS",4,8)))))</f>
        <v>999</v>
      </c>
    </row>
    <row r="228" spans="2:12" x14ac:dyDescent="0.25">
      <c r="B228" t="str">
        <f>IF(A228="","",IFERROR(INDEX(tblReg[Field],MATCH(A228,tblReg[Bib],0)),""))</f>
        <v/>
      </c>
      <c r="C228" t="str">
        <f>IF(A228="","",IFERROR(INDEX(tblReg[FirstName],MATCH(A228,tblReg[Bib],0)),""))</f>
        <v/>
      </c>
      <c r="D228" t="str">
        <f>IF(A228="","",IFERROR(INDEX(tblReg[LastName],MATCH(A228,tblReg[Bib],0)),""))</f>
        <v/>
      </c>
      <c r="E228" t="str">
        <f>IF(A228="","",IFERROR(INDEX(tblReg[Team],MATCH(A228,tblReg[Bib],0)),""))</f>
        <v/>
      </c>
      <c r="F228" s="4" t="s">
        <v>103</v>
      </c>
      <c r="G228" t="str">
        <f t="shared" si="12"/>
        <v/>
      </c>
      <c r="H228" t="str">
        <f t="shared" si="13"/>
        <v/>
      </c>
      <c r="I228">
        <f>IF(H228="",0,IFERROR(INDEX(Config!$K$4:$K$6,MATCH(H228,Config!$H$4:$H$6,0)),0))</f>
        <v>0</v>
      </c>
      <c r="J228" t="str">
        <f t="shared" si="14"/>
        <v/>
      </c>
      <c r="K228" s="5" t="str">
        <f t="shared" si="15"/>
        <v/>
      </c>
      <c r="L228">
        <f>IF(A228="",999,IFERROR(MATCH(B228,Config!$A$4:$A$7,0),99)*10+IF(ISNUMBER(F228),1,IF(F228="",2,IF(UPPER(F228)="DNF",3,IF(UPPER(F228)="DNS",4,8)))))</f>
        <v>999</v>
      </c>
    </row>
    <row r="229" spans="2:12" x14ac:dyDescent="0.25">
      <c r="B229" t="str">
        <f>IF(A229="","",IFERROR(INDEX(tblReg[Field],MATCH(A229,tblReg[Bib],0)),""))</f>
        <v/>
      </c>
      <c r="C229" t="str">
        <f>IF(A229="","",IFERROR(INDEX(tblReg[FirstName],MATCH(A229,tblReg[Bib],0)),""))</f>
        <v/>
      </c>
      <c r="D229" t="str">
        <f>IF(A229="","",IFERROR(INDEX(tblReg[LastName],MATCH(A229,tblReg[Bib],0)),""))</f>
        <v/>
      </c>
      <c r="E229" t="str">
        <f>IF(A229="","",IFERROR(INDEX(tblReg[Team],MATCH(A229,tblReg[Bib],0)),""))</f>
        <v/>
      </c>
      <c r="F229" s="4" t="s">
        <v>103</v>
      </c>
      <c r="G229" t="str">
        <f t="shared" si="12"/>
        <v/>
      </c>
      <c r="H229" t="str">
        <f t="shared" si="13"/>
        <v/>
      </c>
      <c r="I229">
        <f>IF(H229="",0,IFERROR(INDEX(Config!$K$4:$K$6,MATCH(H229,Config!$H$4:$H$6,0)),0))</f>
        <v>0</v>
      </c>
      <c r="J229" t="str">
        <f t="shared" si="14"/>
        <v/>
      </c>
      <c r="K229" s="5" t="str">
        <f t="shared" si="15"/>
        <v/>
      </c>
      <c r="L229">
        <f>IF(A229="",999,IFERROR(MATCH(B229,Config!$A$4:$A$7,0),99)*10+IF(ISNUMBER(F229),1,IF(F229="",2,IF(UPPER(F229)="DNF",3,IF(UPPER(F229)="DNS",4,8)))))</f>
        <v>999</v>
      </c>
    </row>
    <row r="230" spans="2:12" x14ac:dyDescent="0.25">
      <c r="B230" t="str">
        <f>IF(A230="","",IFERROR(INDEX(tblReg[Field],MATCH(A230,tblReg[Bib],0)),""))</f>
        <v/>
      </c>
      <c r="C230" t="str">
        <f>IF(A230="","",IFERROR(INDEX(tblReg[FirstName],MATCH(A230,tblReg[Bib],0)),""))</f>
        <v/>
      </c>
      <c r="D230" t="str">
        <f>IF(A230="","",IFERROR(INDEX(tblReg[LastName],MATCH(A230,tblReg[Bib],0)),""))</f>
        <v/>
      </c>
      <c r="E230" t="str">
        <f>IF(A230="","",IFERROR(INDEX(tblReg[Team],MATCH(A230,tblReg[Bib],0)),""))</f>
        <v/>
      </c>
      <c r="F230" s="4" t="s">
        <v>103</v>
      </c>
      <c r="G230" t="str">
        <f t="shared" si="12"/>
        <v/>
      </c>
      <c r="H230" t="str">
        <f t="shared" si="13"/>
        <v/>
      </c>
      <c r="I230">
        <f>IF(H230="",0,IFERROR(INDEX(Config!$K$4:$K$6,MATCH(H230,Config!$H$4:$H$6,0)),0))</f>
        <v>0</v>
      </c>
      <c r="J230" t="str">
        <f t="shared" si="14"/>
        <v/>
      </c>
      <c r="K230" s="5" t="str">
        <f t="shared" si="15"/>
        <v/>
      </c>
      <c r="L230">
        <f>IF(A230="",999,IFERROR(MATCH(B230,Config!$A$4:$A$7,0),99)*10+IF(ISNUMBER(F230),1,IF(F230="",2,IF(UPPER(F230)="DNF",3,IF(UPPER(F230)="DNS",4,8)))))</f>
        <v>999</v>
      </c>
    </row>
    <row r="231" spans="2:12" x14ac:dyDescent="0.25">
      <c r="B231" t="str">
        <f>IF(A231="","",IFERROR(INDEX(tblReg[Field],MATCH(A231,tblReg[Bib],0)),""))</f>
        <v/>
      </c>
      <c r="C231" t="str">
        <f>IF(A231="","",IFERROR(INDEX(tblReg[FirstName],MATCH(A231,tblReg[Bib],0)),""))</f>
        <v/>
      </c>
      <c r="D231" t="str">
        <f>IF(A231="","",IFERROR(INDEX(tblReg[LastName],MATCH(A231,tblReg[Bib],0)),""))</f>
        <v/>
      </c>
      <c r="E231" t="str">
        <f>IF(A231="","",IFERROR(INDEX(tblReg[Team],MATCH(A231,tblReg[Bib],0)),""))</f>
        <v/>
      </c>
      <c r="F231" s="4" t="s">
        <v>103</v>
      </c>
      <c r="G231" t="str">
        <f t="shared" si="12"/>
        <v/>
      </c>
      <c r="H231" t="str">
        <f t="shared" si="13"/>
        <v/>
      </c>
      <c r="I231">
        <f>IF(H231="",0,IFERROR(INDEX(Config!$K$4:$K$6,MATCH(H231,Config!$H$4:$H$6,0)),0))</f>
        <v>0</v>
      </c>
      <c r="J231" t="str">
        <f t="shared" si="14"/>
        <v/>
      </c>
      <c r="K231" s="5" t="str">
        <f t="shared" si="15"/>
        <v/>
      </c>
      <c r="L231">
        <f>IF(A231="",999,IFERROR(MATCH(B231,Config!$A$4:$A$7,0),99)*10+IF(ISNUMBER(F231),1,IF(F231="",2,IF(UPPER(F231)="DNF",3,IF(UPPER(F231)="DNS",4,8)))))</f>
        <v>999</v>
      </c>
    </row>
    <row r="232" spans="2:12" x14ac:dyDescent="0.25">
      <c r="B232" t="str">
        <f>IF(A232="","",IFERROR(INDEX(tblReg[Field],MATCH(A232,tblReg[Bib],0)),""))</f>
        <v/>
      </c>
      <c r="C232" t="str">
        <f>IF(A232="","",IFERROR(INDEX(tblReg[FirstName],MATCH(A232,tblReg[Bib],0)),""))</f>
        <v/>
      </c>
      <c r="D232" t="str">
        <f>IF(A232="","",IFERROR(INDEX(tblReg[LastName],MATCH(A232,tblReg[Bib],0)),""))</f>
        <v/>
      </c>
      <c r="E232" t="str">
        <f>IF(A232="","",IFERROR(INDEX(tblReg[Team],MATCH(A232,tblReg[Bib],0)),""))</f>
        <v/>
      </c>
      <c r="F232" s="4" t="s">
        <v>103</v>
      </c>
      <c r="G232" t="str">
        <f t="shared" si="12"/>
        <v/>
      </c>
      <c r="H232" t="str">
        <f t="shared" si="13"/>
        <v/>
      </c>
      <c r="I232">
        <f>IF(H232="",0,IFERROR(INDEX(Config!$K$4:$K$6,MATCH(H232,Config!$H$4:$H$6,0)),0))</f>
        <v>0</v>
      </c>
      <c r="J232" t="str">
        <f t="shared" si="14"/>
        <v/>
      </c>
      <c r="K232" s="5" t="str">
        <f t="shared" si="15"/>
        <v/>
      </c>
      <c r="L232">
        <f>IF(A232="",999,IFERROR(MATCH(B232,Config!$A$4:$A$7,0),99)*10+IF(ISNUMBER(F232),1,IF(F232="",2,IF(UPPER(F232)="DNF",3,IF(UPPER(F232)="DNS",4,8)))))</f>
        <v>999</v>
      </c>
    </row>
    <row r="233" spans="2:12" x14ac:dyDescent="0.25">
      <c r="B233" t="str">
        <f>IF(A233="","",IFERROR(INDEX(tblReg[Field],MATCH(A233,tblReg[Bib],0)),""))</f>
        <v/>
      </c>
      <c r="C233" t="str">
        <f>IF(A233="","",IFERROR(INDEX(tblReg[FirstName],MATCH(A233,tblReg[Bib],0)),""))</f>
        <v/>
      </c>
      <c r="D233" t="str">
        <f>IF(A233="","",IFERROR(INDEX(tblReg[LastName],MATCH(A233,tblReg[Bib],0)),""))</f>
        <v/>
      </c>
      <c r="E233" t="str">
        <f>IF(A233="","",IFERROR(INDEX(tblReg[Team],MATCH(A233,tblReg[Bib],0)),""))</f>
        <v/>
      </c>
      <c r="F233" s="4" t="s">
        <v>103</v>
      </c>
      <c r="G233" t="str">
        <f t="shared" si="12"/>
        <v/>
      </c>
      <c r="H233" t="str">
        <f t="shared" si="13"/>
        <v/>
      </c>
      <c r="I233">
        <f>IF(H233="",0,IFERROR(INDEX(Config!$K$4:$K$6,MATCH(H233,Config!$H$4:$H$6,0)),0))</f>
        <v>0</v>
      </c>
      <c r="J233" t="str">
        <f t="shared" si="14"/>
        <v/>
      </c>
      <c r="K233" s="5" t="str">
        <f t="shared" si="15"/>
        <v/>
      </c>
      <c r="L233">
        <f>IF(A233="",999,IFERROR(MATCH(B233,Config!$A$4:$A$7,0),99)*10+IF(ISNUMBER(F233),1,IF(F233="",2,IF(UPPER(F233)="DNF",3,IF(UPPER(F233)="DNS",4,8)))))</f>
        <v>999</v>
      </c>
    </row>
    <row r="234" spans="2:12" x14ac:dyDescent="0.25">
      <c r="B234" t="str">
        <f>IF(A234="","",IFERROR(INDEX(tblReg[Field],MATCH(A234,tblReg[Bib],0)),""))</f>
        <v/>
      </c>
      <c r="C234" t="str">
        <f>IF(A234="","",IFERROR(INDEX(tblReg[FirstName],MATCH(A234,tblReg[Bib],0)),""))</f>
        <v/>
      </c>
      <c r="D234" t="str">
        <f>IF(A234="","",IFERROR(INDEX(tblReg[LastName],MATCH(A234,tblReg[Bib],0)),""))</f>
        <v/>
      </c>
      <c r="E234" t="str">
        <f>IF(A234="","",IFERROR(INDEX(tblReg[Team],MATCH(A234,tblReg[Bib],0)),""))</f>
        <v/>
      </c>
      <c r="F234" s="4" t="s">
        <v>103</v>
      </c>
      <c r="G234" t="str">
        <f t="shared" si="12"/>
        <v/>
      </c>
      <c r="H234" t="str">
        <f t="shared" si="13"/>
        <v/>
      </c>
      <c r="I234">
        <f>IF(H234="",0,IFERROR(INDEX(Config!$K$4:$K$6,MATCH(H234,Config!$H$4:$H$6,0)),0))</f>
        <v>0</v>
      </c>
      <c r="J234" t="str">
        <f t="shared" si="14"/>
        <v/>
      </c>
      <c r="K234" s="5" t="str">
        <f t="shared" si="15"/>
        <v/>
      </c>
      <c r="L234">
        <f>IF(A234="",999,IFERROR(MATCH(B234,Config!$A$4:$A$7,0),99)*10+IF(ISNUMBER(F234),1,IF(F234="",2,IF(UPPER(F234)="DNF",3,IF(UPPER(F234)="DNS",4,8)))))</f>
        <v>999</v>
      </c>
    </row>
    <row r="235" spans="2:12" x14ac:dyDescent="0.25">
      <c r="B235" t="str">
        <f>IF(A235="","",IFERROR(INDEX(tblReg[Field],MATCH(A235,tblReg[Bib],0)),""))</f>
        <v/>
      </c>
      <c r="C235" t="str">
        <f>IF(A235="","",IFERROR(INDEX(tblReg[FirstName],MATCH(A235,tblReg[Bib],0)),""))</f>
        <v/>
      </c>
      <c r="D235" t="str">
        <f>IF(A235="","",IFERROR(INDEX(tblReg[LastName],MATCH(A235,tblReg[Bib],0)),""))</f>
        <v/>
      </c>
      <c r="E235" t="str">
        <f>IF(A235="","",IFERROR(INDEX(tblReg[Team],MATCH(A235,tblReg[Bib],0)),""))</f>
        <v/>
      </c>
      <c r="F235" s="4" t="s">
        <v>103</v>
      </c>
      <c r="G235" t="str">
        <f t="shared" si="12"/>
        <v/>
      </c>
      <c r="H235" t="str">
        <f t="shared" si="13"/>
        <v/>
      </c>
      <c r="I235">
        <f>IF(H235="",0,IFERROR(INDEX(Config!$K$4:$K$6,MATCH(H235,Config!$H$4:$H$6,0)),0))</f>
        <v>0</v>
      </c>
      <c r="J235" t="str">
        <f t="shared" si="14"/>
        <v/>
      </c>
      <c r="K235" s="5" t="str">
        <f t="shared" si="15"/>
        <v/>
      </c>
      <c r="L235">
        <f>IF(A235="",999,IFERROR(MATCH(B235,Config!$A$4:$A$7,0),99)*10+IF(ISNUMBER(F235),1,IF(F235="",2,IF(UPPER(F235)="DNF",3,IF(UPPER(F235)="DNS",4,8)))))</f>
        <v>999</v>
      </c>
    </row>
    <row r="236" spans="2:12" x14ac:dyDescent="0.25">
      <c r="B236" t="str">
        <f>IF(A236="","",IFERROR(INDEX(tblReg[Field],MATCH(A236,tblReg[Bib],0)),""))</f>
        <v/>
      </c>
      <c r="C236" t="str">
        <f>IF(A236="","",IFERROR(INDEX(tblReg[FirstName],MATCH(A236,tblReg[Bib],0)),""))</f>
        <v/>
      </c>
      <c r="D236" t="str">
        <f>IF(A236="","",IFERROR(INDEX(tblReg[LastName],MATCH(A236,tblReg[Bib],0)),""))</f>
        <v/>
      </c>
      <c r="E236" t="str">
        <f>IF(A236="","",IFERROR(INDEX(tblReg[Team],MATCH(A236,tblReg[Bib],0)),""))</f>
        <v/>
      </c>
      <c r="F236" s="4" t="s">
        <v>103</v>
      </c>
      <c r="G236" t="str">
        <f t="shared" si="12"/>
        <v/>
      </c>
      <c r="H236" t="str">
        <f t="shared" si="13"/>
        <v/>
      </c>
      <c r="I236">
        <f>IF(H236="",0,IFERROR(INDEX(Config!$K$4:$K$6,MATCH(H236,Config!$H$4:$H$6,0)),0))</f>
        <v>0</v>
      </c>
      <c r="J236" t="str">
        <f t="shared" si="14"/>
        <v/>
      </c>
      <c r="K236" s="5" t="str">
        <f t="shared" si="15"/>
        <v/>
      </c>
      <c r="L236">
        <f>IF(A236="",999,IFERROR(MATCH(B236,Config!$A$4:$A$7,0),99)*10+IF(ISNUMBER(F236),1,IF(F236="",2,IF(UPPER(F236)="DNF",3,IF(UPPER(F236)="DNS",4,8)))))</f>
        <v>999</v>
      </c>
    </row>
    <row r="237" spans="2:12" x14ac:dyDescent="0.25">
      <c r="B237" t="str">
        <f>IF(A237="","",IFERROR(INDEX(tblReg[Field],MATCH(A237,tblReg[Bib],0)),""))</f>
        <v/>
      </c>
      <c r="C237" t="str">
        <f>IF(A237="","",IFERROR(INDEX(tblReg[FirstName],MATCH(A237,tblReg[Bib],0)),""))</f>
        <v/>
      </c>
      <c r="D237" t="str">
        <f>IF(A237="","",IFERROR(INDEX(tblReg[LastName],MATCH(A237,tblReg[Bib],0)),""))</f>
        <v/>
      </c>
      <c r="E237" t="str">
        <f>IF(A237="","",IFERROR(INDEX(tblReg[Team],MATCH(A237,tblReg[Bib],0)),""))</f>
        <v/>
      </c>
      <c r="F237" s="4" t="s">
        <v>103</v>
      </c>
      <c r="G237" t="str">
        <f t="shared" si="12"/>
        <v/>
      </c>
      <c r="H237" t="str">
        <f t="shared" si="13"/>
        <v/>
      </c>
      <c r="I237">
        <f>IF(H237="",0,IFERROR(INDEX(Config!$K$4:$K$6,MATCH(H237,Config!$H$4:$H$6,0)),0))</f>
        <v>0</v>
      </c>
      <c r="J237" t="str">
        <f t="shared" si="14"/>
        <v/>
      </c>
      <c r="K237" s="5" t="str">
        <f t="shared" si="15"/>
        <v/>
      </c>
      <c r="L237">
        <f>IF(A237="",999,IFERROR(MATCH(B237,Config!$A$4:$A$7,0),99)*10+IF(ISNUMBER(F237),1,IF(F237="",2,IF(UPPER(F237)="DNF",3,IF(UPPER(F237)="DNS",4,8)))))</f>
        <v>999</v>
      </c>
    </row>
    <row r="238" spans="2:12" x14ac:dyDescent="0.25">
      <c r="B238" t="str">
        <f>IF(A238="","",IFERROR(INDEX(tblReg[Field],MATCH(A238,tblReg[Bib],0)),""))</f>
        <v/>
      </c>
      <c r="C238" t="str">
        <f>IF(A238="","",IFERROR(INDEX(tblReg[FirstName],MATCH(A238,tblReg[Bib],0)),""))</f>
        <v/>
      </c>
      <c r="D238" t="str">
        <f>IF(A238="","",IFERROR(INDEX(tblReg[LastName],MATCH(A238,tblReg[Bib],0)),""))</f>
        <v/>
      </c>
      <c r="E238" t="str">
        <f>IF(A238="","",IFERROR(INDEX(tblReg[Team],MATCH(A238,tblReg[Bib],0)),""))</f>
        <v/>
      </c>
      <c r="F238" s="4" t="s">
        <v>103</v>
      </c>
      <c r="G238" t="str">
        <f t="shared" si="12"/>
        <v/>
      </c>
      <c r="H238" t="str">
        <f t="shared" si="13"/>
        <v/>
      </c>
      <c r="I238">
        <f>IF(H238="",0,IFERROR(INDEX(Config!$K$4:$K$6,MATCH(H238,Config!$H$4:$H$6,0)),0))</f>
        <v>0</v>
      </c>
      <c r="J238" t="str">
        <f t="shared" si="14"/>
        <v/>
      </c>
      <c r="K238" s="5" t="str">
        <f t="shared" si="15"/>
        <v/>
      </c>
      <c r="L238">
        <f>IF(A238="",999,IFERROR(MATCH(B238,Config!$A$4:$A$7,0),99)*10+IF(ISNUMBER(F238),1,IF(F238="",2,IF(UPPER(F238)="DNF",3,IF(UPPER(F238)="DNS",4,8)))))</f>
        <v>999</v>
      </c>
    </row>
    <row r="239" spans="2:12" x14ac:dyDescent="0.25">
      <c r="B239" t="str">
        <f>IF(A239="","",IFERROR(INDEX(tblReg[Field],MATCH(A239,tblReg[Bib],0)),""))</f>
        <v/>
      </c>
      <c r="C239" t="str">
        <f>IF(A239="","",IFERROR(INDEX(tblReg[FirstName],MATCH(A239,tblReg[Bib],0)),""))</f>
        <v/>
      </c>
      <c r="D239" t="str">
        <f>IF(A239="","",IFERROR(INDEX(tblReg[LastName],MATCH(A239,tblReg[Bib],0)),""))</f>
        <v/>
      </c>
      <c r="E239" t="str">
        <f>IF(A239="","",IFERROR(INDEX(tblReg[Team],MATCH(A239,tblReg[Bib],0)),""))</f>
        <v/>
      </c>
      <c r="F239" s="4" t="s">
        <v>103</v>
      </c>
      <c r="G239" t="str">
        <f t="shared" si="12"/>
        <v/>
      </c>
      <c r="H239" t="str">
        <f t="shared" si="13"/>
        <v/>
      </c>
      <c r="I239">
        <f>IF(H239="",0,IFERROR(INDEX(Config!$K$4:$K$6,MATCH(H239,Config!$H$4:$H$6,0)),0))</f>
        <v>0</v>
      </c>
      <c r="J239" t="str">
        <f t="shared" si="14"/>
        <v/>
      </c>
      <c r="K239" s="5" t="str">
        <f t="shared" si="15"/>
        <v/>
      </c>
      <c r="L239">
        <f>IF(A239="",999,IFERROR(MATCH(B239,Config!$A$4:$A$7,0),99)*10+IF(ISNUMBER(F239),1,IF(F239="",2,IF(UPPER(F239)="DNF",3,IF(UPPER(F239)="DNS",4,8)))))</f>
        <v>999</v>
      </c>
    </row>
    <row r="240" spans="2:12" x14ac:dyDescent="0.25">
      <c r="B240" t="str">
        <f>IF(A240="","",IFERROR(INDEX(tblReg[Field],MATCH(A240,tblReg[Bib],0)),""))</f>
        <v/>
      </c>
      <c r="C240" t="str">
        <f>IF(A240="","",IFERROR(INDEX(tblReg[FirstName],MATCH(A240,tblReg[Bib],0)),""))</f>
        <v/>
      </c>
      <c r="D240" t="str">
        <f>IF(A240="","",IFERROR(INDEX(tblReg[LastName],MATCH(A240,tblReg[Bib],0)),""))</f>
        <v/>
      </c>
      <c r="E240" t="str">
        <f>IF(A240="","",IFERROR(INDEX(tblReg[Team],MATCH(A240,tblReg[Bib],0)),""))</f>
        <v/>
      </c>
      <c r="F240" s="4" t="s">
        <v>103</v>
      </c>
      <c r="G240" t="str">
        <f t="shared" si="12"/>
        <v/>
      </c>
      <c r="H240" t="str">
        <f t="shared" si="13"/>
        <v/>
      </c>
      <c r="I240">
        <f>IF(H240="",0,IFERROR(INDEX(Config!$K$4:$K$6,MATCH(H240,Config!$H$4:$H$6,0)),0))</f>
        <v>0</v>
      </c>
      <c r="J240" t="str">
        <f t="shared" si="14"/>
        <v/>
      </c>
      <c r="K240" s="5" t="str">
        <f t="shared" si="15"/>
        <v/>
      </c>
      <c r="L240">
        <f>IF(A240="",999,IFERROR(MATCH(B240,Config!$A$4:$A$7,0),99)*10+IF(ISNUMBER(F240),1,IF(F240="",2,IF(UPPER(F240)="DNF",3,IF(UPPER(F240)="DNS",4,8)))))</f>
        <v>999</v>
      </c>
    </row>
    <row r="241" spans="2:12" x14ac:dyDescent="0.25">
      <c r="B241" t="str">
        <f>IF(A241="","",IFERROR(INDEX(tblReg[Field],MATCH(A241,tblReg[Bib],0)),""))</f>
        <v/>
      </c>
      <c r="C241" t="str">
        <f>IF(A241="","",IFERROR(INDEX(tblReg[FirstName],MATCH(A241,tblReg[Bib],0)),""))</f>
        <v/>
      </c>
      <c r="D241" t="str">
        <f>IF(A241="","",IFERROR(INDEX(tblReg[LastName],MATCH(A241,tblReg[Bib],0)),""))</f>
        <v/>
      </c>
      <c r="E241" t="str">
        <f>IF(A241="","",IFERROR(INDEX(tblReg[Team],MATCH(A241,tblReg[Bib],0)),""))</f>
        <v/>
      </c>
      <c r="F241" s="4" t="s">
        <v>103</v>
      </c>
      <c r="G241" t="str">
        <f t="shared" si="12"/>
        <v/>
      </c>
      <c r="H241" t="str">
        <f t="shared" si="13"/>
        <v/>
      </c>
      <c r="I241">
        <f>IF(H241="",0,IFERROR(INDEX(Config!$K$4:$K$6,MATCH(H241,Config!$H$4:$H$6,0)),0))</f>
        <v>0</v>
      </c>
      <c r="J241" t="str">
        <f t="shared" si="14"/>
        <v/>
      </c>
      <c r="K241" s="5" t="str">
        <f t="shared" si="15"/>
        <v/>
      </c>
      <c r="L241">
        <f>IF(A241="",999,IFERROR(MATCH(B241,Config!$A$4:$A$7,0),99)*10+IF(ISNUMBER(F241),1,IF(F241="",2,IF(UPPER(F241)="DNF",3,IF(UPPER(F241)="DNS",4,8)))))</f>
        <v>999</v>
      </c>
    </row>
    <row r="242" spans="2:12" x14ac:dyDescent="0.25">
      <c r="B242" t="str">
        <f>IF(A242="","",IFERROR(INDEX(tblReg[Field],MATCH(A242,tblReg[Bib],0)),""))</f>
        <v/>
      </c>
      <c r="C242" t="str">
        <f>IF(A242="","",IFERROR(INDEX(tblReg[FirstName],MATCH(A242,tblReg[Bib],0)),""))</f>
        <v/>
      </c>
      <c r="D242" t="str">
        <f>IF(A242="","",IFERROR(INDEX(tblReg[LastName],MATCH(A242,tblReg[Bib],0)),""))</f>
        <v/>
      </c>
      <c r="E242" t="str">
        <f>IF(A242="","",IFERROR(INDEX(tblReg[Team],MATCH(A242,tblReg[Bib],0)),""))</f>
        <v/>
      </c>
      <c r="F242" s="4" t="s">
        <v>103</v>
      </c>
      <c r="G242" t="str">
        <f t="shared" si="12"/>
        <v/>
      </c>
      <c r="H242" t="str">
        <f t="shared" si="13"/>
        <v/>
      </c>
      <c r="I242">
        <f>IF(H242="",0,IFERROR(INDEX(Config!$K$4:$K$6,MATCH(H242,Config!$H$4:$H$6,0)),0))</f>
        <v>0</v>
      </c>
      <c r="J242" t="str">
        <f t="shared" si="14"/>
        <v/>
      </c>
      <c r="K242" s="5" t="str">
        <f t="shared" si="15"/>
        <v/>
      </c>
      <c r="L242">
        <f>IF(A242="",999,IFERROR(MATCH(B242,Config!$A$4:$A$7,0),99)*10+IF(ISNUMBER(F242),1,IF(F242="",2,IF(UPPER(F242)="DNF",3,IF(UPPER(F242)="DNS",4,8)))))</f>
        <v>999</v>
      </c>
    </row>
    <row r="243" spans="2:12" x14ac:dyDescent="0.25">
      <c r="B243" t="str">
        <f>IF(A243="","",IFERROR(INDEX(tblReg[Field],MATCH(A243,tblReg[Bib],0)),""))</f>
        <v/>
      </c>
      <c r="C243" t="str">
        <f>IF(A243="","",IFERROR(INDEX(tblReg[FirstName],MATCH(A243,tblReg[Bib],0)),""))</f>
        <v/>
      </c>
      <c r="D243" t="str">
        <f>IF(A243="","",IFERROR(INDEX(tblReg[LastName],MATCH(A243,tblReg[Bib],0)),""))</f>
        <v/>
      </c>
      <c r="E243" t="str">
        <f>IF(A243="","",IFERROR(INDEX(tblReg[Team],MATCH(A243,tblReg[Bib],0)),""))</f>
        <v/>
      </c>
      <c r="F243" s="4" t="s">
        <v>103</v>
      </c>
      <c r="G243" t="str">
        <f t="shared" si="12"/>
        <v/>
      </c>
      <c r="H243" t="str">
        <f t="shared" si="13"/>
        <v/>
      </c>
      <c r="I243">
        <f>IF(H243="",0,IFERROR(INDEX(Config!$K$4:$K$6,MATCH(H243,Config!$H$4:$H$6,0)),0))</f>
        <v>0</v>
      </c>
      <c r="J243" t="str">
        <f t="shared" si="14"/>
        <v/>
      </c>
      <c r="K243" s="5" t="str">
        <f t="shared" si="15"/>
        <v/>
      </c>
      <c r="L243">
        <f>IF(A243="",999,IFERROR(MATCH(B243,Config!$A$4:$A$7,0),99)*10+IF(ISNUMBER(F243),1,IF(F243="",2,IF(UPPER(F243)="DNF",3,IF(UPPER(F243)="DNS",4,8)))))</f>
        <v>999</v>
      </c>
    </row>
    <row r="244" spans="2:12" x14ac:dyDescent="0.25">
      <c r="B244" t="str">
        <f>IF(A244="","",IFERROR(INDEX(tblReg[Field],MATCH(A244,tblReg[Bib],0)),""))</f>
        <v/>
      </c>
      <c r="C244" t="str">
        <f>IF(A244="","",IFERROR(INDEX(tblReg[FirstName],MATCH(A244,tblReg[Bib],0)),""))</f>
        <v/>
      </c>
      <c r="D244" t="str">
        <f>IF(A244="","",IFERROR(INDEX(tblReg[LastName],MATCH(A244,tblReg[Bib],0)),""))</f>
        <v/>
      </c>
      <c r="E244" t="str">
        <f>IF(A244="","",IFERROR(INDEX(tblReg[Team],MATCH(A244,tblReg[Bib],0)),""))</f>
        <v/>
      </c>
      <c r="F244" s="4" t="s">
        <v>103</v>
      </c>
      <c r="G244" t="str">
        <f t="shared" si="12"/>
        <v/>
      </c>
      <c r="H244" t="str">
        <f t="shared" si="13"/>
        <v/>
      </c>
      <c r="I244">
        <f>IF(H244="",0,IFERROR(INDEX(Config!$K$4:$K$6,MATCH(H244,Config!$H$4:$H$6,0)),0))</f>
        <v>0</v>
      </c>
      <c r="J244" t="str">
        <f t="shared" si="14"/>
        <v/>
      </c>
      <c r="K244" s="5" t="str">
        <f t="shared" si="15"/>
        <v/>
      </c>
      <c r="L244">
        <f>IF(A244="",999,IFERROR(MATCH(B244,Config!$A$4:$A$7,0),99)*10+IF(ISNUMBER(F244),1,IF(F244="",2,IF(UPPER(F244)="DNF",3,IF(UPPER(F244)="DNS",4,8)))))</f>
        <v>999</v>
      </c>
    </row>
    <row r="245" spans="2:12" x14ac:dyDescent="0.25">
      <c r="B245" t="str">
        <f>IF(A245="","",IFERROR(INDEX(tblReg[Field],MATCH(A245,tblReg[Bib],0)),""))</f>
        <v/>
      </c>
      <c r="C245" t="str">
        <f>IF(A245="","",IFERROR(INDEX(tblReg[FirstName],MATCH(A245,tblReg[Bib],0)),""))</f>
        <v/>
      </c>
      <c r="D245" t="str">
        <f>IF(A245="","",IFERROR(INDEX(tblReg[LastName],MATCH(A245,tblReg[Bib],0)),""))</f>
        <v/>
      </c>
      <c r="E245" t="str">
        <f>IF(A245="","",IFERROR(INDEX(tblReg[Team],MATCH(A245,tblReg[Bib],0)),""))</f>
        <v/>
      </c>
      <c r="F245" s="4" t="s">
        <v>103</v>
      </c>
      <c r="G245" t="str">
        <f t="shared" si="12"/>
        <v/>
      </c>
      <c r="H245" t="str">
        <f t="shared" si="13"/>
        <v/>
      </c>
      <c r="I245">
        <f>IF(H245="",0,IFERROR(INDEX(Config!$K$4:$K$6,MATCH(H245,Config!$H$4:$H$6,0)),0))</f>
        <v>0</v>
      </c>
      <c r="J245" t="str">
        <f t="shared" si="14"/>
        <v/>
      </c>
      <c r="K245" s="5" t="str">
        <f t="shared" si="15"/>
        <v/>
      </c>
      <c r="L245">
        <f>IF(A245="",999,IFERROR(MATCH(B245,Config!$A$4:$A$7,0),99)*10+IF(ISNUMBER(F245),1,IF(F245="",2,IF(UPPER(F245)="DNF",3,IF(UPPER(F245)="DNS",4,8)))))</f>
        <v>999</v>
      </c>
    </row>
    <row r="246" spans="2:12" x14ac:dyDescent="0.25">
      <c r="B246" t="str">
        <f>IF(A246="","",IFERROR(INDEX(tblReg[Field],MATCH(A246,tblReg[Bib],0)),""))</f>
        <v/>
      </c>
      <c r="C246" t="str">
        <f>IF(A246="","",IFERROR(INDEX(tblReg[FirstName],MATCH(A246,tblReg[Bib],0)),""))</f>
        <v/>
      </c>
      <c r="D246" t="str">
        <f>IF(A246="","",IFERROR(INDEX(tblReg[LastName],MATCH(A246,tblReg[Bib],0)),""))</f>
        <v/>
      </c>
      <c r="E246" t="str">
        <f>IF(A246="","",IFERROR(INDEX(tblReg[Team],MATCH(A246,tblReg[Bib],0)),""))</f>
        <v/>
      </c>
      <c r="F246" s="4" t="s">
        <v>103</v>
      </c>
      <c r="G246" t="str">
        <f t="shared" si="12"/>
        <v/>
      </c>
      <c r="H246" t="str">
        <f t="shared" si="13"/>
        <v/>
      </c>
      <c r="I246">
        <f>IF(H246="",0,IFERROR(INDEX(Config!$K$4:$K$6,MATCH(H246,Config!$H$4:$H$6,0)),0))</f>
        <v>0</v>
      </c>
      <c r="J246" t="str">
        <f t="shared" si="14"/>
        <v/>
      </c>
      <c r="K246" s="5" t="str">
        <f t="shared" si="15"/>
        <v/>
      </c>
      <c r="L246">
        <f>IF(A246="",999,IFERROR(MATCH(B246,Config!$A$4:$A$7,0),99)*10+IF(ISNUMBER(F246),1,IF(F246="",2,IF(UPPER(F246)="DNF",3,IF(UPPER(F246)="DNS",4,8)))))</f>
        <v>999</v>
      </c>
    </row>
    <row r="247" spans="2:12" x14ac:dyDescent="0.25">
      <c r="B247" t="str">
        <f>IF(A247="","",IFERROR(INDEX(tblReg[Field],MATCH(A247,tblReg[Bib],0)),""))</f>
        <v/>
      </c>
      <c r="C247" t="str">
        <f>IF(A247="","",IFERROR(INDEX(tblReg[FirstName],MATCH(A247,tblReg[Bib],0)),""))</f>
        <v/>
      </c>
      <c r="D247" t="str">
        <f>IF(A247="","",IFERROR(INDEX(tblReg[LastName],MATCH(A247,tblReg[Bib],0)),""))</f>
        <v/>
      </c>
      <c r="E247" t="str">
        <f>IF(A247="","",IFERROR(INDEX(tblReg[Team],MATCH(A247,tblReg[Bib],0)),""))</f>
        <v/>
      </c>
      <c r="F247" s="4" t="s">
        <v>103</v>
      </c>
      <c r="G247" t="str">
        <f t="shared" si="12"/>
        <v/>
      </c>
      <c r="H247" t="str">
        <f t="shared" si="13"/>
        <v/>
      </c>
      <c r="I247">
        <f>IF(H247="",0,IFERROR(INDEX(Config!$K$4:$K$6,MATCH(H247,Config!$H$4:$H$6,0)),0))</f>
        <v>0</v>
      </c>
      <c r="J247" t="str">
        <f t="shared" si="14"/>
        <v/>
      </c>
      <c r="K247" s="5" t="str">
        <f t="shared" si="15"/>
        <v/>
      </c>
      <c r="L247">
        <f>IF(A247="",999,IFERROR(MATCH(B247,Config!$A$4:$A$7,0),99)*10+IF(ISNUMBER(F247),1,IF(F247="",2,IF(UPPER(F247)="DNF",3,IF(UPPER(F247)="DNS",4,8)))))</f>
        <v>999</v>
      </c>
    </row>
    <row r="248" spans="2:12" x14ac:dyDescent="0.25">
      <c r="B248" t="str">
        <f>IF(A248="","",IFERROR(INDEX(tblReg[Field],MATCH(A248,tblReg[Bib],0)),""))</f>
        <v/>
      </c>
      <c r="C248" t="str">
        <f>IF(A248="","",IFERROR(INDEX(tblReg[FirstName],MATCH(A248,tblReg[Bib],0)),""))</f>
        <v/>
      </c>
      <c r="D248" t="str">
        <f>IF(A248="","",IFERROR(INDEX(tblReg[LastName],MATCH(A248,tblReg[Bib],0)),""))</f>
        <v/>
      </c>
      <c r="E248" t="str">
        <f>IF(A248="","",IFERROR(INDEX(tblReg[Team],MATCH(A248,tblReg[Bib],0)),""))</f>
        <v/>
      </c>
      <c r="F248" s="4" t="s">
        <v>103</v>
      </c>
      <c r="G248" t="str">
        <f t="shared" si="12"/>
        <v/>
      </c>
      <c r="H248" t="str">
        <f t="shared" si="13"/>
        <v/>
      </c>
      <c r="I248">
        <f>IF(H248="",0,IFERROR(INDEX(Config!$K$4:$K$6,MATCH(H248,Config!$H$4:$H$6,0)),0))</f>
        <v>0</v>
      </c>
      <c r="J248" t="str">
        <f t="shared" si="14"/>
        <v/>
      </c>
      <c r="K248" s="5" t="str">
        <f t="shared" si="15"/>
        <v/>
      </c>
      <c r="L248">
        <f>IF(A248="",999,IFERROR(MATCH(B248,Config!$A$4:$A$7,0),99)*10+IF(ISNUMBER(F248),1,IF(F248="",2,IF(UPPER(F248)="DNF",3,IF(UPPER(F248)="DNS",4,8)))))</f>
        <v>999</v>
      </c>
    </row>
    <row r="249" spans="2:12" x14ac:dyDescent="0.25">
      <c r="B249" t="str">
        <f>IF(A249="","",IFERROR(INDEX(tblReg[Field],MATCH(A249,tblReg[Bib],0)),""))</f>
        <v/>
      </c>
      <c r="C249" t="str">
        <f>IF(A249="","",IFERROR(INDEX(tblReg[FirstName],MATCH(A249,tblReg[Bib],0)),""))</f>
        <v/>
      </c>
      <c r="D249" t="str">
        <f>IF(A249="","",IFERROR(INDEX(tblReg[LastName],MATCH(A249,tblReg[Bib],0)),""))</f>
        <v/>
      </c>
      <c r="E249" t="str">
        <f>IF(A249="","",IFERROR(INDEX(tblReg[Team],MATCH(A249,tblReg[Bib],0)),""))</f>
        <v/>
      </c>
      <c r="F249" s="4" t="s">
        <v>103</v>
      </c>
      <c r="G249" t="str">
        <f t="shared" si="12"/>
        <v/>
      </c>
      <c r="H249" t="str">
        <f t="shared" si="13"/>
        <v/>
      </c>
      <c r="I249">
        <f>IF(H249="",0,IFERROR(INDEX(Config!$K$4:$K$6,MATCH(H249,Config!$H$4:$H$6,0)),0))</f>
        <v>0</v>
      </c>
      <c r="J249" t="str">
        <f t="shared" si="14"/>
        <v/>
      </c>
      <c r="K249" s="5" t="str">
        <f t="shared" si="15"/>
        <v/>
      </c>
      <c r="L249">
        <f>IF(A249="",999,IFERROR(MATCH(B249,Config!$A$4:$A$7,0),99)*10+IF(ISNUMBER(F249),1,IF(F249="",2,IF(UPPER(F249)="DNF",3,IF(UPPER(F249)="DNS",4,8)))))</f>
        <v>999</v>
      </c>
    </row>
    <row r="250" spans="2:12" x14ac:dyDescent="0.25">
      <c r="B250" t="str">
        <f>IF(A250="","",IFERROR(INDEX(tblReg[Field],MATCH(A250,tblReg[Bib],0)),""))</f>
        <v/>
      </c>
      <c r="C250" t="str">
        <f>IF(A250="","",IFERROR(INDEX(tblReg[FirstName],MATCH(A250,tblReg[Bib],0)),""))</f>
        <v/>
      </c>
      <c r="D250" t="str">
        <f>IF(A250="","",IFERROR(INDEX(tblReg[LastName],MATCH(A250,tblReg[Bib],0)),""))</f>
        <v/>
      </c>
      <c r="E250" t="str">
        <f>IF(A250="","",IFERROR(INDEX(tblReg[Team],MATCH(A250,tblReg[Bib],0)),""))</f>
        <v/>
      </c>
      <c r="F250" s="4" t="s">
        <v>103</v>
      </c>
      <c r="G250" t="str">
        <f t="shared" si="12"/>
        <v/>
      </c>
      <c r="H250" t="str">
        <f t="shared" si="13"/>
        <v/>
      </c>
      <c r="I250">
        <f>IF(H250="",0,IFERROR(INDEX(Config!$K$4:$K$6,MATCH(H250,Config!$H$4:$H$6,0)),0))</f>
        <v>0</v>
      </c>
      <c r="J250" t="str">
        <f t="shared" si="14"/>
        <v/>
      </c>
      <c r="K250" s="5" t="str">
        <f t="shared" si="15"/>
        <v/>
      </c>
      <c r="L250">
        <f>IF(A250="",999,IFERROR(MATCH(B250,Config!$A$4:$A$7,0),99)*10+IF(ISNUMBER(F250),1,IF(F250="",2,IF(UPPER(F250)="DNF",3,IF(UPPER(F250)="DNS",4,8)))))</f>
        <v>999</v>
      </c>
    </row>
    <row r="251" spans="2:12" x14ac:dyDescent="0.25">
      <c r="B251" t="str">
        <f>IF(A251="","",IFERROR(INDEX(tblReg[Field],MATCH(A251,tblReg[Bib],0)),""))</f>
        <v/>
      </c>
      <c r="C251" t="str">
        <f>IF(A251="","",IFERROR(INDEX(tblReg[FirstName],MATCH(A251,tblReg[Bib],0)),""))</f>
        <v/>
      </c>
      <c r="D251" t="str">
        <f>IF(A251="","",IFERROR(INDEX(tblReg[LastName],MATCH(A251,tblReg[Bib],0)),""))</f>
        <v/>
      </c>
      <c r="E251" t="str">
        <f>IF(A251="","",IFERROR(INDEX(tblReg[Team],MATCH(A251,tblReg[Bib],0)),""))</f>
        <v/>
      </c>
      <c r="F251" s="4" t="s">
        <v>103</v>
      </c>
      <c r="G251" t="str">
        <f t="shared" si="12"/>
        <v/>
      </c>
      <c r="H251" t="str">
        <f t="shared" si="13"/>
        <v/>
      </c>
      <c r="I251">
        <f>IF(H251="",0,IFERROR(INDEX(Config!$K$4:$K$6,MATCH(H251,Config!$H$4:$H$6,0)),0))</f>
        <v>0</v>
      </c>
      <c r="J251" t="str">
        <f t="shared" si="14"/>
        <v/>
      </c>
      <c r="K251" s="5" t="str">
        <f t="shared" si="15"/>
        <v/>
      </c>
      <c r="L251">
        <f>IF(A251="",999,IFERROR(MATCH(B251,Config!$A$4:$A$7,0),99)*10+IF(ISNUMBER(F251),1,IF(F251="",2,IF(UPPER(F251)="DNF",3,IF(UPPER(F251)="DNS",4,8)))))</f>
        <v>999</v>
      </c>
    </row>
  </sheetData>
  <sheetProtection algorithmName="SHA-512" hashValue="XOm9q00ksy7eX4TF9ZLNYMV6kV1ZS1nnme9JAHzUbMBZRj6di5n+8qzyHVCQ1gAW7rYxZLrXE15tZoCdGsGhOQ==" saltValue="UC5UnK3UgzPthkb1Aixn8w==" spinCount="100000" sheet="1" objects="1" scenarios="1" formatCells="0" selectLockedCells="1"/>
  <mergeCells count="2">
    <mergeCell ref="M1:O1"/>
    <mergeCell ref="M3:O3"/>
  </mergeCells>
  <dataValidations count="2">
    <dataValidation type="custom" allowBlank="1" showErrorMessage="1" errorTitle="Invalid Stage Entry" error="Enter a valid time or use DNF/DNS." sqref="F10:F251" xr:uid="{00000000-0002-0000-0400-000002000000}">
      <formula1>OR(F2="",UPPER(F2)="DNF",UPPER(F2)="DNS",ISNUMBER(F2))</formula1>
    </dataValidation>
    <dataValidation type="custom" allowBlank="1" showErrorMessage="1" errorTitle="Invalid Stage Entry" error="Enter a valid time or use DNF/DNS." sqref="F2:F251" xr:uid="{00000000-0002-0000-0400-000003000000}">
      <formula1>OR(F2="",UPPER(F2)="DNF",UPPER(F2)="DNS",ISNUMBER(F2))</formula1>
    </dataValidation>
  </dataValidations>
  <pageMargins left="0.7" right="0.7" top="0.75" bottom="0.75" header="0.3" footer="0.3"/>
  <pageSetup orientation="portrait" useFirstPageNumber="1" horizontalDpi="4294967295" verticalDpi="4294967295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00000000-0002-0000-0400-000000000000}">
          <x14:formula1>
            <xm:f>Registration!$A$2:$A$201</xm:f>
          </x14:formula1>
          <xm:sqref>A2:A251</xm:sqref>
        </x14:dataValidation>
        <x14:dataValidation type="list" xr:uid="{00000000-0002-0000-0400-000004000000}">
          <x14:formula1>
            <xm:f>Config!$A$4:$A$7</xm:f>
          </x14:formula1>
          <xm:sqref>N2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M201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cols>
    <col min="1" max="4" width="14" customWidth="1"/>
    <col min="5" max="5" width="18" customWidth="1"/>
    <col min="6" max="13" width="14" customWidth="1"/>
  </cols>
  <sheetData>
    <row r="1" spans="1:13" x14ac:dyDescent="0.25">
      <c r="A1" s="6" t="s">
        <v>15</v>
      </c>
      <c r="B1" s="6" t="s">
        <v>18</v>
      </c>
      <c r="C1" s="6" t="s">
        <v>16</v>
      </c>
      <c r="D1" s="6" t="s">
        <v>17</v>
      </c>
      <c r="E1" s="6" t="s">
        <v>19</v>
      </c>
      <c r="F1" s="6" t="s">
        <v>116</v>
      </c>
      <c r="G1" s="6" t="s">
        <v>117</v>
      </c>
      <c r="H1" s="6" t="s">
        <v>118</v>
      </c>
      <c r="I1" s="6" t="s">
        <v>119</v>
      </c>
      <c r="J1" s="6" t="s">
        <v>120</v>
      </c>
      <c r="K1" s="6" t="s">
        <v>121</v>
      </c>
      <c r="L1" s="6" t="s">
        <v>122</v>
      </c>
      <c r="M1" s="6" t="s">
        <v>123</v>
      </c>
    </row>
    <row r="2" spans="1:13" x14ac:dyDescent="0.25">
      <c r="A2">
        <v>6</v>
      </c>
      <c r="B2" t="str">
        <f>IF(A2="","",IFERROR(INDEX(tblReg[Field],MATCH(A2,tblReg[Bib],0)),""))</f>
        <v>Men Under 40</v>
      </c>
      <c r="C2" t="str">
        <f>IF(A2="","",IFERROR(INDEX(tblReg[FirstName],MATCH(A2,tblReg[Bib],0)),""))</f>
        <v>Jude</v>
      </c>
      <c r="D2" t="str">
        <f>IF(A2="","",IFERROR(INDEX(tblReg[LastName],MATCH(A2,tblReg[Bib],0)),""))</f>
        <v>Johnson</v>
      </c>
      <c r="E2" t="str">
        <f>IF(A2="","",IFERROR(INDEX(tblReg[Team],MATCH(A2,tblReg[Bib],0)),""))</f>
        <v>Summit Wheels</v>
      </c>
      <c r="F2" s="5">
        <f>IF(A2="","",IFERROR(INDEX(tblStage1[NetTime],MATCH(A2,tblStage1[Bib],0)),""))</f>
        <v>7.2268518518518524E-2</v>
      </c>
      <c r="G2" s="5">
        <f>IF(A2="","",IFERROR(INDEX(tblStage2[NetTime],MATCH(A2,tblStage2[Bib],0)),""))</f>
        <v>6.6932870370370365E-2</v>
      </c>
      <c r="H2" s="5">
        <f>IF(A2="","",IFERROR(INDEX(tblStage3[NetTime],MATCH(A2,tblStage3[Bib],0)),""))</f>
        <v>7.1793981481481486E-2</v>
      </c>
      <c r="I2">
        <f>IF(COUNTA(F2:H2)=3,SUM(F2:H2)*86400,"")</f>
        <v>18230</v>
      </c>
      <c r="J2" s="7">
        <f>IF(A2="","",IF(SUM(IFERROR(INDEX(tblStage1[BonusSeconds],MATCH(A2,tblStage1[Bib],0)),0),IFERROR(INDEX(tblStage2[BonusSeconds],MATCH(A2,tblStage2[Bib],0)),0),IFERROR(INDEX(tblStage3[BonusSeconds],MATCH(A2,tblStage3[Bib],0)),0))=0,"",SUM(IFERROR(INDEX(tblStage1[BonusSeconds],MATCH(A2,tblStage1[Bib],0)),0),IFERROR(INDEX(tblStage2[BonusSeconds],MATCH(A2,tblStage2[Bib],0)),0),IFERROR(INDEX(tblStage3[BonusSeconds],MATCH(A2,tblStage3[Bib],0)),0))/86400))</f>
        <v>1.1574074074074075E-4</v>
      </c>
      <c r="K2" s="5">
        <f>IF(I2="","",I2/86400)</f>
        <v>0.21099537037037036</v>
      </c>
      <c r="L2" t="s">
        <v>128</v>
      </c>
      <c r="M2">
        <f>IF(A2="","",IF(L2="Active",1+COUNTIFS($B$2:$B$201,B2,$L$2:$L$201,"Active",$I$2:$I$201,"&lt;"&amp;I2),IF(L2="Pending",COUNTIFS($B$2:$B$201,B2,$L$2:$L$201,"Active")+COUNTIFS($B$2:$B$201,B2,$L$2:$L$201,"Pending",$A$2:$A$201,"&lt;"&amp;A2)+1,"")))</f>
        <v>1</v>
      </c>
    </row>
    <row r="3" spans="1:13" x14ac:dyDescent="0.25">
      <c r="A3">
        <v>3</v>
      </c>
      <c r="B3" t="str">
        <f>IF(A3="","",IFERROR(INDEX(tblReg[Field],MATCH(A3,tblReg[Bib],0)),""))</f>
        <v>Men Under 40</v>
      </c>
      <c r="C3" t="str">
        <f>IF(A3="","",IFERROR(INDEX(tblReg[FirstName],MATCH(A3,tblReg[Bib],0)),""))</f>
        <v>Ivy</v>
      </c>
      <c r="D3" t="str">
        <f>IF(A3="","",IFERROR(INDEX(tblReg[LastName],MATCH(A3,tblReg[Bib],0)),""))</f>
        <v>Harris</v>
      </c>
      <c r="E3" t="str">
        <f>IF(A3="","",IFERROR(INDEX(tblReg[Team],MATCH(A3,tblReg[Bib],0)),""))</f>
        <v>City Sprint</v>
      </c>
      <c r="F3" s="5">
        <f>IF(A3="","",IFERROR(INDEX(tblStage1[NetTime],MATCH(A3,tblStage1[Bib],0)),""))</f>
        <v>7.0694444444444449E-2</v>
      </c>
      <c r="G3" s="5">
        <f>IF(A3="","",IFERROR(INDEX(tblStage2[NetTime],MATCH(A3,tblStage2[Bib],0)),""))</f>
        <v>6.9351851851851845E-2</v>
      </c>
      <c r="H3" s="5">
        <f>IF(A3="","",IFERROR(INDEX(tblStage3[NetTime],MATCH(A3,tblStage3[Bib],0)),""))</f>
        <v>7.2071759259259266E-2</v>
      </c>
      <c r="I3">
        <f>IF(COUNTA(F3:H3)=3,SUM(F3:H3)*86400,"")</f>
        <v>18327</v>
      </c>
      <c r="J3" s="7">
        <f>IF(A3="","",IF(SUM(IFERROR(INDEX(tblStage1[BonusSeconds],MATCH(A3,tblStage1[Bib],0)),0),IFERROR(INDEX(tblStage2[BonusSeconds],MATCH(A3,tblStage2[Bib],0)),0),IFERROR(INDEX(tblStage3[BonusSeconds],MATCH(A3,tblStage3[Bib],0)),0))=0,"",SUM(IFERROR(INDEX(tblStage1[BonusSeconds],MATCH(A3,tblStage1[Bib],0)),0),IFERROR(INDEX(tblStage2[BonusSeconds],MATCH(A3,tblStage2[Bib],0)),0),IFERROR(INDEX(tblStage3[BonusSeconds],MATCH(A3,tblStage3[Bib],0)),0))/86400))</f>
        <v>6.9444444444444444E-5</v>
      </c>
      <c r="K3" s="5">
        <f>IF(I3="","",I3/86400)</f>
        <v>0.21211805555555555</v>
      </c>
      <c r="L3" t="s">
        <v>128</v>
      </c>
      <c r="M3">
        <f>IF(A3="","",IF(L3="Active",1+COUNTIFS($B$2:$B$201,B3,$L$2:$L$201,"Active",$I$2:$I$201,"&lt;"&amp;I3),IF(L3="Pending",COUNTIFS($B$2:$B$201,B3,$L$2:$L$201,"Active")+COUNTIFS($B$2:$B$201,B3,$L$2:$L$201,"Pending",$A$2:$A$201,"&lt;"&amp;A3)+1,"")))</f>
        <v>2</v>
      </c>
    </row>
    <row r="4" spans="1:13" x14ac:dyDescent="0.25">
      <c r="A4">
        <v>2</v>
      </c>
      <c r="B4" t="str">
        <f>IF(A4="","",IFERROR(INDEX(tblReg[Field],MATCH(A4,tblReg[Bib],0)),""))</f>
        <v>Men Under 40</v>
      </c>
      <c r="C4" t="str">
        <f>IF(A4="","",IFERROR(INDEX(tblReg[FirstName],MATCH(A4,tblReg[Bib],0)),""))</f>
        <v>Ruby</v>
      </c>
      <c r="D4" t="str">
        <f>IF(A4="","",IFERROR(INDEX(tblReg[LastName],MATCH(A4,tblReg[Bib],0)),""))</f>
        <v>Garcia</v>
      </c>
      <c r="E4" t="str">
        <f>IF(A4="","",IFERROR(INDEX(tblReg[Team],MATCH(A4,tblReg[Bib],0)),""))</f>
        <v>Rapid Chain</v>
      </c>
      <c r="F4" s="5">
        <f>IF(A4="","",IFERROR(INDEX(tblStage1[NetTime],MATCH(A4,tblStage1[Bib],0)),""))</f>
        <v>6.8171296296296299E-2</v>
      </c>
      <c r="G4" s="5">
        <f>IF(A4="","",IFERROR(INDEX(tblStage2[NetTime],MATCH(A4,tblStage2[Bib],0)),""))</f>
        <v>7.3124999999999996E-2</v>
      </c>
      <c r="H4" s="5">
        <f>IF(A4="","",IFERROR(INDEX(tblStage3[NetTime],MATCH(A4,tblStage3[Bib],0)),""))</f>
        <v>7.2800925925925922E-2</v>
      </c>
      <c r="I4">
        <f>IF(COUNTA(F4:H4)=3,SUM(F4:H4)*86400,"")</f>
        <v>18498</v>
      </c>
      <c r="J4" s="7">
        <f>IF(A4="","",IF(SUM(IFERROR(INDEX(tblStage1[BonusSeconds],MATCH(A4,tblStage1[Bib],0)),0),IFERROR(INDEX(tblStage2[BonusSeconds],MATCH(A4,tblStage2[Bib],0)),0),IFERROR(INDEX(tblStage3[BonusSeconds],MATCH(A4,tblStage3[Bib],0)),0))=0,"",SUM(IFERROR(INDEX(tblStage1[BonusSeconds],MATCH(A4,tblStage1[Bib],0)),0),IFERROR(INDEX(tblStage2[BonusSeconds],MATCH(A4,tblStage2[Bib],0)),0),IFERROR(INDEX(tblStage3[BonusSeconds],MATCH(A4,tblStage3[Bib],0)),0))/86400))</f>
        <v>6.9444444444444444E-5</v>
      </c>
      <c r="K4" s="5">
        <f>IF(I4="","",I4/86400)</f>
        <v>0.21409722222222222</v>
      </c>
      <c r="L4" t="s">
        <v>128</v>
      </c>
      <c r="M4">
        <f>IF(A4="","",IF(L4="Active",1+COUNTIFS($B$2:$B$201,B4,$L$2:$L$201,"Active",$I$2:$I$201,"&lt;"&amp;I4),IF(L4="Pending",COUNTIFS($B$2:$B$201,B4,$L$2:$L$201,"Active")+COUNTIFS($B$2:$B$201,B4,$L$2:$L$201,"Pending",$A$2:$A$201,"&lt;"&amp;A4)+1,"")))</f>
        <v>3</v>
      </c>
    </row>
    <row r="5" spans="1:13" x14ac:dyDescent="0.25">
      <c r="A5">
        <v>7</v>
      </c>
      <c r="B5" t="str">
        <f>IF(A5="","",IFERROR(INDEX(tblReg[Field],MATCH(A5,tblReg[Bib],0)),""))</f>
        <v>Men Under 40</v>
      </c>
      <c r="C5" t="str">
        <f>IF(A5="","",IFERROR(INDEX(tblReg[FirstName],MATCH(A5,tblReg[Bib],0)),""))</f>
        <v>Ivy</v>
      </c>
      <c r="D5" t="str">
        <f>IF(A5="","",IFERROR(INDEX(tblReg[LastName],MATCH(A5,tblReg[Bib],0)),""))</f>
        <v>Garcia</v>
      </c>
      <c r="E5" t="str">
        <f>IF(A5="","",IFERROR(INDEX(tblReg[Team],MATCH(A5,tblReg[Bib],0)),""))</f>
        <v>Apex Cycling</v>
      </c>
      <c r="F5" s="5">
        <f>IF(A5="","",IFERROR(INDEX(tblStage1[NetTime],MATCH(A5,tblStage1[Bib],0)),""))</f>
        <v>6.8634259259259256E-2</v>
      </c>
      <c r="G5" s="5">
        <f>IF(A5="","",IFERROR(INDEX(tblStage2[NetTime],MATCH(A5,tblStage2[Bib],0)),""))</f>
        <v>7.4930555555555556E-2</v>
      </c>
      <c r="H5" s="5">
        <f>IF(A5="","",IFERROR(INDEX(tblStage3[NetTime],MATCH(A5,tblStage3[Bib],0)),""))</f>
        <v>7.3541666666666672E-2</v>
      </c>
      <c r="I5">
        <f>IF(COUNTA(F5:H5)=3,SUM(F5:H5)*86400,"")</f>
        <v>18758</v>
      </c>
      <c r="J5" s="7">
        <f>IF(A5="","",IF(SUM(IFERROR(INDEX(tblStage1[BonusSeconds],MATCH(A5,tblStage1[Bib],0)),0),IFERROR(INDEX(tblStage2[BonusSeconds],MATCH(A5,tblStage2[Bib],0)),0),IFERROR(INDEX(tblStage3[BonusSeconds],MATCH(A5,tblStage3[Bib],0)),0))=0,"",SUM(IFERROR(INDEX(tblStage1[BonusSeconds],MATCH(A5,tblStage1[Bib],0)),0),IFERROR(INDEX(tblStage2[BonusSeconds],MATCH(A5,tblStage2[Bib],0)),0),IFERROR(INDEX(tblStage3[BonusSeconds],MATCH(A5,tblStage3[Bib],0)),0))/86400))</f>
        <v>4.6296296296296294E-5</v>
      </c>
      <c r="K5" s="5">
        <f>IF(I5="","",I5/86400)</f>
        <v>0.21710648148148148</v>
      </c>
      <c r="L5" t="s">
        <v>128</v>
      </c>
      <c r="M5">
        <f>IF(A5="","",IF(L5="Active",1+COUNTIFS($B$2:$B$201,B5,$L$2:$L$201,"Active",$I$2:$I$201,"&lt;"&amp;I5),IF(L5="Pending",COUNTIFS($B$2:$B$201,B5,$L$2:$L$201,"Active")+COUNTIFS($B$2:$B$201,B5,$L$2:$L$201,"Pending",$A$2:$A$201,"&lt;"&amp;A5)+1,"")))</f>
        <v>4</v>
      </c>
    </row>
    <row r="6" spans="1:13" x14ac:dyDescent="0.25">
      <c r="A6">
        <v>10</v>
      </c>
      <c r="B6" t="str">
        <f>IF(A6="","",IFERROR(INDEX(tblReg[Field],MATCH(A6,tblReg[Bib],0)),""))</f>
        <v>Men Under 40</v>
      </c>
      <c r="C6" t="str">
        <f>IF(A6="","",IFERROR(INDEX(tblReg[FirstName],MATCH(A6,tblReg[Bib],0)),""))</f>
        <v>Ivy</v>
      </c>
      <c r="D6" t="str">
        <f>IF(A6="","",IFERROR(INDEX(tblReg[LastName],MATCH(A6,tblReg[Bib],0)),""))</f>
        <v>Park</v>
      </c>
      <c r="E6" t="str">
        <f>IF(A6="","",IFERROR(INDEX(tblReg[Team],MATCH(A6,tblReg[Bib],0)),""))</f>
        <v>Apex Cycling</v>
      </c>
      <c r="F6" s="5">
        <f>IF(A6="","",IFERROR(INDEX(tblStage1[NetTime],MATCH(A6,tblStage1[Bib],0)),""))</f>
        <v>7.6377314814814815E-2</v>
      </c>
      <c r="G6" s="5">
        <f>IF(A6="","",IFERROR(INDEX(tblStage2[NetTime],MATCH(A6,tblStage2[Bib],0)),""))</f>
        <v>7.8194444444444441E-2</v>
      </c>
      <c r="H6" s="5">
        <f>IF(A6="","",IFERROR(INDEX(tblStage3[NetTime],MATCH(A6,tblStage3[Bib],0)),""))</f>
        <v>6.9780092592592588E-2</v>
      </c>
      <c r="I6">
        <f>IF(COUNTA(F6:H6)=3,SUM(F6:H6)*86400,"")</f>
        <v>19384</v>
      </c>
      <c r="J6" s="7" t="str">
        <f>IF(A6="","",IF(SUM(IFERROR(INDEX(tblStage1[BonusSeconds],MATCH(A6,tblStage1[Bib],0)),0),IFERROR(INDEX(tblStage2[BonusSeconds],MATCH(A6,tblStage2[Bib],0)),0),IFERROR(INDEX(tblStage3[BonusSeconds],MATCH(A6,tblStage3[Bib],0)),0))=0,"",SUM(IFERROR(INDEX(tblStage1[BonusSeconds],MATCH(A6,tblStage1[Bib],0)),0),IFERROR(INDEX(tblStage2[BonusSeconds],MATCH(A6,tblStage2[Bib],0)),0),IFERROR(INDEX(tblStage3[BonusSeconds],MATCH(A6,tblStage3[Bib],0)),0))/86400))</f>
        <v/>
      </c>
      <c r="K6" s="5">
        <f>IF(I6="","",I6/86400)</f>
        <v>0.22435185185185186</v>
      </c>
      <c r="L6" t="s">
        <v>128</v>
      </c>
      <c r="M6">
        <f>IF(A6="","",IF(L6="Active",1+COUNTIFS($B$2:$B$201,B6,$L$2:$L$201,"Active",$I$2:$I$201,"&lt;"&amp;I6),IF(L6="Pending",COUNTIFS($B$2:$B$201,B6,$L$2:$L$201,"Active")+COUNTIFS($B$2:$B$201,B6,$L$2:$L$201,"Pending",$A$2:$A$201,"&lt;"&amp;A6)+1,"")))</f>
        <v>5</v>
      </c>
    </row>
    <row r="7" spans="1:13" x14ac:dyDescent="0.25">
      <c r="A7">
        <v>9</v>
      </c>
      <c r="B7" t="str">
        <f>IF(A7="","",IFERROR(INDEX(tblReg[Field],MATCH(A7,tblReg[Bib],0)),""))</f>
        <v>Men Under 40</v>
      </c>
      <c r="C7" t="str">
        <f>IF(A7="","",IFERROR(INDEX(tblReg[FirstName],MATCH(A7,tblReg[Bib],0)),""))</f>
        <v>Aria</v>
      </c>
      <c r="D7" t="str">
        <f>IF(A7="","",IFERROR(INDEX(tblReg[LastName],MATCH(A7,tblReg[Bib],0)),""))</f>
        <v>Wilson</v>
      </c>
      <c r="E7" t="str">
        <f>IF(A7="","",IFERROR(INDEX(tblReg[Team],MATCH(A7,tblReg[Bib],0)),""))</f>
        <v>Summit Wheels</v>
      </c>
      <c r="F7" s="5">
        <f>IF(A7="","",IFERROR(INDEX(tblStage1[NetTime],MATCH(A7,tblStage1[Bib],0)),""))</f>
        <v>7.947916666666667E-2</v>
      </c>
      <c r="G7" s="5">
        <f>IF(A7="","",IFERROR(INDEX(tblStage2[NetTime],MATCH(A7,tblStage2[Bib],0)),""))</f>
        <v>7.3576388888888886E-2</v>
      </c>
      <c r="H7" s="5">
        <f>IF(A7="","",IFERROR(INDEX(tblStage3[NetTime],MATCH(A7,tblStage3[Bib],0)),""))</f>
        <v>7.2384259259259259E-2</v>
      </c>
      <c r="I7">
        <f>IF(COUNTA(F7:H7)=3,SUM(F7:H7)*86400,"")</f>
        <v>19478</v>
      </c>
      <c r="J7" s="7" t="str">
        <f>IF(A7="","",IF(SUM(IFERROR(INDEX(tblStage1[BonusSeconds],MATCH(A7,tblStage1[Bib],0)),0),IFERROR(INDEX(tblStage2[BonusSeconds],MATCH(A7,tblStage2[Bib],0)),0),IFERROR(INDEX(tblStage3[BonusSeconds],MATCH(A7,tblStage3[Bib],0)),0))=0,"",SUM(IFERROR(INDEX(tblStage1[BonusSeconds],MATCH(A7,tblStage1[Bib],0)),0),IFERROR(INDEX(tblStage2[BonusSeconds],MATCH(A7,tblStage2[Bib],0)),0),IFERROR(INDEX(tblStage3[BonusSeconds],MATCH(A7,tblStage3[Bib],0)),0))/86400))</f>
        <v/>
      </c>
      <c r="K7" s="5">
        <f>IF(I7="","",I7/86400)</f>
        <v>0.22543981481481482</v>
      </c>
      <c r="L7" t="s">
        <v>128</v>
      </c>
      <c r="M7">
        <f>IF(A7="","",IF(L7="Active",1+COUNTIFS($B$2:$B$201,B7,$L$2:$L$201,"Active",$I$2:$I$201,"&lt;"&amp;I7),IF(L7="Pending",COUNTIFS($B$2:$B$201,B7,$L$2:$L$201,"Active")+COUNTIFS($B$2:$B$201,B7,$L$2:$L$201,"Pending",$A$2:$A$201,"&lt;"&amp;A7)+1,"")))</f>
        <v>6</v>
      </c>
    </row>
    <row r="8" spans="1:13" x14ac:dyDescent="0.25">
      <c r="A8">
        <v>5</v>
      </c>
      <c r="B8" t="str">
        <f>IF(A8="","",IFERROR(INDEX(tblReg[Field],MATCH(A8,tblReg[Bib],0)),""))</f>
        <v>Men Under 40</v>
      </c>
      <c r="C8" t="str">
        <f>IF(A8="","",IFERROR(INDEX(tblReg[FirstName],MATCH(A8,tblReg[Bib],0)),""))</f>
        <v>Mila</v>
      </c>
      <c r="D8" t="str">
        <f>IF(A8="","",IFERROR(INDEX(tblReg[LastName],MATCH(A8,tblReg[Bib],0)),""))</f>
        <v>Harris</v>
      </c>
      <c r="E8" t="str">
        <f>IF(A8="","",IFERROR(INDEX(tblReg[Team],MATCH(A8,tblReg[Bib],0)),""))</f>
        <v>Summit Wheels</v>
      </c>
      <c r="F8" s="5">
        <f>IF(A8="","",IFERROR(INDEX(tblStage1[NetTime],MATCH(A8,tblStage1[Bib],0)),""))</f>
        <v>7.7731481481481485E-2</v>
      </c>
      <c r="G8" s="5">
        <f>IF(A8="","",IFERROR(INDEX(tblStage2[NetTime],MATCH(A8,tblStage2[Bib],0)),""))</f>
        <v>6.9745370370370374E-2</v>
      </c>
      <c r="H8" s="5">
        <f>IF(A8="","",IFERROR(INDEX(tblStage3[NetTime],MATCH(A8,tblStage3[Bib],0)),""))</f>
        <v>7.9131944444444449E-2</v>
      </c>
      <c r="I8">
        <f>IF(COUNTA(F8:H8)=3,SUM(F8:H8)*86400,"")</f>
        <v>19579.000000000004</v>
      </c>
      <c r="J8" s="7">
        <f>IF(A8="","",IF(SUM(IFERROR(INDEX(tblStage1[BonusSeconds],MATCH(A8,tblStage1[Bib],0)),0),IFERROR(INDEX(tblStage2[BonusSeconds],MATCH(A8,tblStage2[Bib],0)),0),IFERROR(INDEX(tblStage3[BonusSeconds],MATCH(A8,tblStage3[Bib],0)),0))=0,"",SUM(IFERROR(INDEX(tblStage1[BonusSeconds],MATCH(A8,tblStage1[Bib],0)),0),IFERROR(INDEX(tblStage2[BonusSeconds],MATCH(A8,tblStage2[Bib],0)),0),IFERROR(INDEX(tblStage3[BonusSeconds],MATCH(A8,tblStage3[Bib],0)),0))/86400))</f>
        <v>4.6296296296296294E-5</v>
      </c>
      <c r="K8" s="5">
        <f>IF(I8="","",I8/86400)</f>
        <v>0.22660879629629635</v>
      </c>
      <c r="L8" t="s">
        <v>128</v>
      </c>
      <c r="M8">
        <f>IF(A8="","",IF(L8="Active",1+COUNTIFS($B$2:$B$201,B8,$L$2:$L$201,"Active",$I$2:$I$201,"&lt;"&amp;I8),IF(L8="Pending",COUNTIFS($B$2:$B$201,B8,$L$2:$L$201,"Active")+COUNTIFS($B$2:$B$201,B8,$L$2:$L$201,"Pending",$A$2:$A$201,"&lt;"&amp;A8)+1,"")))</f>
        <v>7</v>
      </c>
    </row>
    <row r="9" spans="1:13" x14ac:dyDescent="0.25">
      <c r="A9">
        <v>1</v>
      </c>
      <c r="B9" t="str">
        <f>IF(A9="","",IFERROR(INDEX(tblReg[Field],MATCH(A9,tblReg[Bib],0)),""))</f>
        <v>Men Under 40</v>
      </c>
      <c r="C9" t="str">
        <f>IF(A9="","",IFERROR(INDEX(tblReg[FirstName],MATCH(A9,tblReg[Bib],0)),""))</f>
        <v>Nora</v>
      </c>
      <c r="D9" t="str">
        <f>IF(A9="","",IFERROR(INDEX(tblReg[LastName],MATCH(A9,tblReg[Bib],0)),""))</f>
        <v>Lopez</v>
      </c>
      <c r="E9" t="str">
        <f>IF(A9="","",IFERROR(INDEX(tblReg[Team],MATCH(A9,tblReg[Bib],0)),""))</f>
        <v>Apex Cycling</v>
      </c>
      <c r="F9" s="5">
        <f>IF(A9="","",IFERROR(INDEX(tblStage1[NetTime],MATCH(A9,tblStage1[Bib],0)),""))</f>
        <v>6.6145833333333334E-2</v>
      </c>
      <c r="G9" s="5" t="str">
        <f>IF(A9="","",IFERROR(INDEX(tblStage2[NetTime],MATCH(A9,tblStage2[Bib],0)),""))</f>
        <v/>
      </c>
      <c r="H9" s="5" t="str">
        <f>IF(A9="","",IFERROR(INDEX(tblStage3[NetTime],MATCH(A9,tblStage3[Bib],0)),""))</f>
        <v/>
      </c>
      <c r="I9">
        <f>IF(COUNTA(F9:H9)=3,SUM(F9:H9)*86400,"")</f>
        <v>5715</v>
      </c>
      <c r="J9" s="7">
        <f>IF(A9="","",IF(SUM(IFERROR(INDEX(tblStage1[BonusSeconds],MATCH(A9,tblStage1[Bib],0)),0),IFERROR(INDEX(tblStage2[BonusSeconds],MATCH(A9,tblStage2[Bib],0)),0),IFERROR(INDEX(tblStage3[BonusSeconds],MATCH(A9,tblStage3[Bib],0)),0))=0,"",SUM(IFERROR(INDEX(tblStage1[BonusSeconds],MATCH(A9,tblStage1[Bib],0)),0),IFERROR(INDEX(tblStage2[BonusSeconds],MATCH(A9,tblStage2[Bib],0)),0),IFERROR(INDEX(tblStage3[BonusSeconds],MATCH(A9,tblStage3[Bib],0)),0))/86400))</f>
        <v>1.1574074074074075E-4</v>
      </c>
      <c r="K9" s="5">
        <f>IF(I9="","",I9/86400)</f>
        <v>6.6145833333333334E-2</v>
      </c>
      <c r="L9" t="s">
        <v>114</v>
      </c>
      <c r="M9" t="str">
        <f>IF(A9="","",IF(L9="Active",1+COUNTIFS($B$2:$B$201,B9,$L$2:$L$201,"Active",$I$2:$I$201,"&lt;"&amp;I9),IF(L9="Pending",COUNTIFS($B$2:$B$201,B9,$L$2:$L$201,"Active")+COUNTIFS($B$2:$B$201,B9,$L$2:$L$201,"Pending",$A$2:$A$201,"&lt;"&amp;A9)+1,"")))</f>
        <v/>
      </c>
    </row>
    <row r="10" spans="1:13" x14ac:dyDescent="0.25">
      <c r="A10">
        <v>8</v>
      </c>
      <c r="B10" t="str">
        <f>IF(A10="","",IFERROR(INDEX(tblReg[Field],MATCH(A10,tblReg[Bib],0)),""))</f>
        <v>Men Under 40</v>
      </c>
      <c r="C10" t="str">
        <f>IF(A10="","",IFERROR(INDEX(tblReg[FirstName],MATCH(A10,tblReg[Bib],0)),""))</f>
        <v>Aria</v>
      </c>
      <c r="D10" t="str">
        <f>IF(A10="","",IFERROR(INDEX(tblReg[LastName],MATCH(A10,tblReg[Bib],0)),""))</f>
        <v>Moore</v>
      </c>
      <c r="E10" t="str">
        <f>IF(A10="","",IFERROR(INDEX(tblReg[Team],MATCH(A10,tblReg[Bib],0)),""))</f>
        <v>Nomad CC</v>
      </c>
      <c r="F10" s="5" t="str">
        <f>IF(A10="","",IFERROR(INDEX(tblStage1[NetTime],MATCH(A10,tblStage1[Bib],0)),""))</f>
        <v/>
      </c>
      <c r="G10" s="5">
        <f>IF(A10="","",IFERROR(INDEX(tblStage2[NetTime],MATCH(A10,tblStage2[Bib],0)),""))</f>
        <v>7.7152777777777778E-2</v>
      </c>
      <c r="H10" s="5">
        <f>IF(A10="","",IFERROR(INDEX(tblStage3[NetTime],MATCH(A10,tblStage3[Bib],0)),""))</f>
        <v>7.7384259259259264E-2</v>
      </c>
      <c r="I10">
        <f>IF(COUNTA(F10:H10)=3,SUM(F10:H10)*86400,"")</f>
        <v>13352</v>
      </c>
      <c r="J10" s="7" t="str">
        <f>IF(A10="","",IF(SUM(IFERROR(INDEX(tblStage1[BonusSeconds],MATCH(A10,tblStage1[Bib],0)),0),IFERROR(INDEX(tblStage2[BonusSeconds],MATCH(A10,tblStage2[Bib],0)),0),IFERROR(INDEX(tblStage3[BonusSeconds],MATCH(A10,tblStage3[Bib],0)),0))=0,"",SUM(IFERROR(INDEX(tblStage1[BonusSeconds],MATCH(A10,tblStage1[Bib],0)),0),IFERROR(INDEX(tblStage2[BonusSeconds],MATCH(A10,tblStage2[Bib],0)),0),IFERROR(INDEX(tblStage3[BonusSeconds],MATCH(A10,tblStage3[Bib],0)),0))/86400))</f>
        <v/>
      </c>
      <c r="K10" s="5">
        <f>IF(I10="","",I10/86400)</f>
        <v>0.15453703703703703</v>
      </c>
      <c r="L10" t="s">
        <v>114</v>
      </c>
      <c r="M10" t="str">
        <f>IF(A10="","",IF(L10="Active",1+COUNTIFS($B$2:$B$201,B10,$L$2:$L$201,"Active",$I$2:$I$201,"&lt;"&amp;I10),IF(L10="Pending",COUNTIFS($B$2:$B$201,B10,$L$2:$L$201,"Active")+COUNTIFS($B$2:$B$201,B10,$L$2:$L$201,"Pending",$A$2:$A$201,"&lt;"&amp;A10)+1,"")))</f>
        <v/>
      </c>
    </row>
    <row r="11" spans="1:13" x14ac:dyDescent="0.25">
      <c r="A11">
        <v>4</v>
      </c>
      <c r="B11" t="str">
        <f>IF(A11="","",IFERROR(INDEX(tblReg[Field],MATCH(A11,tblReg[Bib],0)),""))</f>
        <v>Men Under 40</v>
      </c>
      <c r="C11" t="str">
        <f>IF(A11="","",IFERROR(INDEX(tblReg[FirstName],MATCH(A11,tblReg[Bib],0)),""))</f>
        <v>Nora</v>
      </c>
      <c r="D11" t="str">
        <f>IF(A11="","",IFERROR(INDEX(tblReg[LastName],MATCH(A11,tblReg[Bib],0)),""))</f>
        <v>Moore</v>
      </c>
      <c r="E11" t="str">
        <f>IF(A11="","",IFERROR(INDEX(tblReg[Team],MATCH(A11,tblReg[Bib],0)),""))</f>
        <v>Northwind Velo</v>
      </c>
      <c r="F11" s="5">
        <f>IF(A11="","",IFERROR(INDEX(tblStage1[NetTime],MATCH(A11,tblStage1[Bib],0)),""))</f>
        <v>7.5416666666666674E-2</v>
      </c>
      <c r="G11" s="5" t="str">
        <f>IF(A11="","",IFERROR(INDEX(tblStage2[NetTime],MATCH(A11,tblStage2[Bib],0)),""))</f>
        <v/>
      </c>
      <c r="H11" s="5">
        <f>IF(A11="","",IFERROR(INDEX(tblStage3[NetTime],MATCH(A11,tblStage3[Bib],0)),""))</f>
        <v>6.7696759259259262E-2</v>
      </c>
      <c r="I11">
        <f>IF(COUNTA(F11:H11)=3,SUM(F11:H11)*86400,"")</f>
        <v>12365</v>
      </c>
      <c r="J11" s="7" t="str">
        <f>IF(A11="","",IF(SUM(IFERROR(INDEX(tblStage1[BonusSeconds],MATCH(A11,tblStage1[Bib],0)),0),IFERROR(INDEX(tblStage2[BonusSeconds],MATCH(A11,tblStage2[Bib],0)),0),IFERROR(INDEX(tblStage3[BonusSeconds],MATCH(A11,tblStage3[Bib],0)),0))=0,"",SUM(IFERROR(INDEX(tblStage1[BonusSeconds],MATCH(A11,tblStage1[Bib],0)),0),IFERROR(INDEX(tblStage2[BonusSeconds],MATCH(A11,tblStage2[Bib],0)),0),IFERROR(INDEX(tblStage3[BonusSeconds],MATCH(A11,tblStage3[Bib],0)),0))/86400))</f>
        <v/>
      </c>
      <c r="K11" s="5">
        <f>IF(I11="","",I11/86400)</f>
        <v>0.14311342592592594</v>
      </c>
      <c r="L11" t="s">
        <v>115</v>
      </c>
      <c r="M11" t="str">
        <f>IF(A11="","",IF(L11="Active",1+COUNTIFS($B$2:$B$201,B11,$L$2:$L$201,"Active",$I$2:$I$201,"&lt;"&amp;I11),IF(L11="Pending",COUNTIFS($B$2:$B$201,B11,$L$2:$L$201,"Active")+COUNTIFS($B$2:$B$201,B11,$L$2:$L$201,"Pending",$A$2:$A$201,"&lt;"&amp;A11)+1,"")))</f>
        <v/>
      </c>
    </row>
    <row r="12" spans="1:13" x14ac:dyDescent="0.25">
      <c r="A12">
        <v>58</v>
      </c>
      <c r="B12" t="str">
        <f>IF(A12="","",IFERROR(INDEX(tblReg[Field],MATCH(A12,tblReg[Bib],0)),""))</f>
        <v>Men 40+</v>
      </c>
      <c r="C12" t="str">
        <f>IF(A12="","",IFERROR(INDEX(tblReg[FirstName],MATCH(A12,tblReg[Bib],0)),""))</f>
        <v>Ava</v>
      </c>
      <c r="D12" t="str">
        <f>IF(A12="","",IFERROR(INDEX(tblReg[LastName],MATCH(A12,tblReg[Bib],0)),""))</f>
        <v>Kim</v>
      </c>
      <c r="E12" t="str">
        <f>IF(A12="","",IFERROR(INDEX(tblReg[Team],MATCH(A12,tblReg[Bib],0)),""))</f>
        <v>Northwind Velo</v>
      </c>
      <c r="F12" s="5">
        <f>IF(A12="","",IFERROR(INDEX(tblStage1[NetTime],MATCH(A12,tblStage1[Bib],0)),""))</f>
        <v>6.8437499999999998E-2</v>
      </c>
      <c r="G12" s="5">
        <f>IF(A12="","",IFERROR(INDEX(tblStage2[NetTime],MATCH(A12,tblStage2[Bib],0)),""))</f>
        <v>6.8136574074074072E-2</v>
      </c>
      <c r="H12" s="5">
        <f>IF(A12="","",IFERROR(INDEX(tblStage3[NetTime],MATCH(A12,tblStage3[Bib],0)),""))</f>
        <v>6.8043981481481483E-2</v>
      </c>
      <c r="I12">
        <f>IF(COUNTA(F12:H12)=3,SUM(F12:H12)*86400,"")</f>
        <v>17679</v>
      </c>
      <c r="J12" s="7" t="str">
        <f>IF(A12="","",IF(SUM(IFERROR(INDEX(tblStage1[BonusSeconds],MATCH(A12,tblStage1[Bib],0)),0),IFERROR(INDEX(tblStage2[BonusSeconds],MATCH(A12,tblStage2[Bib],0)),0),IFERROR(INDEX(tblStage3[BonusSeconds],MATCH(A12,tblStage3[Bib],0)),0))=0,"",SUM(IFERROR(INDEX(tblStage1[BonusSeconds],MATCH(A12,tblStage1[Bib],0)),0),IFERROR(INDEX(tblStage2[BonusSeconds],MATCH(A12,tblStage2[Bib],0)),0),IFERROR(INDEX(tblStage3[BonusSeconds],MATCH(A12,tblStage3[Bib],0)),0))/86400))</f>
        <v/>
      </c>
      <c r="K12" s="5">
        <f>IF(I12="","",I12/86400)</f>
        <v>0.20461805555555557</v>
      </c>
      <c r="L12" t="s">
        <v>128</v>
      </c>
      <c r="M12">
        <f>IF(A12="","",IF(L12="Active",1+COUNTIFS($B$2:$B$201,B12,$L$2:$L$201,"Active",$I$2:$I$201,"&lt;"&amp;I12),IF(L12="Pending",COUNTIFS($B$2:$B$201,B12,$L$2:$L$201,"Active")+COUNTIFS($B$2:$B$201,B12,$L$2:$L$201,"Pending",$A$2:$A$201,"&lt;"&amp;A12)+1,"")))</f>
        <v>1</v>
      </c>
    </row>
    <row r="13" spans="1:13" x14ac:dyDescent="0.25">
      <c r="A13">
        <v>51</v>
      </c>
      <c r="B13" t="str">
        <f>IF(A13="","",IFERROR(INDEX(tblReg[Field],MATCH(A13,tblReg[Bib],0)),""))</f>
        <v>Men 40+</v>
      </c>
      <c r="C13" t="str">
        <f>IF(A13="","",IFERROR(INDEX(tblReg[FirstName],MATCH(A13,tblReg[Bib],0)),""))</f>
        <v>Mila</v>
      </c>
      <c r="D13" t="str">
        <f>IF(A13="","",IFERROR(INDEX(tblReg[LastName],MATCH(A13,tblReg[Bib],0)),""))</f>
        <v>Harris</v>
      </c>
      <c r="E13" t="str">
        <f>IF(A13="","",IFERROR(INDEX(tblReg[Team],MATCH(A13,tblReg[Bib],0)),""))</f>
        <v>Nomad CC</v>
      </c>
      <c r="F13" s="5">
        <f>IF(A13="","",IFERROR(INDEX(tblStage1[NetTime],MATCH(A13,tblStage1[Bib],0)),""))</f>
        <v>7.1759259259259259E-2</v>
      </c>
      <c r="G13" s="5">
        <f>IF(A13="","",IFERROR(INDEX(tblStage2[NetTime],MATCH(A13,tblStage2[Bib],0)),""))</f>
        <v>6.8703703703703697E-2</v>
      </c>
      <c r="H13" s="5">
        <f>IF(A13="","",IFERROR(INDEX(tblStage3[NetTime],MATCH(A13,tblStage3[Bib],0)),""))</f>
        <v>6.8460648148148145E-2</v>
      </c>
      <c r="I13">
        <f>IF(COUNTA(F13:H13)=3,SUM(F13:H13)*86400,"")</f>
        <v>18051</v>
      </c>
      <c r="J13" s="7" t="str">
        <f>IF(A13="","",IF(SUM(IFERROR(INDEX(tblStage1[BonusSeconds],MATCH(A13,tblStage1[Bib],0)),0),IFERROR(INDEX(tblStage2[BonusSeconds],MATCH(A13,tblStage2[Bib],0)),0),IFERROR(INDEX(tblStage3[BonusSeconds],MATCH(A13,tblStage3[Bib],0)),0))=0,"",SUM(IFERROR(INDEX(tblStage1[BonusSeconds],MATCH(A13,tblStage1[Bib],0)),0),IFERROR(INDEX(tblStage2[BonusSeconds],MATCH(A13,tblStage2[Bib],0)),0),IFERROR(INDEX(tblStage3[BonusSeconds],MATCH(A13,tblStage3[Bib],0)),0))/86400))</f>
        <v/>
      </c>
      <c r="K13" s="5">
        <f>IF(I13="","",I13/86400)</f>
        <v>0.2089236111111111</v>
      </c>
      <c r="L13" t="s">
        <v>128</v>
      </c>
      <c r="M13">
        <f>IF(A13="","",IF(L13="Active",1+COUNTIFS($B$2:$B$201,B13,$L$2:$L$201,"Active",$I$2:$I$201,"&lt;"&amp;I13),IF(L13="Pending",COUNTIFS($B$2:$B$201,B13,$L$2:$L$201,"Active")+COUNTIFS($B$2:$B$201,B13,$L$2:$L$201,"Pending",$A$2:$A$201,"&lt;"&amp;A13)+1,"")))</f>
        <v>2</v>
      </c>
    </row>
    <row r="14" spans="1:13" x14ac:dyDescent="0.25">
      <c r="A14">
        <v>54</v>
      </c>
      <c r="B14" t="str">
        <f>IF(A14="","",IFERROR(INDEX(tblReg[Field],MATCH(A14,tblReg[Bib],0)),""))</f>
        <v>Men 40+</v>
      </c>
      <c r="C14" t="str">
        <f>IF(A14="","",IFERROR(INDEX(tblReg[FirstName],MATCH(A14,tblReg[Bib],0)),""))</f>
        <v>Lena</v>
      </c>
      <c r="D14" t="str">
        <f>IF(A14="","",IFERROR(INDEX(tblReg[LastName],MATCH(A14,tblReg[Bib],0)),""))</f>
        <v>Anderson</v>
      </c>
      <c r="E14" t="str">
        <f>IF(A14="","",IFERROR(INDEX(tblReg[Team],MATCH(A14,tblReg[Bib],0)),""))</f>
        <v>Nomad CC</v>
      </c>
      <c r="F14" s="5">
        <f>IF(A14="","",IFERROR(INDEX(tblStage1[NetTime],MATCH(A14,tblStage1[Bib],0)),""))</f>
        <v>6.8275462962962968E-2</v>
      </c>
      <c r="G14" s="5">
        <f>IF(A14="","",IFERROR(INDEX(tblStage2[NetTime],MATCH(A14,tblStage2[Bib],0)),""))</f>
        <v>7.8032407407407411E-2</v>
      </c>
      <c r="H14" s="5">
        <f>IF(A14="","",IFERROR(INDEX(tblStage3[NetTime],MATCH(A14,tblStage3[Bib],0)),""))</f>
        <v>7.1064814814814817E-2</v>
      </c>
      <c r="I14">
        <f>IF(COUNTA(F14:H14)=3,SUM(F14:H14)*86400,"")</f>
        <v>18781.000000000004</v>
      </c>
      <c r="J14" s="7">
        <f>IF(A14="","",IF(SUM(IFERROR(INDEX(tblStage1[BonusSeconds],MATCH(A14,tblStage1[Bib],0)),0),IFERROR(INDEX(tblStage2[BonusSeconds],MATCH(A14,tblStage2[Bib],0)),0),IFERROR(INDEX(tblStage3[BonusSeconds],MATCH(A14,tblStage3[Bib],0)),0))=0,"",SUM(IFERROR(INDEX(tblStage1[BonusSeconds],MATCH(A14,tblStage1[Bib],0)),0),IFERROR(INDEX(tblStage2[BonusSeconds],MATCH(A14,tblStage2[Bib],0)),0),IFERROR(INDEX(tblStage3[BonusSeconds],MATCH(A14,tblStage3[Bib],0)),0))/86400))</f>
        <v>4.6296296296296294E-5</v>
      </c>
      <c r="K14" s="5">
        <f>IF(I14="","",I14/86400)</f>
        <v>0.21737268518518524</v>
      </c>
      <c r="L14" t="s">
        <v>128</v>
      </c>
      <c r="M14">
        <f>IF(A14="","",IF(L14="Active",1+COUNTIFS($B$2:$B$201,B14,$L$2:$L$201,"Active",$I$2:$I$201,"&lt;"&amp;I14),IF(L14="Pending",COUNTIFS($B$2:$B$201,B14,$L$2:$L$201,"Active")+COUNTIFS($B$2:$B$201,B14,$L$2:$L$201,"Pending",$A$2:$A$201,"&lt;"&amp;A14)+1,"")))</f>
        <v>3</v>
      </c>
    </row>
    <row r="15" spans="1:13" x14ac:dyDescent="0.25">
      <c r="A15">
        <v>52</v>
      </c>
      <c r="B15" t="str">
        <f>IF(A15="","",IFERROR(INDEX(tblReg[Field],MATCH(A15,tblReg[Bib],0)),""))</f>
        <v>Men 40+</v>
      </c>
      <c r="C15" t="str">
        <f>IF(A15="","",IFERROR(INDEX(tblReg[FirstName],MATCH(A15,tblReg[Bib],0)),""))</f>
        <v>Aria</v>
      </c>
      <c r="D15" t="str">
        <f>IF(A15="","",IFERROR(INDEX(tblReg[LastName],MATCH(A15,tblReg[Bib],0)),""))</f>
        <v>Thomas</v>
      </c>
      <c r="E15" t="str">
        <f>IF(A15="","",IFERROR(INDEX(tblReg[Team],MATCH(A15,tblReg[Bib],0)),""))</f>
        <v>Nomad CC</v>
      </c>
      <c r="F15" s="5">
        <f>IF(A15="","",IFERROR(INDEX(tblStage1[NetTime],MATCH(A15,tblStage1[Bib],0)),""))</f>
        <v>7.829861111111111E-2</v>
      </c>
      <c r="G15" s="5">
        <f>IF(A15="","",IFERROR(INDEX(tblStage2[NetTime],MATCH(A15,tblStage2[Bib],0)),""))</f>
        <v>6.8032407407407403E-2</v>
      </c>
      <c r="H15" s="5">
        <f>IF(A15="","",IFERROR(INDEX(tblStage3[NetTime],MATCH(A15,tblStage3[Bib],0)),""))</f>
        <v>7.1759259259259259E-2</v>
      </c>
      <c r="I15">
        <f>IF(COUNTA(F15:H15)=3,SUM(F15:H15)*86400,"")</f>
        <v>18843</v>
      </c>
      <c r="J15" s="7">
        <f>IF(A15="","",IF(SUM(IFERROR(INDEX(tblStage1[BonusSeconds],MATCH(A15,tblStage1[Bib],0)),0),IFERROR(INDEX(tblStage2[BonusSeconds],MATCH(A15,tblStage2[Bib],0)),0),IFERROR(INDEX(tblStage3[BonusSeconds],MATCH(A15,tblStage3[Bib],0)),0))=0,"",SUM(IFERROR(INDEX(tblStage1[BonusSeconds],MATCH(A15,tblStage1[Bib],0)),0),IFERROR(INDEX(tblStage2[BonusSeconds],MATCH(A15,tblStage2[Bib],0)),0),IFERROR(INDEX(tblStage3[BonusSeconds],MATCH(A15,tblStage3[Bib],0)),0))/86400))</f>
        <v>6.9444444444444444E-5</v>
      </c>
      <c r="K15" s="5">
        <f>IF(I15="","",I15/86400)</f>
        <v>0.21809027777777779</v>
      </c>
      <c r="L15" t="s">
        <v>128</v>
      </c>
      <c r="M15">
        <f>IF(A15="","",IF(L15="Active",1+COUNTIFS($B$2:$B$201,B15,$L$2:$L$201,"Active",$I$2:$I$201,"&lt;"&amp;I15),IF(L15="Pending",COUNTIFS($B$2:$B$201,B15,$L$2:$L$201,"Active")+COUNTIFS($B$2:$B$201,B15,$L$2:$L$201,"Pending",$A$2:$A$201,"&lt;"&amp;A15)+1,"")))</f>
        <v>4</v>
      </c>
    </row>
    <row r="16" spans="1:13" x14ac:dyDescent="0.25">
      <c r="A16">
        <v>57</v>
      </c>
      <c r="B16" t="str">
        <f>IF(A16="","",IFERROR(INDEX(tblReg[Field],MATCH(A16,tblReg[Bib],0)),""))</f>
        <v>Men 40+</v>
      </c>
      <c r="C16" t="str">
        <f>IF(A16="","",IFERROR(INDEX(tblReg[FirstName],MATCH(A16,tblReg[Bib],0)),""))</f>
        <v>Liam</v>
      </c>
      <c r="D16" t="str">
        <f>IF(A16="","",IFERROR(INDEX(tblReg[LastName],MATCH(A16,tblReg[Bib],0)),""))</f>
        <v>Moore</v>
      </c>
      <c r="E16" t="str">
        <f>IF(A16="","",IFERROR(INDEX(tblReg[Team],MATCH(A16,tblReg[Bib],0)),""))</f>
        <v>Nomad CC</v>
      </c>
      <c r="F16" s="5">
        <f>IF(A16="","",IFERROR(INDEX(tblStage1[NetTime],MATCH(A16,tblStage1[Bib],0)),""))</f>
        <v>7.4143518518518525E-2</v>
      </c>
      <c r="G16" s="5">
        <f>IF(A16="","",IFERROR(INDEX(tblStage2[NetTime],MATCH(A16,tblStage2[Bib],0)),""))</f>
        <v>6.7743055555555556E-2</v>
      </c>
      <c r="H16" s="5">
        <f>IF(A16="","",IFERROR(INDEX(tblStage3[NetTime],MATCH(A16,tblStage3[Bib],0)),""))</f>
        <v>7.6446759259259256E-2</v>
      </c>
      <c r="I16">
        <f>IF(COUNTA(F16:H16)=3,SUM(F16:H16)*86400,"")</f>
        <v>18864</v>
      </c>
      <c r="J16" s="7">
        <f>IF(A16="","",IF(SUM(IFERROR(INDEX(tblStage1[BonusSeconds],MATCH(A16,tblStage1[Bib],0)),0),IFERROR(INDEX(tblStage2[BonusSeconds],MATCH(A16,tblStage2[Bib],0)),0),IFERROR(INDEX(tblStage3[BonusSeconds],MATCH(A16,tblStage3[Bib],0)),0))=0,"",SUM(IFERROR(INDEX(tblStage1[BonusSeconds],MATCH(A16,tblStage1[Bib],0)),0),IFERROR(INDEX(tblStage2[BonusSeconds],MATCH(A16,tblStage2[Bib],0)),0),IFERROR(INDEX(tblStage3[BonusSeconds],MATCH(A16,tblStage3[Bib],0)),0))/86400))</f>
        <v>1.1574074074074075E-4</v>
      </c>
      <c r="K16" s="5">
        <f>IF(I16="","",I16/86400)</f>
        <v>0.21833333333333332</v>
      </c>
      <c r="L16" t="s">
        <v>128</v>
      </c>
      <c r="M16">
        <f>IF(A16="","",IF(L16="Active",1+COUNTIFS($B$2:$B$201,B16,$L$2:$L$201,"Active",$I$2:$I$201,"&lt;"&amp;I16),IF(L16="Pending",COUNTIFS($B$2:$B$201,B16,$L$2:$L$201,"Active")+COUNTIFS($B$2:$B$201,B16,$L$2:$L$201,"Pending",$A$2:$A$201,"&lt;"&amp;A16)+1,"")))</f>
        <v>5</v>
      </c>
    </row>
    <row r="17" spans="1:13" x14ac:dyDescent="0.25">
      <c r="A17">
        <v>60</v>
      </c>
      <c r="B17" t="str">
        <f>IF(A17="","",IFERROR(INDEX(tblReg[Field],MATCH(A17,tblReg[Bib],0)),""))</f>
        <v>Men 40+</v>
      </c>
      <c r="C17" t="str">
        <f>IF(A17="","",IFERROR(INDEX(tblReg[FirstName],MATCH(A17,tblReg[Bib],0)),""))</f>
        <v>Ruby</v>
      </c>
      <c r="D17" t="str">
        <f>IF(A17="","",IFERROR(INDEX(tblReg[LastName],MATCH(A17,tblReg[Bib],0)),""))</f>
        <v>Miller</v>
      </c>
      <c r="E17" t="str">
        <f>IF(A17="","",IFERROR(INDEX(tblReg[Team],MATCH(A17,tblReg[Bib],0)),""))</f>
        <v>Northwind Velo</v>
      </c>
      <c r="F17" s="5">
        <f>IF(A17="","",IFERROR(INDEX(tblStage1[NetTime],MATCH(A17,tblStage1[Bib],0)),""))</f>
        <v>7.0162037037037037E-2</v>
      </c>
      <c r="G17" s="5">
        <f>IF(A17="","",IFERROR(INDEX(tblStage2[NetTime],MATCH(A17,tblStage2[Bib],0)),""))</f>
        <v>6.9803240740740735E-2</v>
      </c>
      <c r="H17" s="5">
        <f>IF(A17="","",IFERROR(INDEX(tblStage3[NetTime],MATCH(A17,tblStage3[Bib],0)),""))</f>
        <v>7.8518518518518515E-2</v>
      </c>
      <c r="I17">
        <f>IF(COUNTA(F17:H17)=3,SUM(F17:H17)*86400,"")</f>
        <v>18877</v>
      </c>
      <c r="J17" s="7" t="str">
        <f>IF(A17="","",IF(SUM(IFERROR(INDEX(tblStage1[BonusSeconds],MATCH(A17,tblStage1[Bib],0)),0),IFERROR(INDEX(tblStage2[BonusSeconds],MATCH(A17,tblStage2[Bib],0)),0),IFERROR(INDEX(tblStage3[BonusSeconds],MATCH(A17,tblStage3[Bib],0)),0))=0,"",SUM(IFERROR(INDEX(tblStage1[BonusSeconds],MATCH(A17,tblStage1[Bib],0)),0),IFERROR(INDEX(tblStage2[BonusSeconds],MATCH(A17,tblStage2[Bib],0)),0),IFERROR(INDEX(tblStage3[BonusSeconds],MATCH(A17,tblStage3[Bib],0)),0))/86400))</f>
        <v/>
      </c>
      <c r="K17" s="5">
        <f>IF(I17="","",I17/86400)</f>
        <v>0.2184837962962963</v>
      </c>
      <c r="L17" t="s">
        <v>128</v>
      </c>
      <c r="M17">
        <f>IF(A17="","",IF(L17="Active",1+COUNTIFS($B$2:$B$201,B17,$L$2:$L$201,"Active",$I$2:$I$201,"&lt;"&amp;I17),IF(L17="Pending",COUNTIFS($B$2:$B$201,B17,$L$2:$L$201,"Active")+COUNTIFS($B$2:$B$201,B17,$L$2:$L$201,"Pending",$A$2:$A$201,"&lt;"&amp;A17)+1,"")))</f>
        <v>6</v>
      </c>
    </row>
    <row r="18" spans="1:13" x14ac:dyDescent="0.25">
      <c r="A18">
        <v>55</v>
      </c>
      <c r="B18" t="str">
        <f>IF(A18="","",IFERROR(INDEX(tblReg[Field],MATCH(A18,tblReg[Bib],0)),""))</f>
        <v>Men 40+</v>
      </c>
      <c r="C18" t="str">
        <f>IF(A18="","",IFERROR(INDEX(tblReg[FirstName],MATCH(A18,tblReg[Bib],0)),""))</f>
        <v>Noah</v>
      </c>
      <c r="D18" t="str">
        <f>IF(A18="","",IFERROR(INDEX(tblReg[LastName],MATCH(A18,tblReg[Bib],0)),""))</f>
        <v>Martinez</v>
      </c>
      <c r="E18" t="str">
        <f>IF(A18="","",IFERROR(INDEX(tblReg[Team],MATCH(A18,tblReg[Bib],0)),""))</f>
        <v>City Sprint</v>
      </c>
      <c r="F18" s="5">
        <f>IF(A18="","",IFERROR(INDEX(tblStage1[NetTime],MATCH(A18,tblStage1[Bib],0)),""))</f>
        <v>7.6180555555555557E-2</v>
      </c>
      <c r="G18" s="5">
        <f>IF(A18="","",IFERROR(INDEX(tblStage2[NetTime],MATCH(A18,tblStage2[Bib],0)),""))</f>
        <v>6.8078703703703697E-2</v>
      </c>
      <c r="H18" s="5">
        <f>IF(A18="","",IFERROR(INDEX(tblStage3[NetTime],MATCH(A18,tblStage3[Bib],0)),""))</f>
        <v>7.9826388888888891E-2</v>
      </c>
      <c r="I18">
        <f>IF(COUNTA(F18:H18)=3,SUM(F18:H18)*86400,"")</f>
        <v>19361</v>
      </c>
      <c r="J18" s="7">
        <f>IF(A18="","",IF(SUM(IFERROR(INDEX(tblStage1[BonusSeconds],MATCH(A18,tblStage1[Bib],0)),0),IFERROR(INDEX(tblStage2[BonusSeconds],MATCH(A18,tblStage2[Bib],0)),0),IFERROR(INDEX(tblStage3[BonusSeconds],MATCH(A18,tblStage3[Bib],0)),0))=0,"",SUM(IFERROR(INDEX(tblStage1[BonusSeconds],MATCH(A18,tblStage1[Bib],0)),0),IFERROR(INDEX(tblStage2[BonusSeconds],MATCH(A18,tblStage2[Bib],0)),0),IFERROR(INDEX(tblStage3[BonusSeconds],MATCH(A18,tblStage3[Bib],0)),0))/86400))</f>
        <v>4.6296296296296294E-5</v>
      </c>
      <c r="K18" s="5">
        <f>IF(I18="","",I18/86400)</f>
        <v>0.22408564814814816</v>
      </c>
      <c r="L18" t="s">
        <v>128</v>
      </c>
      <c r="M18">
        <f>IF(A18="","",IF(L18="Active",1+COUNTIFS($B$2:$B$201,B18,$L$2:$L$201,"Active",$I$2:$I$201,"&lt;"&amp;I18),IF(L18="Pending",COUNTIFS($B$2:$B$201,B18,$L$2:$L$201,"Active")+COUNTIFS($B$2:$B$201,B18,$L$2:$L$201,"Pending",$A$2:$A$201,"&lt;"&amp;A18)+1,"")))</f>
        <v>7</v>
      </c>
    </row>
    <row r="19" spans="1:13" x14ac:dyDescent="0.25">
      <c r="A19">
        <v>53</v>
      </c>
      <c r="B19" t="str">
        <f>IF(A19="","",IFERROR(INDEX(tblReg[Field],MATCH(A19,tblReg[Bib],0)),""))</f>
        <v>Men 40+</v>
      </c>
      <c r="C19" t="str">
        <f>IF(A19="","",IFERROR(INDEX(tblReg[FirstName],MATCH(A19,tblReg[Bib],0)),""))</f>
        <v>Ethan</v>
      </c>
      <c r="D19" t="str">
        <f>IF(A19="","",IFERROR(INDEX(tblReg[LastName],MATCH(A19,tblReg[Bib],0)),""))</f>
        <v>Moore</v>
      </c>
      <c r="E19" t="str">
        <f>IF(A19="","",IFERROR(INDEX(tblReg[Team],MATCH(A19,tblReg[Bib],0)),""))</f>
        <v>Northwind Velo</v>
      </c>
      <c r="F19" s="5">
        <f>IF(A19="","",IFERROR(INDEX(tblStage1[NetTime],MATCH(A19,tblStage1[Bib],0)),""))</f>
        <v>6.6076388888888893E-2</v>
      </c>
      <c r="G19" s="5" t="str">
        <f>IF(A19="","",IFERROR(INDEX(tblStage2[NetTime],MATCH(A19,tblStage2[Bib],0)),""))</f>
        <v/>
      </c>
      <c r="H19" s="5">
        <f>IF(A19="","",IFERROR(INDEX(tblStage3[NetTime],MATCH(A19,tblStage3[Bib],0)),""))</f>
        <v>7.7013888888888896E-2</v>
      </c>
      <c r="I19">
        <f>IF(COUNTA(F19:H19)=3,SUM(F19:H19)*86400,"")</f>
        <v>12363</v>
      </c>
      <c r="J19" s="7">
        <f>IF(A19="","",IF(SUM(IFERROR(INDEX(tblStage1[BonusSeconds],MATCH(A19,tblStage1[Bib],0)),0),IFERROR(INDEX(tblStage2[BonusSeconds],MATCH(A19,tblStage2[Bib],0)),0),IFERROR(INDEX(tblStage3[BonusSeconds],MATCH(A19,tblStage3[Bib],0)),0))=0,"",SUM(IFERROR(INDEX(tblStage1[BonusSeconds],MATCH(A19,tblStage1[Bib],0)),0),IFERROR(INDEX(tblStage2[BonusSeconds],MATCH(A19,tblStage2[Bib],0)),0),IFERROR(INDEX(tblStage3[BonusSeconds],MATCH(A19,tblStage3[Bib],0)),0))/86400))</f>
        <v>1.1574074074074075E-4</v>
      </c>
      <c r="K19" s="5">
        <f>IF(I19="","",I19/86400)</f>
        <v>0.14309027777777777</v>
      </c>
      <c r="L19" t="s">
        <v>115</v>
      </c>
      <c r="M19" t="str">
        <f>IF(A19="","",IF(L19="Active",1+COUNTIFS($B$2:$B$201,B19,$L$2:$L$201,"Active",$I$2:$I$201,"&lt;"&amp;I19),IF(L19="Pending",COUNTIFS($B$2:$B$201,B19,$L$2:$L$201,"Active")+COUNTIFS($B$2:$B$201,B19,$L$2:$L$201,"Pending",$A$2:$A$201,"&lt;"&amp;A19)+1,"")))</f>
        <v/>
      </c>
    </row>
    <row r="20" spans="1:13" x14ac:dyDescent="0.25">
      <c r="A20">
        <v>56</v>
      </c>
      <c r="B20" t="str">
        <f>IF(A20="","",IFERROR(INDEX(tblReg[Field],MATCH(A20,tblReg[Bib],0)),""))</f>
        <v>Men 40+</v>
      </c>
      <c r="C20" t="str">
        <f>IF(A20="","",IFERROR(INDEX(tblReg[FirstName],MATCH(A20,tblReg[Bib],0)),""))</f>
        <v>Noah</v>
      </c>
      <c r="D20" t="str">
        <f>IF(A20="","",IFERROR(INDEX(tblReg[LastName],MATCH(A20,tblReg[Bib],0)),""))</f>
        <v>Thomas</v>
      </c>
      <c r="E20" t="str">
        <f>IF(A20="","",IFERROR(INDEX(tblReg[Team],MATCH(A20,tblReg[Bib],0)),""))</f>
        <v>Apex Cycling</v>
      </c>
      <c r="F20" s="5">
        <f>IF(A20="","",IFERROR(INDEX(tblStage1[NetTime],MATCH(A20,tblStage1[Bib],0)),""))</f>
        <v>6.7511574074074071E-2</v>
      </c>
      <c r="G20" s="5">
        <f>IF(A20="","",IFERROR(INDEX(tblStage2[NetTime],MATCH(A20,tblStage2[Bib],0)),""))</f>
        <v>7.4618055555555562E-2</v>
      </c>
      <c r="H20" s="5" t="str">
        <f>IF(A20="","",IFERROR(INDEX(tblStage3[NetTime],MATCH(A20,tblStage3[Bib],0)),""))</f>
        <v/>
      </c>
      <c r="I20">
        <f>IF(COUNTA(F20:H20)=3,SUM(F20:H20)*86400,"")</f>
        <v>12280</v>
      </c>
      <c r="J20" s="7">
        <f>IF(A20="","",IF(SUM(IFERROR(INDEX(tblStage1[BonusSeconds],MATCH(A20,tblStage1[Bib],0)),0),IFERROR(INDEX(tblStage2[BonusSeconds],MATCH(A20,tblStage2[Bib],0)),0),IFERROR(INDEX(tblStage3[BonusSeconds],MATCH(A20,tblStage3[Bib],0)),0))=0,"",SUM(IFERROR(INDEX(tblStage1[BonusSeconds],MATCH(A20,tblStage1[Bib],0)),0),IFERROR(INDEX(tblStage2[BonusSeconds],MATCH(A20,tblStage2[Bib],0)),0),IFERROR(INDEX(tblStage3[BonusSeconds],MATCH(A20,tblStage3[Bib],0)),0))/86400))</f>
        <v>6.9444444444444444E-5</v>
      </c>
      <c r="K20" s="5">
        <f>IF(I20="","",I20/86400)</f>
        <v>0.14212962962962963</v>
      </c>
      <c r="L20" t="s">
        <v>115</v>
      </c>
      <c r="M20" t="str">
        <f>IF(A20="","",IF(L20="Active",1+COUNTIFS($B$2:$B$201,B20,$L$2:$L$201,"Active",$I$2:$I$201,"&lt;"&amp;I20),IF(L20="Pending",COUNTIFS($B$2:$B$201,B20,$L$2:$L$201,"Active")+COUNTIFS($B$2:$B$201,B20,$L$2:$L$201,"Pending",$A$2:$A$201,"&lt;"&amp;A20)+1,"")))</f>
        <v/>
      </c>
    </row>
    <row r="21" spans="1:13" x14ac:dyDescent="0.25">
      <c r="A21">
        <v>59</v>
      </c>
      <c r="B21" t="str">
        <f>IF(A21="","",IFERROR(INDEX(tblReg[Field],MATCH(A21,tblReg[Bib],0)),""))</f>
        <v>Men 40+</v>
      </c>
      <c r="C21" t="str">
        <f>IF(A21="","",IFERROR(INDEX(tblReg[FirstName],MATCH(A21,tblReg[Bib],0)),""))</f>
        <v>Leo</v>
      </c>
      <c r="D21" t="str">
        <f>IF(A21="","",IFERROR(INDEX(tblReg[LastName],MATCH(A21,tblReg[Bib],0)),""))</f>
        <v>Kim</v>
      </c>
      <c r="E21" t="str">
        <f>IF(A21="","",IFERROR(INDEX(tblReg[Team],MATCH(A21,tblReg[Bib],0)),""))</f>
        <v>Summit Wheels</v>
      </c>
      <c r="F21" s="5" t="str">
        <f>IF(A21="","",IFERROR(INDEX(tblStage1[NetTime],MATCH(A21,tblStage1[Bib],0)),""))</f>
        <v/>
      </c>
      <c r="G21" s="5">
        <f>IF(A21="","",IFERROR(INDEX(tblStage2[NetTime],MATCH(A21,tblStage2[Bib],0)),""))</f>
        <v>7.6747685185185183E-2</v>
      </c>
      <c r="H21" s="5">
        <f>IF(A21="","",IFERROR(INDEX(tblStage3[NetTime],MATCH(A21,tblStage3[Bib],0)),""))</f>
        <v>6.8807870370370366E-2</v>
      </c>
      <c r="I21">
        <f>IF(COUNTA(F21:H21)=3,SUM(F21:H21)*86400,"")</f>
        <v>12576</v>
      </c>
      <c r="J21" s="7" t="str">
        <f>IF(A21="","",IF(SUM(IFERROR(INDEX(tblStage1[BonusSeconds],MATCH(A21,tblStage1[Bib],0)),0),IFERROR(INDEX(tblStage2[BonusSeconds],MATCH(A21,tblStage2[Bib],0)),0),IFERROR(INDEX(tblStage3[BonusSeconds],MATCH(A21,tblStage3[Bib],0)),0))=0,"",SUM(IFERROR(INDEX(tblStage1[BonusSeconds],MATCH(A21,tblStage1[Bib],0)),0),IFERROR(INDEX(tblStage2[BonusSeconds],MATCH(A21,tblStage2[Bib],0)),0),IFERROR(INDEX(tblStage3[BonusSeconds],MATCH(A21,tblStage3[Bib],0)),0))/86400))</f>
        <v/>
      </c>
      <c r="K21" s="5">
        <f>IF(I21="","",I21/86400)</f>
        <v>0.14555555555555555</v>
      </c>
      <c r="L21" t="s">
        <v>115</v>
      </c>
      <c r="M21" t="str">
        <f>IF(A21="","",IF(L21="Active",1+COUNTIFS($B$2:$B$201,B21,$L$2:$L$201,"Active",$I$2:$I$201,"&lt;"&amp;I21),IF(L21="Pending",COUNTIFS($B$2:$B$201,B21,$L$2:$L$201,"Active")+COUNTIFS($B$2:$B$201,B21,$L$2:$L$201,"Pending",$A$2:$A$201,"&lt;"&amp;A21)+1,"")))</f>
        <v/>
      </c>
    </row>
    <row r="22" spans="1:13" x14ac:dyDescent="0.25">
      <c r="A22">
        <v>106</v>
      </c>
      <c r="B22" t="str">
        <f>IF(A22="","",IFERROR(INDEX(tblReg[Field],MATCH(A22,tblReg[Bib],0)),""))</f>
        <v>Men 50+</v>
      </c>
      <c r="C22" t="str">
        <f>IF(A22="","",IFERROR(INDEX(tblReg[FirstName],MATCH(A22,tblReg[Bib],0)),""))</f>
        <v>Owen</v>
      </c>
      <c r="D22" t="str">
        <f>IF(A22="","",IFERROR(INDEX(tblReg[LastName],MATCH(A22,tblReg[Bib],0)),""))</f>
        <v>Martinez</v>
      </c>
      <c r="E22" t="str">
        <f>IF(A22="","",IFERROR(INDEX(tblReg[Team],MATCH(A22,tblReg[Bib],0)),""))</f>
        <v>Rapid Chain</v>
      </c>
      <c r="F22" s="5">
        <f>IF(A22="","",IFERROR(INDEX(tblStage1[NetTime],MATCH(A22,tblStage1[Bib],0)),""))</f>
        <v>7.5393518518518512E-2</v>
      </c>
      <c r="G22" s="5">
        <f>IF(A22="","",IFERROR(INDEX(tblStage2[NetTime],MATCH(A22,tblStage2[Bib],0)),""))</f>
        <v>6.7372685185185188E-2</v>
      </c>
      <c r="H22" s="5">
        <f>IF(A22="","",IFERROR(INDEX(tblStage3[NetTime],MATCH(A22,tblStage3[Bib],0)),""))</f>
        <v>7.2245370370370376E-2</v>
      </c>
      <c r="I22">
        <f>IF(COUNTA(F22:H22)=3,SUM(F22:H22)*86400,"")</f>
        <v>18577</v>
      </c>
      <c r="J22" s="7">
        <f>IF(A22="","",IF(SUM(IFERROR(INDEX(tblStage1[BonusSeconds],MATCH(A22,tblStage1[Bib],0)),0),IFERROR(INDEX(tblStage2[BonusSeconds],MATCH(A22,tblStage2[Bib],0)),0),IFERROR(INDEX(tblStage3[BonusSeconds],MATCH(A22,tblStage3[Bib],0)),0))=0,"",SUM(IFERROR(INDEX(tblStage1[BonusSeconds],MATCH(A22,tblStage1[Bib],0)),0),IFERROR(INDEX(tblStage2[BonusSeconds],MATCH(A22,tblStage2[Bib],0)),0),IFERROR(INDEX(tblStage3[BonusSeconds],MATCH(A22,tblStage3[Bib],0)),0))/86400))</f>
        <v>1.1574074074074075E-4</v>
      </c>
      <c r="K22" s="5">
        <f>IF(I22="","",I22/86400)</f>
        <v>0.21501157407407406</v>
      </c>
      <c r="L22" t="s">
        <v>128</v>
      </c>
      <c r="M22">
        <f>IF(A22="","",IF(L22="Active",1+COUNTIFS($B$2:$B$201,B22,$L$2:$L$201,"Active",$I$2:$I$201,"&lt;"&amp;I22),IF(L22="Pending",COUNTIFS($B$2:$B$201,B22,$L$2:$L$201,"Active")+COUNTIFS($B$2:$B$201,B22,$L$2:$L$201,"Pending",$A$2:$A$201,"&lt;"&amp;A22)+1,"")))</f>
        <v>1</v>
      </c>
    </row>
    <row r="23" spans="1:13" x14ac:dyDescent="0.25">
      <c r="A23">
        <v>104</v>
      </c>
      <c r="B23" t="str">
        <f>IF(A23="","",IFERROR(INDEX(tblReg[Field],MATCH(A23,tblReg[Bib],0)),""))</f>
        <v>Men 50+</v>
      </c>
      <c r="C23" t="str">
        <f>IF(A23="","",IFERROR(INDEX(tblReg[FirstName],MATCH(A23,tblReg[Bib],0)),""))</f>
        <v>Noah</v>
      </c>
      <c r="D23" t="str">
        <f>IF(A23="","",IFERROR(INDEX(tblReg[LastName],MATCH(A23,tblReg[Bib],0)),""))</f>
        <v>Smith</v>
      </c>
      <c r="E23" t="str">
        <f>IF(A23="","",IFERROR(INDEX(tblReg[Team],MATCH(A23,tblReg[Bib],0)),""))</f>
        <v>Northwind Velo</v>
      </c>
      <c r="F23" s="5">
        <f>IF(A23="","",IFERROR(INDEX(tblStage1[NetTime],MATCH(A23,tblStage1[Bib],0)),""))</f>
        <v>7.5324074074074071E-2</v>
      </c>
      <c r="G23" s="5">
        <f>IF(A23="","",IFERROR(INDEX(tblStage2[NetTime],MATCH(A23,tblStage2[Bib],0)),""))</f>
        <v>6.9849537037037043E-2</v>
      </c>
      <c r="H23" s="5">
        <f>IF(A23="","",IFERROR(INDEX(tblStage3[NetTime],MATCH(A23,tblStage3[Bib],0)),""))</f>
        <v>7.1145833333333339E-2</v>
      </c>
      <c r="I23">
        <f>IF(COUNTA(F23:H23)=3,SUM(F23:H23)*86400,"")</f>
        <v>18690</v>
      </c>
      <c r="J23" s="7">
        <f>IF(A23="","",IF(SUM(IFERROR(INDEX(tblStage1[BonusSeconds],MATCH(A23,tblStage1[Bib],0)),0),IFERROR(INDEX(tblStage2[BonusSeconds],MATCH(A23,tblStage2[Bib],0)),0),IFERROR(INDEX(tblStage3[BonusSeconds],MATCH(A23,tblStage3[Bib],0)),0))=0,"",SUM(IFERROR(INDEX(tblStage1[BonusSeconds],MATCH(A23,tblStage1[Bib],0)),0),IFERROR(INDEX(tblStage2[BonusSeconds],MATCH(A23,tblStage2[Bib],0)),0),IFERROR(INDEX(tblStage3[BonusSeconds],MATCH(A23,tblStage3[Bib],0)),0))/86400))</f>
        <v>6.9444444444444444E-5</v>
      </c>
      <c r="K23" s="5">
        <f>IF(I23="","",I23/86400)</f>
        <v>0.21631944444444445</v>
      </c>
      <c r="L23" t="s">
        <v>128</v>
      </c>
      <c r="M23">
        <f>IF(A23="","",IF(L23="Active",1+COUNTIFS($B$2:$B$201,B23,$L$2:$L$201,"Active",$I$2:$I$201,"&lt;"&amp;I23),IF(L23="Pending",COUNTIFS($B$2:$B$201,B23,$L$2:$L$201,"Active")+COUNTIFS($B$2:$B$201,B23,$L$2:$L$201,"Pending",$A$2:$A$201,"&lt;"&amp;A23)+1,"")))</f>
        <v>2</v>
      </c>
    </row>
    <row r="24" spans="1:13" x14ac:dyDescent="0.25">
      <c r="A24">
        <v>110</v>
      </c>
      <c r="B24" t="str">
        <f>IF(A24="","",IFERROR(INDEX(tblReg[Field],MATCH(A24,tblReg[Bib],0)),""))</f>
        <v>Men 50+</v>
      </c>
      <c r="C24" t="str">
        <f>IF(A24="","",IFERROR(INDEX(tblReg[FirstName],MATCH(A24,tblReg[Bib],0)),""))</f>
        <v>Emma</v>
      </c>
      <c r="D24" t="str">
        <f>IF(A24="","",IFERROR(INDEX(tblReg[LastName],MATCH(A24,tblReg[Bib],0)),""))</f>
        <v>Moore</v>
      </c>
      <c r="E24" t="str">
        <f>IF(A24="","",IFERROR(INDEX(tblReg[Team],MATCH(A24,tblReg[Bib],0)),""))</f>
        <v>Summit Wheels</v>
      </c>
      <c r="F24" s="5">
        <f>IF(A24="","",IFERROR(INDEX(tblStage1[NetTime],MATCH(A24,tblStage1[Bib],0)),""))</f>
        <v>6.8750000000000006E-2</v>
      </c>
      <c r="G24" s="5">
        <f>IF(A24="","",IFERROR(INDEX(tblStage2[NetTime],MATCH(A24,tblStage2[Bib],0)),""))</f>
        <v>7.784722222222222E-2</v>
      </c>
      <c r="H24" s="5">
        <f>IF(A24="","",IFERROR(INDEX(tblStage3[NetTime],MATCH(A24,tblStage3[Bib],0)),""))</f>
        <v>7.0243055555555559E-2</v>
      </c>
      <c r="I24">
        <f>IF(COUNTA(F24:H24)=3,SUM(F24:H24)*86400,"")</f>
        <v>18735</v>
      </c>
      <c r="J24" s="7">
        <f>IF(A24="","",IF(SUM(IFERROR(INDEX(tblStage1[BonusSeconds],MATCH(A24,tblStage1[Bib],0)),0),IFERROR(INDEX(tblStage2[BonusSeconds],MATCH(A24,tblStage2[Bib],0)),0),IFERROR(INDEX(tblStage3[BonusSeconds],MATCH(A24,tblStage3[Bib],0)),0))=0,"",SUM(IFERROR(INDEX(tblStage1[BonusSeconds],MATCH(A24,tblStage1[Bib],0)),0),IFERROR(INDEX(tblStage2[BonusSeconds],MATCH(A24,tblStage2[Bib],0)),0),IFERROR(INDEX(tblStage3[BonusSeconds],MATCH(A24,tblStage3[Bib],0)),0))/86400))</f>
        <v>1.1574074074074075E-4</v>
      </c>
      <c r="K24" s="5">
        <f>IF(I24="","",I24/86400)</f>
        <v>0.21684027777777778</v>
      </c>
      <c r="L24" t="s">
        <v>128</v>
      </c>
      <c r="M24">
        <f>IF(A24="","",IF(L24="Active",1+COUNTIFS($B$2:$B$201,B24,$L$2:$L$201,"Active",$I$2:$I$201,"&lt;"&amp;I24),IF(L24="Pending",COUNTIFS($B$2:$B$201,B24,$L$2:$L$201,"Active")+COUNTIFS($B$2:$B$201,B24,$L$2:$L$201,"Pending",$A$2:$A$201,"&lt;"&amp;A24)+1,"")))</f>
        <v>3</v>
      </c>
    </row>
    <row r="25" spans="1:13" x14ac:dyDescent="0.25">
      <c r="A25">
        <v>103</v>
      </c>
      <c r="B25" t="str">
        <f>IF(A25="","",IFERROR(INDEX(tblReg[Field],MATCH(A25,tblReg[Bib],0)),""))</f>
        <v>Men 50+</v>
      </c>
      <c r="C25" t="str">
        <f>IF(A25="","",IFERROR(INDEX(tblReg[FirstName],MATCH(A25,tblReg[Bib],0)),""))</f>
        <v>Ethan</v>
      </c>
      <c r="D25" t="str">
        <f>IF(A25="","",IFERROR(INDEX(tblReg[LastName],MATCH(A25,tblReg[Bib],0)),""))</f>
        <v>Lewis</v>
      </c>
      <c r="E25" t="str">
        <f>IF(A25="","",IFERROR(INDEX(tblReg[Team],MATCH(A25,tblReg[Bib],0)),""))</f>
        <v>Apex Cycling</v>
      </c>
      <c r="F25" s="5">
        <f>IF(A25="","",IFERROR(INDEX(tblStage1[NetTime],MATCH(A25,tblStage1[Bib],0)),""))</f>
        <v>7.3287037037037039E-2</v>
      </c>
      <c r="G25" s="5">
        <f>IF(A25="","",IFERROR(INDEX(tblStage2[NetTime],MATCH(A25,tblStage2[Bib],0)),""))</f>
        <v>7.7268518518518514E-2</v>
      </c>
      <c r="H25" s="5">
        <f>IF(A25="","",IFERROR(INDEX(tblStage3[NetTime],MATCH(A25,tblStage3[Bib],0)),""))</f>
        <v>6.8750000000000006E-2</v>
      </c>
      <c r="I25">
        <f>IF(COUNTA(F25:H25)=3,SUM(F25:H25)*86400,"")</f>
        <v>18948</v>
      </c>
      <c r="J25" s="7" t="str">
        <f>IF(A25="","",IF(SUM(IFERROR(INDEX(tblStage1[BonusSeconds],MATCH(A25,tblStage1[Bib],0)),0),IFERROR(INDEX(tblStage2[BonusSeconds],MATCH(A25,tblStage2[Bib],0)),0),IFERROR(INDEX(tblStage3[BonusSeconds],MATCH(A25,tblStage3[Bib],0)),0))=0,"",SUM(IFERROR(INDEX(tblStage1[BonusSeconds],MATCH(A25,tblStage1[Bib],0)),0),IFERROR(INDEX(tblStage2[BonusSeconds],MATCH(A25,tblStage2[Bib],0)),0),IFERROR(INDEX(tblStage3[BonusSeconds],MATCH(A25,tblStage3[Bib],0)),0))/86400))</f>
        <v/>
      </c>
      <c r="K25" s="5">
        <f>IF(I25="","",I25/86400)</f>
        <v>0.21930555555555556</v>
      </c>
      <c r="L25" t="s">
        <v>128</v>
      </c>
      <c r="M25">
        <f>IF(A25="","",IF(L25="Active",1+COUNTIFS($B$2:$B$201,B25,$L$2:$L$201,"Active",$I$2:$I$201,"&lt;"&amp;I25),IF(L25="Pending",COUNTIFS($B$2:$B$201,B25,$L$2:$L$201,"Active")+COUNTIFS($B$2:$B$201,B25,$L$2:$L$201,"Pending",$A$2:$A$201,"&lt;"&amp;A25)+1,"")))</f>
        <v>4</v>
      </c>
    </row>
    <row r="26" spans="1:13" x14ac:dyDescent="0.25">
      <c r="A26">
        <v>109</v>
      </c>
      <c r="B26" t="str">
        <f>IF(A26="","",IFERROR(INDEX(tblReg[Field],MATCH(A26,tblReg[Bib],0)),""))</f>
        <v>Men 50+</v>
      </c>
      <c r="C26" t="str">
        <f>IF(A26="","",IFERROR(INDEX(tblReg[FirstName],MATCH(A26,tblReg[Bib],0)),""))</f>
        <v>Sofia</v>
      </c>
      <c r="D26" t="str">
        <f>IF(A26="","",IFERROR(INDEX(tblReg[LastName],MATCH(A26,tblReg[Bib],0)),""))</f>
        <v>Brown</v>
      </c>
      <c r="E26" t="str">
        <f>IF(A26="","",IFERROR(INDEX(tblReg[Team],MATCH(A26,tblReg[Bib],0)),""))</f>
        <v>Apex Cycling</v>
      </c>
      <c r="F26" s="5">
        <f>IF(A26="","",IFERROR(INDEX(tblStage1[NetTime],MATCH(A26,tblStage1[Bib],0)),""))</f>
        <v>7.3506944444444444E-2</v>
      </c>
      <c r="G26" s="5">
        <f>IF(A26="","",IFERROR(INDEX(tblStage2[NetTime],MATCH(A26,tblStage2[Bib],0)),""))</f>
        <v>7.8043981481481478E-2</v>
      </c>
      <c r="H26" s="5">
        <f>IF(A26="","",IFERROR(INDEX(tblStage3[NetTime],MATCH(A26,tblStage3[Bib],0)),""))</f>
        <v>7.1261574074074074E-2</v>
      </c>
      <c r="I26">
        <f>IF(COUNTA(F26:H26)=3,SUM(F26:H26)*86400,"")</f>
        <v>19251</v>
      </c>
      <c r="J26" s="7" t="str">
        <f>IF(A26="","",IF(SUM(IFERROR(INDEX(tblStage1[BonusSeconds],MATCH(A26,tblStage1[Bib],0)),0),IFERROR(INDEX(tblStage2[BonusSeconds],MATCH(A26,tblStage2[Bib],0)),0),IFERROR(INDEX(tblStage3[BonusSeconds],MATCH(A26,tblStage3[Bib],0)),0))=0,"",SUM(IFERROR(INDEX(tblStage1[BonusSeconds],MATCH(A26,tblStage1[Bib],0)),0),IFERROR(INDEX(tblStage2[BonusSeconds],MATCH(A26,tblStage2[Bib],0)),0),IFERROR(INDEX(tblStage3[BonusSeconds],MATCH(A26,tblStage3[Bib],0)),0))/86400))</f>
        <v/>
      </c>
      <c r="K26" s="5">
        <f>IF(I26="","",I26/86400)</f>
        <v>0.2228125</v>
      </c>
      <c r="L26" t="s">
        <v>128</v>
      </c>
      <c r="M26">
        <f>IF(A26="","",IF(L26="Active",1+COUNTIFS($B$2:$B$201,B26,$L$2:$L$201,"Active",$I$2:$I$201,"&lt;"&amp;I26),IF(L26="Pending",COUNTIFS($B$2:$B$201,B26,$L$2:$L$201,"Active")+COUNTIFS($B$2:$B$201,B26,$L$2:$L$201,"Pending",$A$2:$A$201,"&lt;"&amp;A26)+1,"")))</f>
        <v>5</v>
      </c>
    </row>
    <row r="27" spans="1:13" x14ac:dyDescent="0.25">
      <c r="A27">
        <v>101</v>
      </c>
      <c r="B27" t="str">
        <f>IF(A27="","",IFERROR(INDEX(tblReg[Field],MATCH(A27,tblReg[Bib],0)),""))</f>
        <v>Men 50+</v>
      </c>
      <c r="C27" t="str">
        <f>IF(A27="","",IFERROR(INDEX(tblReg[FirstName],MATCH(A27,tblReg[Bib],0)),""))</f>
        <v>Alex</v>
      </c>
      <c r="D27" t="str">
        <f>IF(A27="","",IFERROR(INDEX(tblReg[LastName],MATCH(A27,tblReg[Bib],0)),""))</f>
        <v>Taylor</v>
      </c>
      <c r="E27" t="str">
        <f>IF(A27="","",IFERROR(INDEX(tblReg[Team],MATCH(A27,tblReg[Bib],0)),""))</f>
        <v>Northwind Velo</v>
      </c>
      <c r="F27" s="5">
        <f>IF(A27="","",IFERROR(INDEX(tblStage1[NetTime],MATCH(A27,tblStage1[Bib],0)),""))</f>
        <v>7.2719907407407414E-2</v>
      </c>
      <c r="G27" s="5">
        <f>IF(A27="","",IFERROR(INDEX(tblStage2[NetTime],MATCH(A27,tblStage2[Bib],0)),""))</f>
        <v>7.8877314814814817E-2</v>
      </c>
      <c r="H27" s="5">
        <f>IF(A27="","",IFERROR(INDEX(tblStage3[NetTime],MATCH(A27,tblStage3[Bib],0)),""))</f>
        <v>7.1979166666666664E-2</v>
      </c>
      <c r="I27">
        <f>IF(COUNTA(F27:H27)=3,SUM(F27:H27)*86400,"")</f>
        <v>19316.999999999996</v>
      </c>
      <c r="J27" s="7">
        <f>IF(A27="","",IF(SUM(IFERROR(INDEX(tblStage1[BonusSeconds],MATCH(A27,tblStage1[Bib],0)),0),IFERROR(INDEX(tblStage2[BonusSeconds],MATCH(A27,tblStage2[Bib],0)),0),IFERROR(INDEX(tblStage3[BonusSeconds],MATCH(A27,tblStage3[Bib],0)),0))=0,"",SUM(IFERROR(INDEX(tblStage1[BonusSeconds],MATCH(A27,tblStage1[Bib],0)),0),IFERROR(INDEX(tblStage2[BonusSeconds],MATCH(A27,tblStage2[Bib],0)),0),IFERROR(INDEX(tblStage3[BonusSeconds],MATCH(A27,tblStage3[Bib],0)),0))/86400))</f>
        <v>4.6296296296296294E-5</v>
      </c>
      <c r="K27" s="5">
        <f>IF(I27="","",I27/86400)</f>
        <v>0.22357638888888884</v>
      </c>
      <c r="L27" t="s">
        <v>128</v>
      </c>
      <c r="M27">
        <f>IF(A27="","",IF(L27="Active",1+COUNTIFS($B$2:$B$201,B27,$L$2:$L$201,"Active",$I$2:$I$201,"&lt;"&amp;I27),IF(L27="Pending",COUNTIFS($B$2:$B$201,B27,$L$2:$L$201,"Active")+COUNTIFS($B$2:$B$201,B27,$L$2:$L$201,"Pending",$A$2:$A$201,"&lt;"&amp;A27)+1,"")))</f>
        <v>6</v>
      </c>
    </row>
    <row r="28" spans="1:13" x14ac:dyDescent="0.25">
      <c r="A28">
        <v>105</v>
      </c>
      <c r="B28" t="str">
        <f>IF(A28="","",IFERROR(INDEX(tblReg[Field],MATCH(A28,tblReg[Bib],0)),""))</f>
        <v>Men 50+</v>
      </c>
      <c r="C28" t="str">
        <f>IF(A28="","",IFERROR(INDEX(tblReg[FirstName],MATCH(A28,tblReg[Bib],0)),""))</f>
        <v>Ruby</v>
      </c>
      <c r="D28" t="str">
        <f>IF(A28="","",IFERROR(INDEX(tblReg[LastName],MATCH(A28,tblReg[Bib],0)),""))</f>
        <v>Moore</v>
      </c>
      <c r="E28" t="str">
        <f>IF(A28="","",IFERROR(INDEX(tblReg[Team],MATCH(A28,tblReg[Bib],0)),""))</f>
        <v>Northwind Velo</v>
      </c>
      <c r="F28" s="5">
        <f>IF(A28="","",IFERROR(INDEX(tblStage1[NetTime],MATCH(A28,tblStage1[Bib],0)),""))</f>
        <v>7.211805555555556E-2</v>
      </c>
      <c r="G28" s="5">
        <f>IF(A28="","",IFERROR(INDEX(tblStage2[NetTime],MATCH(A28,tblStage2[Bib],0)),""))</f>
        <v>7.346064814814815E-2</v>
      </c>
      <c r="H28" s="5">
        <f>IF(A28="","",IFERROR(INDEX(tblStage3[NetTime],MATCH(A28,tblStage3[Bib],0)),""))</f>
        <v>7.8657407407407412E-2</v>
      </c>
      <c r="I28">
        <f>IF(COUNTA(F28:H28)=3,SUM(F28:H28)*86400,"")</f>
        <v>19374.000000000004</v>
      </c>
      <c r="J28" s="7">
        <f>IF(A28="","",IF(SUM(IFERROR(INDEX(tblStage1[BonusSeconds],MATCH(A28,tblStage1[Bib],0)),0),IFERROR(INDEX(tblStage2[BonusSeconds],MATCH(A28,tblStage2[Bib],0)),0),IFERROR(INDEX(tblStage3[BonusSeconds],MATCH(A28,tblStage3[Bib],0)),0))=0,"",SUM(IFERROR(INDEX(tblStage1[BonusSeconds],MATCH(A28,tblStage1[Bib],0)),0),IFERROR(INDEX(tblStage2[BonusSeconds],MATCH(A28,tblStage2[Bib],0)),0),IFERROR(INDEX(tblStage3[BonusSeconds],MATCH(A28,tblStage3[Bib],0)),0))/86400))</f>
        <v>6.9444444444444444E-5</v>
      </c>
      <c r="K28" s="5">
        <f>IF(I28="","",I28/86400)</f>
        <v>0.22423611111111116</v>
      </c>
      <c r="L28" t="s">
        <v>128</v>
      </c>
      <c r="M28">
        <f>IF(A28="","",IF(L28="Active",1+COUNTIFS($B$2:$B$201,B28,$L$2:$L$201,"Active",$I$2:$I$201,"&lt;"&amp;I28),IF(L28="Pending",COUNTIFS($B$2:$B$201,B28,$L$2:$L$201,"Active")+COUNTIFS($B$2:$B$201,B28,$L$2:$L$201,"Pending",$A$2:$A$201,"&lt;"&amp;A28)+1,"")))</f>
        <v>7</v>
      </c>
    </row>
    <row r="29" spans="1:13" x14ac:dyDescent="0.25">
      <c r="A29">
        <v>107</v>
      </c>
      <c r="B29" t="str">
        <f>IF(A29="","",IFERROR(INDEX(tblReg[Field],MATCH(A29,tblReg[Bib],0)),""))</f>
        <v>Men 50+</v>
      </c>
      <c r="C29" t="str">
        <f>IF(A29="","",IFERROR(INDEX(tblReg[FirstName],MATCH(A29,tblReg[Bib],0)),""))</f>
        <v>Jude</v>
      </c>
      <c r="D29" t="str">
        <f>IF(A29="","",IFERROR(INDEX(tblReg[LastName],MATCH(A29,tblReg[Bib],0)),""))</f>
        <v>Clark</v>
      </c>
      <c r="E29" t="str">
        <f>IF(A29="","",IFERROR(INDEX(tblReg[Team],MATCH(A29,tblReg[Bib],0)),""))</f>
        <v>Northwind Velo</v>
      </c>
      <c r="F29" s="5">
        <f>IF(A29="","",IFERROR(INDEX(tblStage1[NetTime],MATCH(A29,tblStage1[Bib],0)),""))</f>
        <v>7.3761574074074077E-2</v>
      </c>
      <c r="G29" s="5">
        <f>IF(A29="","",IFERROR(INDEX(tblStage2[NetTime],MATCH(A29,tblStage2[Bib],0)),""))</f>
        <v>7.1134259259259258E-2</v>
      </c>
      <c r="H29" s="5">
        <f>IF(A29="","",IFERROR(INDEX(tblStage3[NetTime],MATCH(A29,tblStage3[Bib],0)),""))</f>
        <v>7.9340277777777773E-2</v>
      </c>
      <c r="I29">
        <f>IF(COUNTA(F29:H29)=3,SUM(F29:H29)*86400,"")</f>
        <v>19374</v>
      </c>
      <c r="J29" s="7">
        <f>IF(A29="","",IF(SUM(IFERROR(INDEX(tblStage1[BonusSeconds],MATCH(A29,tblStage1[Bib],0)),0),IFERROR(INDEX(tblStage2[BonusSeconds],MATCH(A29,tblStage2[Bib],0)),0),IFERROR(INDEX(tblStage3[BonusSeconds],MATCH(A29,tblStage3[Bib],0)),0))=0,"",SUM(IFERROR(INDEX(tblStage1[BonusSeconds],MATCH(A29,tblStage1[Bib],0)),0),IFERROR(INDEX(tblStage2[BonusSeconds],MATCH(A29,tblStage2[Bib],0)),0),IFERROR(INDEX(tblStage3[BonusSeconds],MATCH(A29,tblStage3[Bib],0)),0))/86400))</f>
        <v>4.6296296296296294E-5</v>
      </c>
      <c r="K29" s="5">
        <f>IF(I29="","",I29/86400)</f>
        <v>0.22423611111111111</v>
      </c>
      <c r="L29" t="s">
        <v>128</v>
      </c>
      <c r="M29">
        <f>IF(A29="","",IF(L29="Active",1+COUNTIFS($B$2:$B$201,B29,$L$2:$L$201,"Active",$I$2:$I$201,"&lt;"&amp;I29),IF(L29="Pending",COUNTIFS($B$2:$B$201,B29,$L$2:$L$201,"Active")+COUNTIFS($B$2:$B$201,B29,$L$2:$L$201,"Pending",$A$2:$A$201,"&lt;"&amp;A29)+1,"")))</f>
        <v>7</v>
      </c>
    </row>
    <row r="30" spans="1:13" x14ac:dyDescent="0.25">
      <c r="A30">
        <v>102</v>
      </c>
      <c r="B30" t="str">
        <f>IF(A30="","",IFERROR(INDEX(tblReg[Field],MATCH(A30,tblReg[Bib],0)),""))</f>
        <v>Men 50+</v>
      </c>
      <c r="C30" t="str">
        <f>IF(A30="","",IFERROR(INDEX(tblReg[FirstName],MATCH(A30,tblReg[Bib],0)),""))</f>
        <v>Ivy</v>
      </c>
      <c r="D30" t="str">
        <f>IF(A30="","",IFERROR(INDEX(tblReg[LastName],MATCH(A30,tblReg[Bib],0)),""))</f>
        <v>Johnson</v>
      </c>
      <c r="E30" t="str">
        <f>IF(A30="","",IFERROR(INDEX(tblReg[Team],MATCH(A30,tblReg[Bib],0)),""))</f>
        <v>City Sprint</v>
      </c>
      <c r="F30" s="5">
        <f>IF(A30="","",IFERROR(INDEX(tblStage1[NetTime],MATCH(A30,tblStage1[Bib],0)),""))</f>
        <v>7.6481481481481484E-2</v>
      </c>
      <c r="G30" s="5">
        <f>IF(A30="","",IFERROR(INDEX(tblStage2[NetTime],MATCH(A30,tblStage2[Bib],0)),""))</f>
        <v>8.0254629629629634E-2</v>
      </c>
      <c r="H30" s="5">
        <f>IF(A30="","",IFERROR(INDEX(tblStage3[NetTime],MATCH(A30,tblStage3[Bib],0)),""))</f>
        <v>8.099537037037037E-2</v>
      </c>
      <c r="I30">
        <f>IF(COUNTA(F30:H30)=3,SUM(F30:H30)*86400,"")</f>
        <v>20540</v>
      </c>
      <c r="J30" s="7" t="str">
        <f>IF(A30="","",IF(SUM(IFERROR(INDEX(tblStage1[BonusSeconds],MATCH(A30,tblStage1[Bib],0)),0),IFERROR(INDEX(tblStage2[BonusSeconds],MATCH(A30,tblStage2[Bib],0)),0),IFERROR(INDEX(tblStage3[BonusSeconds],MATCH(A30,tblStage3[Bib],0)),0))=0,"",SUM(IFERROR(INDEX(tblStage1[BonusSeconds],MATCH(A30,tblStage1[Bib],0)),0),IFERROR(INDEX(tblStage2[BonusSeconds],MATCH(A30,tblStage2[Bib],0)),0),IFERROR(INDEX(tblStage3[BonusSeconds],MATCH(A30,tblStage3[Bib],0)),0))/86400))</f>
        <v/>
      </c>
      <c r="K30" s="5">
        <f>IF(I30="","",I30/86400)</f>
        <v>0.23773148148148149</v>
      </c>
      <c r="L30" t="s">
        <v>128</v>
      </c>
      <c r="M30">
        <f>IF(A30="","",IF(L30="Active",1+COUNTIFS($B$2:$B$201,B30,$L$2:$L$201,"Active",$I$2:$I$201,"&lt;"&amp;I30),IF(L30="Pending",COUNTIFS($B$2:$B$201,B30,$L$2:$L$201,"Active")+COUNTIFS($B$2:$B$201,B30,$L$2:$L$201,"Pending",$A$2:$A$201,"&lt;"&amp;A30)+1,"")))</f>
        <v>9</v>
      </c>
    </row>
    <row r="31" spans="1:13" x14ac:dyDescent="0.25">
      <c r="A31">
        <v>108</v>
      </c>
      <c r="B31" t="str">
        <f>IF(A31="","",IFERROR(INDEX(tblReg[Field],MATCH(A31,tblReg[Bib],0)),""))</f>
        <v>Men 50+</v>
      </c>
      <c r="C31" t="str">
        <f>IF(A31="","",IFERROR(INDEX(tblReg[FirstName],MATCH(A31,tblReg[Bib],0)),""))</f>
        <v>Ruby</v>
      </c>
      <c r="D31" t="str">
        <f>IF(A31="","",IFERROR(INDEX(tblReg[LastName],MATCH(A31,tblReg[Bib],0)),""))</f>
        <v>Anderson</v>
      </c>
      <c r="E31" t="str">
        <f>IF(A31="","",IFERROR(INDEX(tblReg[Team],MATCH(A31,tblReg[Bib],0)),""))</f>
        <v>Rapid Chain</v>
      </c>
      <c r="F31" s="5">
        <f>IF(A31="","",IFERROR(INDEX(tblStage1[NetTime],MATCH(A31,tblStage1[Bib],0)),""))</f>
        <v>7.3310185185185187E-2</v>
      </c>
      <c r="G31" s="5" t="str">
        <f>IF(A31="","",IFERROR(INDEX(tblStage2[NetTime],MATCH(A31,tblStage2[Bib],0)),""))</f>
        <v/>
      </c>
      <c r="H31" s="5">
        <f>IF(A31="","",IFERROR(INDEX(tblStage3[NetTime],MATCH(A31,tblStage3[Bib],0)),""))</f>
        <v>7.1898148148148142E-2</v>
      </c>
      <c r="I31">
        <f>IF(COUNTA(F31:H31)=3,SUM(F31:H31)*86400,"")</f>
        <v>12546</v>
      </c>
      <c r="J31" s="7" t="str">
        <f>IF(A31="","",IF(SUM(IFERROR(INDEX(tblStage1[BonusSeconds],MATCH(A31,tblStage1[Bib],0)),0),IFERROR(INDEX(tblStage2[BonusSeconds],MATCH(A31,tblStage2[Bib],0)),0),IFERROR(INDEX(tblStage3[BonusSeconds],MATCH(A31,tblStage3[Bib],0)),0))=0,"",SUM(IFERROR(INDEX(tblStage1[BonusSeconds],MATCH(A31,tblStage1[Bib],0)),0),IFERROR(INDEX(tblStage2[BonusSeconds],MATCH(A31,tblStage2[Bib],0)),0),IFERROR(INDEX(tblStage3[BonusSeconds],MATCH(A31,tblStage3[Bib],0)),0))/86400))</f>
        <v/>
      </c>
      <c r="K31" s="5">
        <f>IF(I31="","",I31/86400)</f>
        <v>0.14520833333333333</v>
      </c>
      <c r="L31" t="s">
        <v>114</v>
      </c>
      <c r="M31" t="str">
        <f>IF(A31="","",IF(L31="Active",1+COUNTIFS($B$2:$B$201,B31,$L$2:$L$201,"Active",$I$2:$I$201,"&lt;"&amp;I31),IF(L31="Pending",COUNTIFS($B$2:$B$201,B31,$L$2:$L$201,"Active")+COUNTIFS($B$2:$B$201,B31,$L$2:$L$201,"Pending",$A$2:$A$201,"&lt;"&amp;A31)+1,"")))</f>
        <v/>
      </c>
    </row>
    <row r="32" spans="1:13" x14ac:dyDescent="0.25">
      <c r="A32">
        <v>160</v>
      </c>
      <c r="B32" t="str">
        <f>IF(A32="","",IFERROR(INDEX(tblReg[Field],MATCH(A32,tblReg[Bib],0)),""))</f>
        <v>Women</v>
      </c>
      <c r="C32" t="str">
        <f>IF(A32="","",IFERROR(INDEX(tblReg[FirstName],MATCH(A32,tblReg[Bib],0)),""))</f>
        <v>Noah</v>
      </c>
      <c r="D32" t="str">
        <f>IF(A32="","",IFERROR(INDEX(tblReg[LastName],MATCH(A32,tblReg[Bib],0)),""))</f>
        <v>Davis</v>
      </c>
      <c r="E32" t="str">
        <f>IF(A32="","",IFERROR(INDEX(tblReg[Team],MATCH(A32,tblReg[Bib],0)),""))</f>
        <v>Rapid Chain</v>
      </c>
      <c r="F32" s="5">
        <f>IF(A32="","",IFERROR(INDEX(tblStage1[NetTime],MATCH(A32,tblStage1[Bib],0)),""))</f>
        <v>7.239583333333334E-2</v>
      </c>
      <c r="G32" s="5">
        <f>IF(A32="","",IFERROR(INDEX(tblStage2[NetTime],MATCH(A32,tblStage2[Bib],0)),""))</f>
        <v>6.9849537037037043E-2</v>
      </c>
      <c r="H32" s="5">
        <f>IF(A32="","",IFERROR(INDEX(tblStage3[NetTime],MATCH(A32,tblStage3[Bib],0)),""))</f>
        <v>7.0821759259259265E-2</v>
      </c>
      <c r="I32">
        <f>IF(COUNTA(F32:H32)=3,SUM(F32:H32)*86400,"")</f>
        <v>18409</v>
      </c>
      <c r="J32" s="7">
        <f>IF(A32="","",IF(SUM(IFERROR(INDEX(tblStage1[BonusSeconds],MATCH(A32,tblStage1[Bib],0)),0),IFERROR(INDEX(tblStage2[BonusSeconds],MATCH(A32,tblStage2[Bib],0)),0),IFERROR(INDEX(tblStage3[BonusSeconds],MATCH(A32,tblStage3[Bib],0)),0))=0,"",SUM(IFERROR(INDEX(tblStage1[BonusSeconds],MATCH(A32,tblStage1[Bib],0)),0),IFERROR(INDEX(tblStage2[BonusSeconds],MATCH(A32,tblStage2[Bib],0)),0),IFERROR(INDEX(tblStage3[BonusSeconds],MATCH(A32,tblStage3[Bib],0)),0))/86400))</f>
        <v>6.9444444444444444E-5</v>
      </c>
      <c r="K32" s="5">
        <f>IF(I32="","",I32/86400)</f>
        <v>0.21306712962962962</v>
      </c>
      <c r="L32" t="s">
        <v>128</v>
      </c>
      <c r="M32">
        <f>IF(A32="","",IF(L32="Active",1+COUNTIFS($B$2:$B$201,B32,$L$2:$L$201,"Active",$I$2:$I$201,"&lt;"&amp;I32),IF(L32="Pending",COUNTIFS($B$2:$B$201,B32,$L$2:$L$201,"Active")+COUNTIFS($B$2:$B$201,B32,$L$2:$L$201,"Pending",$A$2:$A$201,"&lt;"&amp;A32)+1,"")))</f>
        <v>1</v>
      </c>
    </row>
    <row r="33" spans="1:13" x14ac:dyDescent="0.25">
      <c r="A33">
        <v>155</v>
      </c>
      <c r="B33" t="str">
        <f>IF(A33="","",IFERROR(INDEX(tblReg[Field],MATCH(A33,tblReg[Bib],0)),""))</f>
        <v>Women</v>
      </c>
      <c r="C33" t="str">
        <f>IF(A33="","",IFERROR(INDEX(tblReg[FirstName],MATCH(A33,tblReg[Bib],0)),""))</f>
        <v>Jude</v>
      </c>
      <c r="D33" t="str">
        <f>IF(A33="","",IFERROR(INDEX(tblReg[LastName],MATCH(A33,tblReg[Bib],0)),""))</f>
        <v>Martinez</v>
      </c>
      <c r="E33" t="str">
        <f>IF(A33="","",IFERROR(INDEX(tblReg[Team],MATCH(A33,tblReg[Bib],0)),""))</f>
        <v>Rapid Chain</v>
      </c>
      <c r="F33" s="5">
        <f>IF(A33="","",IFERROR(INDEX(tblStage1[NetTime],MATCH(A33,tblStage1[Bib],0)),""))</f>
        <v>7.2013888888888891E-2</v>
      </c>
      <c r="G33" s="5">
        <f>IF(A33="","",IFERROR(INDEX(tblStage2[NetTime],MATCH(A33,tblStage2[Bib],0)),""))</f>
        <v>6.9363425925925926E-2</v>
      </c>
      <c r="H33" s="5">
        <f>IF(A33="","",IFERROR(INDEX(tblStage3[NetTime],MATCH(A33,tblStage3[Bib],0)),""))</f>
        <v>7.5046296296296292E-2</v>
      </c>
      <c r="I33">
        <f>IF(COUNTA(F33:H33)=3,SUM(F33:H33)*86400,"")</f>
        <v>18698.999999999996</v>
      </c>
      <c r="J33" s="7">
        <f>IF(A33="","",IF(SUM(IFERROR(INDEX(tblStage1[BonusSeconds],MATCH(A33,tblStage1[Bib],0)),0),IFERROR(INDEX(tblStage2[BonusSeconds],MATCH(A33,tblStage2[Bib],0)),0),IFERROR(INDEX(tblStage3[BonusSeconds],MATCH(A33,tblStage3[Bib],0)),0))=0,"",SUM(IFERROR(INDEX(tblStage1[BonusSeconds],MATCH(A33,tblStage1[Bib],0)),0),IFERROR(INDEX(tblStage2[BonusSeconds],MATCH(A33,tblStage2[Bib],0)),0),IFERROR(INDEX(tblStage3[BonusSeconds],MATCH(A33,tblStage3[Bib],0)),0))/86400))</f>
        <v>1.1574074074074075E-4</v>
      </c>
      <c r="K33" s="5">
        <f>IF(I33="","",I33/86400)</f>
        <v>0.21642361111111108</v>
      </c>
      <c r="L33" t="s">
        <v>128</v>
      </c>
      <c r="M33">
        <f>IF(A33="","",IF(L33="Active",1+COUNTIFS($B$2:$B$201,B33,$L$2:$L$201,"Active",$I$2:$I$201,"&lt;"&amp;I33),IF(L33="Pending",COUNTIFS($B$2:$B$201,B33,$L$2:$L$201,"Active")+COUNTIFS($B$2:$B$201,B33,$L$2:$L$201,"Pending",$A$2:$A$201,"&lt;"&amp;A33)+1,"")))</f>
        <v>2</v>
      </c>
    </row>
    <row r="34" spans="1:13" x14ac:dyDescent="0.25">
      <c r="A34">
        <v>154</v>
      </c>
      <c r="B34" t="str">
        <f>IF(A34="","",IFERROR(INDEX(tblReg[Field],MATCH(A34,tblReg[Bib],0)),""))</f>
        <v>Women</v>
      </c>
      <c r="C34" t="str">
        <f>IF(A34="","",IFERROR(INDEX(tblReg[FirstName],MATCH(A34,tblReg[Bib],0)),""))</f>
        <v>Aria</v>
      </c>
      <c r="D34" t="str">
        <f>IF(A34="","",IFERROR(INDEX(tblReg[LastName],MATCH(A34,tblReg[Bib],0)),""))</f>
        <v>Lopez</v>
      </c>
      <c r="E34" t="str">
        <f>IF(A34="","",IFERROR(INDEX(tblReg[Team],MATCH(A34,tblReg[Bib],0)),""))</f>
        <v>Rapid Chain</v>
      </c>
      <c r="F34" s="5">
        <f>IF(A34="","",IFERROR(INDEX(tblStage1[NetTime],MATCH(A34,tblStage1[Bib],0)),""))</f>
        <v>6.7141203703703703E-2</v>
      </c>
      <c r="G34" s="5">
        <f>IF(A34="","",IFERROR(INDEX(tblStage2[NetTime],MATCH(A34,tblStage2[Bib],0)),""))</f>
        <v>7.0208333333333331E-2</v>
      </c>
      <c r="H34" s="5">
        <f>IF(A34="","",IFERROR(INDEX(tblStage3[NetTime],MATCH(A34,tblStage3[Bib],0)),""))</f>
        <v>7.918981481481481E-2</v>
      </c>
      <c r="I34">
        <f>IF(COUNTA(F34:H34)=3,SUM(F34:H34)*86400,"")</f>
        <v>18709</v>
      </c>
      <c r="J34" s="7">
        <f>IF(A34="","",IF(SUM(IFERROR(INDEX(tblStage1[BonusSeconds],MATCH(A34,tblStage1[Bib],0)),0),IFERROR(INDEX(tblStage2[BonusSeconds],MATCH(A34,tblStage2[Bib],0)),0),IFERROR(INDEX(tblStage3[BonusSeconds],MATCH(A34,tblStage3[Bib],0)),0))=0,"",SUM(IFERROR(INDEX(tblStage1[BonusSeconds],MATCH(A34,tblStage1[Bib],0)),0),IFERROR(INDEX(tblStage2[BonusSeconds],MATCH(A34,tblStage2[Bib],0)),0),IFERROR(INDEX(tblStage3[BonusSeconds],MATCH(A34,tblStage3[Bib],0)),0))/86400))</f>
        <v>1.6203703703703703E-4</v>
      </c>
      <c r="K34" s="5">
        <f>IF(I34="","",I34/86400)</f>
        <v>0.21653935185185186</v>
      </c>
      <c r="L34" t="s">
        <v>128</v>
      </c>
      <c r="M34">
        <f>IF(A34="","",IF(L34="Active",1+COUNTIFS($B$2:$B$201,B34,$L$2:$L$201,"Active",$I$2:$I$201,"&lt;"&amp;I34),IF(L34="Pending",COUNTIFS($B$2:$B$201,B34,$L$2:$L$201,"Active")+COUNTIFS($B$2:$B$201,B34,$L$2:$L$201,"Pending",$A$2:$A$201,"&lt;"&amp;A34)+1,"")))</f>
        <v>3</v>
      </c>
    </row>
    <row r="35" spans="1:13" x14ac:dyDescent="0.25">
      <c r="A35">
        <v>159</v>
      </c>
      <c r="B35" t="str">
        <f>IF(A35="","",IFERROR(INDEX(tblReg[Field],MATCH(A35,tblReg[Bib],0)),""))</f>
        <v>Women</v>
      </c>
      <c r="C35" t="str">
        <f>IF(A35="","",IFERROR(INDEX(tblReg[FirstName],MATCH(A35,tblReg[Bib],0)),""))</f>
        <v>Emma</v>
      </c>
      <c r="D35" t="str">
        <f>IF(A35="","",IFERROR(INDEX(tblReg[LastName],MATCH(A35,tblReg[Bib],0)),""))</f>
        <v>Brown</v>
      </c>
      <c r="E35" t="str">
        <f>IF(A35="","",IFERROR(INDEX(tblReg[Team],MATCH(A35,tblReg[Bib],0)),""))</f>
        <v>Rapid Chain</v>
      </c>
      <c r="F35" s="5">
        <f>IF(A35="","",IFERROR(INDEX(tblStage1[NetTime],MATCH(A35,tblStage1[Bib],0)),""))</f>
        <v>7.5902777777777777E-2</v>
      </c>
      <c r="G35" s="5">
        <f>IF(A35="","",IFERROR(INDEX(tblStage2[NetTime],MATCH(A35,tblStage2[Bib],0)),""))</f>
        <v>7.4259259259259261E-2</v>
      </c>
      <c r="H35" s="5">
        <f>IF(A35="","",IFERROR(INDEX(tblStage3[NetTime],MATCH(A35,tblStage3[Bib],0)),""))</f>
        <v>6.9930555555555551E-2</v>
      </c>
      <c r="I35">
        <f>IF(COUNTA(F35:H35)=3,SUM(F35:H35)*86400,"")</f>
        <v>19016</v>
      </c>
      <c r="J35" s="7" t="str">
        <f>IF(A35="","",IF(SUM(IFERROR(INDEX(tblStage1[BonusSeconds],MATCH(A35,tblStage1[Bib],0)),0),IFERROR(INDEX(tblStage2[BonusSeconds],MATCH(A35,tblStage2[Bib],0)),0),IFERROR(INDEX(tblStage3[BonusSeconds],MATCH(A35,tblStage3[Bib],0)),0))=0,"",SUM(IFERROR(INDEX(tblStage1[BonusSeconds],MATCH(A35,tblStage1[Bib],0)),0),IFERROR(INDEX(tblStage2[BonusSeconds],MATCH(A35,tblStage2[Bib],0)),0),IFERROR(INDEX(tblStage3[BonusSeconds],MATCH(A35,tblStage3[Bib],0)),0))/86400))</f>
        <v/>
      </c>
      <c r="K35" s="5">
        <f>IF(I35="","",I35/86400)</f>
        <v>0.22009259259259259</v>
      </c>
      <c r="L35" t="s">
        <v>128</v>
      </c>
      <c r="M35">
        <f>IF(A35="","",IF(L35="Active",1+COUNTIFS($B$2:$B$201,B35,$L$2:$L$201,"Active",$I$2:$I$201,"&lt;"&amp;I35),IF(L35="Pending",COUNTIFS($B$2:$B$201,B35,$L$2:$L$201,"Active")+COUNTIFS($B$2:$B$201,B35,$L$2:$L$201,"Pending",$A$2:$A$201,"&lt;"&amp;A35)+1,"")))</f>
        <v>4</v>
      </c>
    </row>
    <row r="36" spans="1:13" x14ac:dyDescent="0.25">
      <c r="A36">
        <v>151</v>
      </c>
      <c r="B36" t="str">
        <f>IF(A36="","",IFERROR(INDEX(tblReg[Field],MATCH(A36,tblReg[Bib],0)),""))</f>
        <v>Women</v>
      </c>
      <c r="C36" t="str">
        <f>IF(A36="","",IFERROR(INDEX(tblReg[FirstName],MATCH(A36,tblReg[Bib],0)),""))</f>
        <v>Ruby</v>
      </c>
      <c r="D36" t="str">
        <f>IF(A36="","",IFERROR(INDEX(tblReg[LastName],MATCH(A36,tblReg[Bib],0)),""))</f>
        <v>Nguyen</v>
      </c>
      <c r="E36" t="str">
        <f>IF(A36="","",IFERROR(INDEX(tblReg[Team],MATCH(A36,tblReg[Bib],0)),""))</f>
        <v>City Sprint</v>
      </c>
      <c r="F36" s="5">
        <f>IF(A36="","",IFERROR(INDEX(tblStage1[NetTime],MATCH(A36,tblStage1[Bib],0)),""))</f>
        <v>7.362268518518518E-2</v>
      </c>
      <c r="G36" s="5">
        <f>IF(A36="","",IFERROR(INDEX(tblStage2[NetTime],MATCH(A36,tblStage2[Bib],0)),""))</f>
        <v>7.2893518518518524E-2</v>
      </c>
      <c r="H36" s="5">
        <f>IF(A36="","",IFERROR(INDEX(tblStage3[NetTime],MATCH(A36,tblStage3[Bib],0)),""))</f>
        <v>7.8287037037037044E-2</v>
      </c>
      <c r="I36">
        <f>IF(COUNTA(F36:H36)=3,SUM(F36:H36)*86400,"")</f>
        <v>19423</v>
      </c>
      <c r="J36" s="7" t="str">
        <f>IF(A36="","",IF(SUM(IFERROR(INDEX(tblStage1[BonusSeconds],MATCH(A36,tblStage1[Bib],0)),0),IFERROR(INDEX(tblStage2[BonusSeconds],MATCH(A36,tblStage2[Bib],0)),0),IFERROR(INDEX(tblStage3[BonusSeconds],MATCH(A36,tblStage3[Bib],0)),0))=0,"",SUM(IFERROR(INDEX(tblStage1[BonusSeconds],MATCH(A36,tblStage1[Bib],0)),0),IFERROR(INDEX(tblStage2[BonusSeconds],MATCH(A36,tblStage2[Bib],0)),0),IFERROR(INDEX(tblStage3[BonusSeconds],MATCH(A36,tblStage3[Bib],0)),0))/86400))</f>
        <v/>
      </c>
      <c r="K36" s="5">
        <f>IF(I36="","",I36/86400)</f>
        <v>0.22480324074074073</v>
      </c>
      <c r="L36" t="s">
        <v>128</v>
      </c>
      <c r="M36">
        <f>IF(A36="","",IF(L36="Active",1+COUNTIFS($B$2:$B$201,B36,$L$2:$L$201,"Active",$I$2:$I$201,"&lt;"&amp;I36),IF(L36="Pending",COUNTIFS($B$2:$B$201,B36,$L$2:$L$201,"Active")+COUNTIFS($B$2:$B$201,B36,$L$2:$L$201,"Pending",$A$2:$A$201,"&lt;"&amp;A36)+1,"")))</f>
        <v>5</v>
      </c>
    </row>
    <row r="37" spans="1:13" x14ac:dyDescent="0.25">
      <c r="A37">
        <v>158</v>
      </c>
      <c r="B37" t="str">
        <f>IF(A37="","",IFERROR(INDEX(tblReg[Field],MATCH(A37,tblReg[Bib],0)),""))</f>
        <v>Women</v>
      </c>
      <c r="C37" t="str">
        <f>IF(A37="","",IFERROR(INDEX(tblReg[FirstName],MATCH(A37,tblReg[Bib],0)),""))</f>
        <v>Mila</v>
      </c>
      <c r="D37" t="str">
        <f>IF(A37="","",IFERROR(INDEX(tblReg[LastName],MATCH(A37,tblReg[Bib],0)),""))</f>
        <v>Kim</v>
      </c>
      <c r="E37" t="str">
        <f>IF(A37="","",IFERROR(INDEX(tblReg[Team],MATCH(A37,tblReg[Bib],0)),""))</f>
        <v>City Sprint</v>
      </c>
      <c r="F37" s="5">
        <f>IF(A37="","",IFERROR(INDEX(tblStage1[NetTime],MATCH(A37,tblStage1[Bib],0)),""))</f>
        <v>7.149305555555556E-2</v>
      </c>
      <c r="G37" s="5">
        <f>IF(A37="","",IFERROR(INDEX(tblStage2[NetTime],MATCH(A37,tblStage2[Bib],0)),""))</f>
        <v>7.5925925925925924E-2</v>
      </c>
      <c r="H37" s="5">
        <f>IF(A37="","",IFERROR(INDEX(tblStage3[NetTime],MATCH(A37,tblStage3[Bib],0)),""))</f>
        <v>7.90162037037037E-2</v>
      </c>
      <c r="I37">
        <f>IF(COUNTA(F37:H37)=3,SUM(F37:H37)*86400,"")</f>
        <v>19564</v>
      </c>
      <c r="J37" s="7">
        <f>IF(A37="","",IF(SUM(IFERROR(INDEX(tblStage1[BonusSeconds],MATCH(A37,tblStage1[Bib],0)),0),IFERROR(INDEX(tblStage2[BonusSeconds],MATCH(A37,tblStage2[Bib],0)),0),IFERROR(INDEX(tblStage3[BonusSeconds],MATCH(A37,tblStage3[Bib],0)),0))=0,"",SUM(IFERROR(INDEX(tblStage1[BonusSeconds],MATCH(A37,tblStage1[Bib],0)),0),IFERROR(INDEX(tblStage2[BonusSeconds],MATCH(A37,tblStage2[Bib],0)),0),IFERROR(INDEX(tblStage3[BonusSeconds],MATCH(A37,tblStage3[Bib],0)),0))/86400))</f>
        <v>4.6296296296296294E-5</v>
      </c>
      <c r="K37" s="5">
        <f>IF(I37="","",I37/86400)</f>
        <v>0.22643518518518518</v>
      </c>
      <c r="L37" t="s">
        <v>128</v>
      </c>
      <c r="M37">
        <f>IF(A37="","",IF(L37="Active",1+COUNTIFS($B$2:$B$201,B37,$L$2:$L$201,"Active",$I$2:$I$201,"&lt;"&amp;I37),IF(L37="Pending",COUNTIFS($B$2:$B$201,B37,$L$2:$L$201,"Active")+COUNTIFS($B$2:$B$201,B37,$L$2:$L$201,"Pending",$A$2:$A$201,"&lt;"&amp;A37)+1,"")))</f>
        <v>6</v>
      </c>
    </row>
    <row r="38" spans="1:13" x14ac:dyDescent="0.25">
      <c r="A38">
        <v>152</v>
      </c>
      <c r="B38" t="str">
        <f>IF(A38="","",IFERROR(INDEX(tblReg[Field],MATCH(A38,tblReg[Bib],0)),""))</f>
        <v>Women</v>
      </c>
      <c r="C38" t="str">
        <f>IF(A38="","",IFERROR(INDEX(tblReg[FirstName],MATCH(A38,tblReg[Bib],0)),""))</f>
        <v>Ivy</v>
      </c>
      <c r="D38" t="str">
        <f>IF(A38="","",IFERROR(INDEX(tblReg[LastName],MATCH(A38,tblReg[Bib],0)),""))</f>
        <v>Lewis</v>
      </c>
      <c r="E38" t="str">
        <f>IF(A38="","",IFERROR(INDEX(tblReg[Team],MATCH(A38,tblReg[Bib],0)),""))</f>
        <v>Summit Wheels</v>
      </c>
      <c r="F38" s="5">
        <f>IF(A38="","",IFERROR(INDEX(tblStage1[NetTime],MATCH(A38,tblStage1[Bib],0)),""))</f>
        <v>6.9467592592592595E-2</v>
      </c>
      <c r="G38" s="5" t="str">
        <f>IF(A38="","",IFERROR(INDEX(tblStage2[NetTime],MATCH(A38,tblStage2[Bib],0)),""))</f>
        <v/>
      </c>
      <c r="H38" s="5">
        <f>IF(A38="","",IFERROR(INDEX(tblStage3[NetTime],MATCH(A38,tblStage3[Bib],0)),""))</f>
        <v>7.526620370370371E-2</v>
      </c>
      <c r="I38">
        <f>IF(COUNTA(F38:H38)=3,SUM(F38:H38)*86400,"")</f>
        <v>12505</v>
      </c>
      <c r="J38" s="7">
        <f>IF(A38="","",IF(SUM(IFERROR(INDEX(tblStage1[BonusSeconds],MATCH(A38,tblStage1[Bib],0)),0),IFERROR(INDEX(tblStage2[BonusSeconds],MATCH(A38,tblStage2[Bib],0)),0),IFERROR(INDEX(tblStage3[BonusSeconds],MATCH(A38,tblStage3[Bib],0)),0))=0,"",SUM(IFERROR(INDEX(tblStage1[BonusSeconds],MATCH(A38,tblStage1[Bib],0)),0),IFERROR(INDEX(tblStage2[BonusSeconds],MATCH(A38,tblStage2[Bib],0)),0),IFERROR(INDEX(tblStage3[BonusSeconds],MATCH(A38,tblStage3[Bib],0)),0))/86400))</f>
        <v>6.9444444444444444E-5</v>
      </c>
      <c r="K38" s="5">
        <f>IF(I38="","",I38/86400)</f>
        <v>0.14473379629629629</v>
      </c>
      <c r="L38" t="s">
        <v>114</v>
      </c>
      <c r="M38" t="str">
        <f>IF(A38="","",IF(L38="Active",1+COUNTIFS($B$2:$B$201,B38,$L$2:$L$201,"Active",$I$2:$I$201,"&lt;"&amp;I38),IF(L38="Pending",COUNTIFS($B$2:$B$201,B38,$L$2:$L$201,"Active")+COUNTIFS($B$2:$B$201,B38,$L$2:$L$201,"Pending",$A$2:$A$201,"&lt;"&amp;A38)+1,"")))</f>
        <v/>
      </c>
    </row>
    <row r="39" spans="1:13" x14ac:dyDescent="0.25">
      <c r="A39">
        <v>156</v>
      </c>
      <c r="B39" t="str">
        <f>IF(A39="","",IFERROR(INDEX(tblReg[Field],MATCH(A39,tblReg[Bib],0)),""))</f>
        <v>Women</v>
      </c>
      <c r="C39" t="str">
        <f>IF(A39="","",IFERROR(INDEX(tblReg[FirstName],MATCH(A39,tblReg[Bib],0)),""))</f>
        <v>Ruby</v>
      </c>
      <c r="D39" t="str">
        <f>IF(A39="","",IFERROR(INDEX(tblReg[LastName],MATCH(A39,tblReg[Bib],0)),""))</f>
        <v>Brown</v>
      </c>
      <c r="E39" t="str">
        <f>IF(A39="","",IFERROR(INDEX(tblReg[Team],MATCH(A39,tblReg[Bib],0)),""))</f>
        <v>Rapid Chain</v>
      </c>
      <c r="F39" s="5">
        <f>IF(A39="","",IFERROR(INDEX(tblStage1[NetTime],MATCH(A39,tblStage1[Bib],0)),""))</f>
        <v>7.6238425925925932E-2</v>
      </c>
      <c r="G39" s="5" t="str">
        <f>IF(A39="","",IFERROR(INDEX(tblStage2[NetTime],MATCH(A39,tblStage2[Bib],0)),""))</f>
        <v/>
      </c>
      <c r="H39" s="5">
        <f>IF(A39="","",IFERROR(INDEX(tblStage3[NetTime],MATCH(A39,tblStage3[Bib],0)),""))</f>
        <v>7.5104166666666666E-2</v>
      </c>
      <c r="I39">
        <f>IF(COUNTA(F39:H39)=3,SUM(F39:H39)*86400,"")</f>
        <v>13076</v>
      </c>
      <c r="J39" s="7" t="str">
        <f>IF(A39="","",IF(SUM(IFERROR(INDEX(tblStage1[BonusSeconds],MATCH(A39,tblStage1[Bib],0)),0),IFERROR(INDEX(tblStage2[BonusSeconds],MATCH(A39,tblStage2[Bib],0)),0),IFERROR(INDEX(tblStage3[BonusSeconds],MATCH(A39,tblStage3[Bib],0)),0))=0,"",SUM(IFERROR(INDEX(tblStage1[BonusSeconds],MATCH(A39,tblStage1[Bib],0)),0),IFERROR(INDEX(tblStage2[BonusSeconds],MATCH(A39,tblStage2[Bib],0)),0),IFERROR(INDEX(tblStage3[BonusSeconds],MATCH(A39,tblStage3[Bib],0)),0))/86400))</f>
        <v/>
      </c>
      <c r="K39" s="5">
        <f>IF(I39="","",I39/86400)</f>
        <v>0.15134259259259258</v>
      </c>
      <c r="L39" t="s">
        <v>114</v>
      </c>
      <c r="M39" t="str">
        <f>IF(A39="","",IF(L39="Active",1+COUNTIFS($B$2:$B$201,B39,$L$2:$L$201,"Active",$I$2:$I$201,"&lt;"&amp;I39),IF(L39="Pending",COUNTIFS($B$2:$B$201,B39,$L$2:$L$201,"Active")+COUNTIFS($B$2:$B$201,B39,$L$2:$L$201,"Pending",$A$2:$A$201,"&lt;"&amp;A39)+1,"")))</f>
        <v/>
      </c>
    </row>
    <row r="40" spans="1:13" x14ac:dyDescent="0.25">
      <c r="A40">
        <v>153</v>
      </c>
      <c r="B40" t="str">
        <f>IF(A40="","",IFERROR(INDEX(tblReg[Field],MATCH(A40,tblReg[Bib],0)),""))</f>
        <v>Women</v>
      </c>
      <c r="C40" t="str">
        <f>IF(A40="","",IFERROR(INDEX(tblReg[FirstName],MATCH(A40,tblReg[Bib],0)),""))</f>
        <v>Kai</v>
      </c>
      <c r="D40" t="str">
        <f>IF(A40="","",IFERROR(INDEX(tblReg[LastName],MATCH(A40,tblReg[Bib],0)),""))</f>
        <v>Taylor</v>
      </c>
      <c r="E40" t="str">
        <f>IF(A40="","",IFERROR(INDEX(tblReg[Team],MATCH(A40,tblReg[Bib],0)),""))</f>
        <v>Northwind Velo</v>
      </c>
      <c r="F40" s="5" t="str">
        <f>IF(A40="","",IFERROR(INDEX(tblStage1[NetTime],MATCH(A40,tblStage1[Bib],0)),""))</f>
        <v/>
      </c>
      <c r="G40" s="5" t="str">
        <f>IF(A40="","",IFERROR(INDEX(tblStage2[NetTime],MATCH(A40,tblStage2[Bib],0)),""))</f>
        <v/>
      </c>
      <c r="H40" s="5">
        <f>IF(A40="","",IFERROR(INDEX(tblStage3[NetTime],MATCH(A40,tblStage3[Bib],0)),""))</f>
        <v>7.4467592592592599E-2</v>
      </c>
      <c r="I40">
        <f>IF(COUNTA(F40:H40)=3,SUM(F40:H40)*86400,"")</f>
        <v>6434.0000000000009</v>
      </c>
      <c r="J40" s="7" t="str">
        <f>IF(A40="","",IF(SUM(IFERROR(INDEX(tblStage1[BonusSeconds],MATCH(A40,tblStage1[Bib],0)),0),IFERROR(INDEX(tblStage2[BonusSeconds],MATCH(A40,tblStage2[Bib],0)),0),IFERROR(INDEX(tblStage3[BonusSeconds],MATCH(A40,tblStage3[Bib],0)),0))=0,"",SUM(IFERROR(INDEX(tblStage1[BonusSeconds],MATCH(A40,tblStage1[Bib],0)),0),IFERROR(INDEX(tblStage2[BonusSeconds],MATCH(A40,tblStage2[Bib],0)),0),IFERROR(INDEX(tblStage3[BonusSeconds],MATCH(A40,tblStage3[Bib],0)),0))/86400))</f>
        <v/>
      </c>
      <c r="K40" s="5">
        <f>IF(I40="","",I40/86400)</f>
        <v>7.4467592592592599E-2</v>
      </c>
      <c r="L40" t="s">
        <v>115</v>
      </c>
      <c r="M40" t="str">
        <f>IF(A40="","",IF(L40="Active",1+COUNTIFS($B$2:$B$201,B40,$L$2:$L$201,"Active",$I$2:$I$201,"&lt;"&amp;I40),IF(L40="Pending",COUNTIFS($B$2:$B$201,B40,$L$2:$L$201,"Active")+COUNTIFS($B$2:$B$201,B40,$L$2:$L$201,"Pending",$A$2:$A$201,"&lt;"&amp;A40)+1,"")))</f>
        <v/>
      </c>
    </row>
    <row r="41" spans="1:13" x14ac:dyDescent="0.25">
      <c r="A41">
        <v>157</v>
      </c>
      <c r="B41" t="str">
        <f>IF(A41="","",IFERROR(INDEX(tblReg[Field],MATCH(A41,tblReg[Bib],0)),""))</f>
        <v>Women</v>
      </c>
      <c r="C41" t="str">
        <f>IF(A41="","",IFERROR(INDEX(tblReg[FirstName],MATCH(A41,tblReg[Bib],0)),""))</f>
        <v>Ethan</v>
      </c>
      <c r="D41" t="str">
        <f>IF(A41="","",IFERROR(INDEX(tblReg[LastName],MATCH(A41,tblReg[Bib],0)),""))</f>
        <v>Park</v>
      </c>
      <c r="E41" t="str">
        <f>IF(A41="","",IFERROR(INDEX(tblReg[Team],MATCH(A41,tblReg[Bib],0)),""))</f>
        <v>City Sprint</v>
      </c>
      <c r="F41" s="5">
        <f>IF(A41="","",IFERROR(INDEX(tblStage1[NetTime],MATCH(A41,tblStage1[Bib],0)),""))</f>
        <v>7.5659722222222225E-2</v>
      </c>
      <c r="G41" s="5" t="str">
        <f>IF(A41="","",IFERROR(INDEX(tblStage2[NetTime],MATCH(A41,tblStage2[Bib],0)),""))</f>
        <v/>
      </c>
      <c r="H41" s="5">
        <f>IF(A41="","",IFERROR(INDEX(tblStage3[NetTime],MATCH(A41,tblStage3[Bib],0)),""))</f>
        <v>7.7546296296296294E-2</v>
      </c>
      <c r="I41">
        <f>IF(COUNTA(F41:H41)=3,SUM(F41:H41)*86400,"")</f>
        <v>13236.999999999998</v>
      </c>
      <c r="J41" s="7" t="str">
        <f>IF(A41="","",IF(SUM(IFERROR(INDEX(tblStage1[BonusSeconds],MATCH(A41,tblStage1[Bib],0)),0),IFERROR(INDEX(tblStage2[BonusSeconds],MATCH(A41,tblStage2[Bib],0)),0),IFERROR(INDEX(tblStage3[BonusSeconds],MATCH(A41,tblStage3[Bib],0)),0))=0,"",SUM(IFERROR(INDEX(tblStage1[BonusSeconds],MATCH(A41,tblStage1[Bib],0)),0),IFERROR(INDEX(tblStage2[BonusSeconds],MATCH(A41,tblStage2[Bib],0)),0),IFERROR(INDEX(tblStage3[BonusSeconds],MATCH(A41,tblStage3[Bib],0)),0))/86400))</f>
        <v/>
      </c>
      <c r="K41" s="5">
        <f>IF(I41="","",I41/86400)</f>
        <v>0.15320601851851851</v>
      </c>
      <c r="L41" t="s">
        <v>115</v>
      </c>
      <c r="M41" t="str">
        <f>IF(A41="","",IF(L41="Active",1+COUNTIFS($B$2:$B$201,B41,$L$2:$L$201,"Active",$I$2:$I$201,"&lt;"&amp;I41),IF(L41="Pending",COUNTIFS($B$2:$B$201,B41,$L$2:$L$201,"Active")+COUNTIFS($B$2:$B$201,B41,$L$2:$L$201,"Pending",$A$2:$A$201,"&lt;"&amp;A41)+1,"")))</f>
        <v/>
      </c>
    </row>
    <row r="42" spans="1:13" x14ac:dyDescent="0.25">
      <c r="F42" s="5"/>
      <c r="G42" s="5"/>
      <c r="H42" s="5"/>
      <c r="J42" s="7"/>
      <c r="K42" s="5"/>
    </row>
    <row r="43" spans="1:13" x14ac:dyDescent="0.25">
      <c r="F43" s="5"/>
      <c r="G43" s="5"/>
      <c r="H43" s="5"/>
      <c r="J43" s="7"/>
      <c r="K43" s="5"/>
    </row>
    <row r="44" spans="1:13" x14ac:dyDescent="0.25">
      <c r="F44" s="5"/>
      <c r="G44" s="5"/>
      <c r="H44" s="5"/>
      <c r="J44" s="7"/>
      <c r="K44" s="5"/>
    </row>
    <row r="45" spans="1:13" x14ac:dyDescent="0.25">
      <c r="F45" s="5"/>
      <c r="G45" s="5"/>
      <c r="H45" s="5"/>
      <c r="J45" s="7"/>
      <c r="K45" s="5"/>
    </row>
    <row r="46" spans="1:13" x14ac:dyDescent="0.25">
      <c r="F46" s="5"/>
      <c r="G46" s="5"/>
      <c r="H46" s="5"/>
      <c r="J46" s="7"/>
      <c r="K46" s="5"/>
    </row>
    <row r="47" spans="1:13" x14ac:dyDescent="0.25">
      <c r="F47" s="5"/>
      <c r="G47" s="5"/>
      <c r="H47" s="5"/>
      <c r="J47" s="7"/>
      <c r="K47" s="5"/>
    </row>
    <row r="48" spans="1:13" x14ac:dyDescent="0.25">
      <c r="F48" s="5"/>
      <c r="G48" s="5"/>
      <c r="H48" s="5"/>
      <c r="J48" s="7"/>
      <c r="K48" s="5"/>
    </row>
    <row r="49" spans="6:11" x14ac:dyDescent="0.25">
      <c r="F49" s="5"/>
      <c r="G49" s="5"/>
      <c r="H49" s="5"/>
      <c r="J49" s="7"/>
      <c r="K49" s="5"/>
    </row>
    <row r="50" spans="6:11" x14ac:dyDescent="0.25">
      <c r="F50" s="5"/>
      <c r="G50" s="5"/>
      <c r="H50" s="5"/>
      <c r="J50" s="7"/>
      <c r="K50" s="5"/>
    </row>
    <row r="51" spans="6:11" x14ac:dyDescent="0.25">
      <c r="F51" s="5"/>
      <c r="G51" s="5"/>
      <c r="H51" s="5"/>
      <c r="J51" s="7"/>
      <c r="K51" s="5"/>
    </row>
    <row r="52" spans="6:11" x14ac:dyDescent="0.25">
      <c r="F52" s="5"/>
      <c r="G52" s="5"/>
      <c r="H52" s="5"/>
      <c r="J52" s="7"/>
      <c r="K52" s="5"/>
    </row>
    <row r="53" spans="6:11" x14ac:dyDescent="0.25">
      <c r="F53" s="5"/>
      <c r="G53" s="5"/>
      <c r="H53" s="5"/>
      <c r="J53" s="7"/>
      <c r="K53" s="5"/>
    </row>
    <row r="54" spans="6:11" x14ac:dyDescent="0.25">
      <c r="F54" s="5"/>
      <c r="G54" s="5"/>
      <c r="H54" s="5"/>
      <c r="J54" s="7"/>
      <c r="K54" s="5"/>
    </row>
    <row r="55" spans="6:11" x14ac:dyDescent="0.25">
      <c r="F55" s="5"/>
      <c r="G55" s="5"/>
      <c r="H55" s="5"/>
      <c r="J55" s="7"/>
      <c r="K55" s="5"/>
    </row>
    <row r="56" spans="6:11" x14ac:dyDescent="0.25">
      <c r="F56" s="5"/>
      <c r="G56" s="5"/>
      <c r="H56" s="5"/>
      <c r="J56" s="7"/>
      <c r="K56" s="5"/>
    </row>
    <row r="57" spans="6:11" x14ac:dyDescent="0.25">
      <c r="F57" s="5"/>
      <c r="G57" s="5"/>
      <c r="H57" s="5"/>
      <c r="J57" s="7"/>
      <c r="K57" s="5"/>
    </row>
    <row r="58" spans="6:11" x14ac:dyDescent="0.25">
      <c r="F58" s="5"/>
      <c r="G58" s="5"/>
      <c r="H58" s="5"/>
      <c r="J58" s="7"/>
      <c r="K58" s="5"/>
    </row>
    <row r="59" spans="6:11" x14ac:dyDescent="0.25">
      <c r="F59" s="5"/>
      <c r="G59" s="5"/>
      <c r="H59" s="5"/>
      <c r="J59" s="7"/>
      <c r="K59" s="5"/>
    </row>
    <row r="60" spans="6:11" x14ac:dyDescent="0.25">
      <c r="F60" s="5"/>
      <c r="G60" s="5"/>
      <c r="H60" s="5"/>
      <c r="J60" s="7"/>
      <c r="K60" s="5"/>
    </row>
    <row r="61" spans="6:11" x14ac:dyDescent="0.25">
      <c r="F61" s="5"/>
      <c r="G61" s="5"/>
      <c r="H61" s="5"/>
      <c r="J61" s="7"/>
      <c r="K61" s="5"/>
    </row>
    <row r="62" spans="6:11" x14ac:dyDescent="0.25">
      <c r="F62" s="5"/>
      <c r="G62" s="5"/>
      <c r="H62" s="5"/>
      <c r="J62" s="7"/>
      <c r="K62" s="5"/>
    </row>
    <row r="63" spans="6:11" x14ac:dyDescent="0.25">
      <c r="F63" s="5"/>
      <c r="G63" s="5"/>
      <c r="H63" s="5"/>
      <c r="J63" s="7"/>
      <c r="K63" s="5"/>
    </row>
    <row r="64" spans="6:11" x14ac:dyDescent="0.25">
      <c r="F64" s="5"/>
      <c r="G64" s="5"/>
      <c r="H64" s="5"/>
      <c r="J64" s="7"/>
      <c r="K64" s="5"/>
    </row>
    <row r="65" spans="6:11" x14ac:dyDescent="0.25">
      <c r="F65" s="5"/>
      <c r="G65" s="5"/>
      <c r="H65" s="5"/>
      <c r="J65" s="7"/>
      <c r="K65" s="5"/>
    </row>
    <row r="66" spans="6:11" x14ac:dyDescent="0.25">
      <c r="F66" s="5"/>
      <c r="G66" s="5"/>
      <c r="H66" s="5"/>
      <c r="J66" s="7"/>
      <c r="K66" s="5"/>
    </row>
    <row r="67" spans="6:11" x14ac:dyDescent="0.25">
      <c r="F67" s="5"/>
      <c r="G67" s="5"/>
      <c r="H67" s="5"/>
      <c r="J67" s="7"/>
      <c r="K67" s="5"/>
    </row>
    <row r="68" spans="6:11" x14ac:dyDescent="0.25">
      <c r="F68" s="5"/>
      <c r="G68" s="5"/>
      <c r="H68" s="5"/>
      <c r="J68" s="7"/>
      <c r="K68" s="5"/>
    </row>
    <row r="69" spans="6:11" x14ac:dyDescent="0.25">
      <c r="F69" s="5"/>
      <c r="G69" s="5"/>
      <c r="H69" s="5"/>
      <c r="J69" s="7"/>
      <c r="K69" s="5"/>
    </row>
    <row r="70" spans="6:11" x14ac:dyDescent="0.25">
      <c r="F70" s="5"/>
      <c r="G70" s="5"/>
      <c r="H70" s="5"/>
      <c r="J70" s="7"/>
      <c r="K70" s="5"/>
    </row>
    <row r="71" spans="6:11" x14ac:dyDescent="0.25">
      <c r="F71" s="5"/>
      <c r="G71" s="5"/>
      <c r="H71" s="5"/>
      <c r="J71" s="7"/>
      <c r="K71" s="5"/>
    </row>
    <row r="72" spans="6:11" x14ac:dyDescent="0.25">
      <c r="F72" s="5"/>
      <c r="G72" s="5"/>
      <c r="H72" s="5"/>
      <c r="J72" s="7"/>
      <c r="K72" s="5"/>
    </row>
    <row r="73" spans="6:11" x14ac:dyDescent="0.25">
      <c r="F73" s="5"/>
      <c r="G73" s="5"/>
      <c r="H73" s="5"/>
      <c r="J73" s="7"/>
      <c r="K73" s="5"/>
    </row>
    <row r="74" spans="6:11" x14ac:dyDescent="0.25">
      <c r="F74" s="5"/>
      <c r="G74" s="5"/>
      <c r="H74" s="5"/>
      <c r="J74" s="7"/>
      <c r="K74" s="5"/>
    </row>
    <row r="75" spans="6:11" x14ac:dyDescent="0.25">
      <c r="F75" s="5"/>
      <c r="G75" s="5"/>
      <c r="H75" s="5"/>
      <c r="J75" s="7"/>
      <c r="K75" s="5"/>
    </row>
    <row r="76" spans="6:11" x14ac:dyDescent="0.25">
      <c r="F76" s="5"/>
      <c r="G76" s="5"/>
      <c r="H76" s="5"/>
      <c r="J76" s="7"/>
      <c r="K76" s="5"/>
    </row>
    <row r="77" spans="6:11" x14ac:dyDescent="0.25">
      <c r="F77" s="5"/>
      <c r="G77" s="5"/>
      <c r="H77" s="5"/>
      <c r="J77" s="7"/>
      <c r="K77" s="5"/>
    </row>
    <row r="78" spans="6:11" x14ac:dyDescent="0.25">
      <c r="F78" s="5"/>
      <c r="G78" s="5"/>
      <c r="H78" s="5"/>
      <c r="J78" s="7"/>
      <c r="K78" s="5"/>
    </row>
    <row r="79" spans="6:11" x14ac:dyDescent="0.25">
      <c r="F79" s="5"/>
      <c r="G79" s="5"/>
      <c r="H79" s="5"/>
      <c r="J79" s="7"/>
      <c r="K79" s="5"/>
    </row>
    <row r="80" spans="6:11" x14ac:dyDescent="0.25">
      <c r="F80" s="5"/>
      <c r="G80" s="5"/>
      <c r="H80" s="5"/>
      <c r="J80" s="7"/>
      <c r="K80" s="5"/>
    </row>
    <row r="81" spans="6:11" x14ac:dyDescent="0.25">
      <c r="F81" s="5"/>
      <c r="G81" s="5"/>
      <c r="H81" s="5"/>
      <c r="J81" s="7"/>
      <c r="K81" s="5"/>
    </row>
    <row r="82" spans="6:11" x14ac:dyDescent="0.25">
      <c r="F82" s="5"/>
      <c r="G82" s="5"/>
      <c r="H82" s="5"/>
      <c r="J82" s="7"/>
      <c r="K82" s="5"/>
    </row>
    <row r="83" spans="6:11" x14ac:dyDescent="0.25">
      <c r="F83" s="5"/>
      <c r="G83" s="5"/>
      <c r="H83" s="5"/>
      <c r="J83" s="7"/>
      <c r="K83" s="5"/>
    </row>
    <row r="84" spans="6:11" x14ac:dyDescent="0.25">
      <c r="F84" s="5"/>
      <c r="G84" s="5"/>
      <c r="H84" s="5"/>
      <c r="J84" s="7"/>
      <c r="K84" s="5"/>
    </row>
    <row r="85" spans="6:11" x14ac:dyDescent="0.25">
      <c r="F85" s="5"/>
      <c r="G85" s="5"/>
      <c r="H85" s="5"/>
      <c r="J85" s="7"/>
      <c r="K85" s="5"/>
    </row>
    <row r="86" spans="6:11" x14ac:dyDescent="0.25">
      <c r="F86" s="5"/>
      <c r="G86" s="5"/>
      <c r="H86" s="5"/>
      <c r="J86" s="7"/>
      <c r="K86" s="5"/>
    </row>
    <row r="87" spans="6:11" x14ac:dyDescent="0.25">
      <c r="F87" s="5"/>
      <c r="G87" s="5"/>
      <c r="H87" s="5"/>
      <c r="J87" s="7"/>
      <c r="K87" s="5"/>
    </row>
    <row r="88" spans="6:11" x14ac:dyDescent="0.25">
      <c r="F88" s="5"/>
      <c r="G88" s="5"/>
      <c r="H88" s="5"/>
      <c r="J88" s="7"/>
      <c r="K88" s="5"/>
    </row>
    <row r="89" spans="6:11" x14ac:dyDescent="0.25">
      <c r="F89" s="5"/>
      <c r="G89" s="5"/>
      <c r="H89" s="5"/>
      <c r="J89" s="7"/>
      <c r="K89" s="5"/>
    </row>
    <row r="90" spans="6:11" x14ac:dyDescent="0.25">
      <c r="F90" s="5"/>
      <c r="G90" s="5"/>
      <c r="H90" s="5"/>
      <c r="J90" s="7"/>
      <c r="K90" s="5"/>
    </row>
    <row r="91" spans="6:11" x14ac:dyDescent="0.25">
      <c r="F91" s="5"/>
      <c r="G91" s="5"/>
      <c r="H91" s="5"/>
      <c r="J91" s="7"/>
      <c r="K91" s="5"/>
    </row>
    <row r="92" spans="6:11" x14ac:dyDescent="0.25">
      <c r="F92" s="5"/>
      <c r="G92" s="5"/>
      <c r="H92" s="5"/>
      <c r="J92" s="7"/>
      <c r="K92" s="5"/>
    </row>
    <row r="93" spans="6:11" x14ac:dyDescent="0.25">
      <c r="F93" s="5"/>
      <c r="G93" s="5"/>
      <c r="H93" s="5"/>
      <c r="J93" s="7"/>
      <c r="K93" s="5"/>
    </row>
    <row r="94" spans="6:11" x14ac:dyDescent="0.25">
      <c r="F94" s="5"/>
      <c r="G94" s="5"/>
      <c r="H94" s="5"/>
      <c r="J94" s="7"/>
      <c r="K94" s="5"/>
    </row>
    <row r="95" spans="6:11" x14ac:dyDescent="0.25">
      <c r="F95" s="5"/>
      <c r="G95" s="5"/>
      <c r="H95" s="5"/>
      <c r="J95" s="7"/>
      <c r="K95" s="5"/>
    </row>
    <row r="96" spans="6:11" x14ac:dyDescent="0.25">
      <c r="F96" s="5"/>
      <c r="G96" s="5"/>
      <c r="H96" s="5"/>
      <c r="J96" s="7"/>
      <c r="K96" s="5"/>
    </row>
    <row r="97" spans="6:11" x14ac:dyDescent="0.25">
      <c r="F97" s="5"/>
      <c r="G97" s="5"/>
      <c r="H97" s="5"/>
      <c r="J97" s="7"/>
      <c r="K97" s="5"/>
    </row>
    <row r="98" spans="6:11" x14ac:dyDescent="0.25">
      <c r="F98" s="5"/>
      <c r="G98" s="5"/>
      <c r="H98" s="5"/>
      <c r="J98" s="7"/>
      <c r="K98" s="5"/>
    </row>
    <row r="99" spans="6:11" x14ac:dyDescent="0.25">
      <c r="F99" s="5"/>
      <c r="G99" s="5"/>
      <c r="H99" s="5"/>
      <c r="J99" s="7"/>
      <c r="K99" s="5"/>
    </row>
    <row r="100" spans="6:11" x14ac:dyDescent="0.25">
      <c r="F100" s="5"/>
      <c r="G100" s="5"/>
      <c r="H100" s="5"/>
      <c r="J100" s="7"/>
      <c r="K100" s="5"/>
    </row>
    <row r="101" spans="6:11" x14ac:dyDescent="0.25">
      <c r="F101" s="5"/>
      <c r="G101" s="5"/>
      <c r="H101" s="5"/>
      <c r="J101" s="7"/>
      <c r="K101" s="5"/>
    </row>
    <row r="102" spans="6:11" x14ac:dyDescent="0.25">
      <c r="F102" s="5"/>
      <c r="G102" s="5"/>
      <c r="H102" s="5"/>
      <c r="J102" s="7"/>
      <c r="K102" s="5"/>
    </row>
    <row r="103" spans="6:11" x14ac:dyDescent="0.25">
      <c r="F103" s="5"/>
      <c r="G103" s="5"/>
      <c r="H103" s="5"/>
      <c r="J103" s="7"/>
      <c r="K103" s="5"/>
    </row>
    <row r="104" spans="6:11" x14ac:dyDescent="0.25">
      <c r="F104" s="5"/>
      <c r="G104" s="5"/>
      <c r="H104" s="5"/>
      <c r="J104" s="7"/>
      <c r="K104" s="5"/>
    </row>
    <row r="105" spans="6:11" x14ac:dyDescent="0.25">
      <c r="F105" s="5"/>
      <c r="G105" s="5"/>
      <c r="H105" s="5"/>
      <c r="J105" s="7"/>
      <c r="K105" s="5"/>
    </row>
    <row r="106" spans="6:11" x14ac:dyDescent="0.25">
      <c r="F106" s="5"/>
      <c r="G106" s="5"/>
      <c r="H106" s="5"/>
      <c r="J106" s="7"/>
      <c r="K106" s="5"/>
    </row>
    <row r="107" spans="6:11" x14ac:dyDescent="0.25">
      <c r="F107" s="5"/>
      <c r="G107" s="5"/>
      <c r="H107" s="5"/>
      <c r="J107" s="7"/>
      <c r="K107" s="5"/>
    </row>
    <row r="108" spans="6:11" x14ac:dyDescent="0.25">
      <c r="F108" s="5"/>
      <c r="G108" s="5"/>
      <c r="H108" s="5"/>
      <c r="J108" s="7"/>
      <c r="K108" s="5"/>
    </row>
    <row r="109" spans="6:11" x14ac:dyDescent="0.25">
      <c r="F109" s="5"/>
      <c r="G109" s="5"/>
      <c r="H109" s="5"/>
      <c r="J109" s="7"/>
      <c r="K109" s="5"/>
    </row>
    <row r="110" spans="6:11" x14ac:dyDescent="0.25">
      <c r="F110" s="5"/>
      <c r="G110" s="5"/>
      <c r="H110" s="5"/>
      <c r="J110" s="7"/>
      <c r="K110" s="5"/>
    </row>
    <row r="111" spans="6:11" x14ac:dyDescent="0.25">
      <c r="F111" s="5"/>
      <c r="G111" s="5"/>
      <c r="H111" s="5"/>
      <c r="J111" s="7"/>
      <c r="K111" s="5"/>
    </row>
    <row r="112" spans="6:11" x14ac:dyDescent="0.25">
      <c r="F112" s="5"/>
      <c r="G112" s="5"/>
      <c r="H112" s="5"/>
      <c r="J112" s="7"/>
      <c r="K112" s="5"/>
    </row>
    <row r="113" spans="6:11" x14ac:dyDescent="0.25">
      <c r="F113" s="5"/>
      <c r="G113" s="5"/>
      <c r="H113" s="5"/>
      <c r="J113" s="7"/>
      <c r="K113" s="5"/>
    </row>
    <row r="114" spans="6:11" x14ac:dyDescent="0.25">
      <c r="F114" s="5"/>
      <c r="G114" s="5"/>
      <c r="H114" s="5"/>
      <c r="J114" s="7"/>
      <c r="K114" s="5"/>
    </row>
    <row r="115" spans="6:11" x14ac:dyDescent="0.25">
      <c r="F115" s="5"/>
      <c r="G115" s="5"/>
      <c r="H115" s="5"/>
      <c r="J115" s="7"/>
      <c r="K115" s="5"/>
    </row>
    <row r="116" spans="6:11" x14ac:dyDescent="0.25">
      <c r="F116" s="5"/>
      <c r="G116" s="5"/>
      <c r="H116" s="5"/>
      <c r="J116" s="7"/>
      <c r="K116" s="5"/>
    </row>
    <row r="117" spans="6:11" x14ac:dyDescent="0.25">
      <c r="F117" s="5"/>
      <c r="G117" s="5"/>
      <c r="H117" s="5"/>
      <c r="J117" s="7"/>
      <c r="K117" s="5"/>
    </row>
    <row r="118" spans="6:11" x14ac:dyDescent="0.25">
      <c r="F118" s="5"/>
      <c r="G118" s="5"/>
      <c r="H118" s="5"/>
      <c r="J118" s="7"/>
      <c r="K118" s="5"/>
    </row>
    <row r="119" spans="6:11" x14ac:dyDescent="0.25">
      <c r="F119" s="5"/>
      <c r="G119" s="5"/>
      <c r="H119" s="5"/>
      <c r="J119" s="7"/>
      <c r="K119" s="5"/>
    </row>
    <row r="120" spans="6:11" x14ac:dyDescent="0.25">
      <c r="F120" s="5"/>
      <c r="G120" s="5"/>
      <c r="H120" s="5"/>
      <c r="J120" s="7"/>
      <c r="K120" s="5"/>
    </row>
    <row r="121" spans="6:11" x14ac:dyDescent="0.25">
      <c r="F121" s="5"/>
      <c r="G121" s="5"/>
      <c r="H121" s="5"/>
      <c r="J121" s="7"/>
      <c r="K121" s="5"/>
    </row>
    <row r="122" spans="6:11" x14ac:dyDescent="0.25">
      <c r="F122" s="5"/>
      <c r="G122" s="5"/>
      <c r="H122" s="5"/>
      <c r="J122" s="7"/>
      <c r="K122" s="5"/>
    </row>
    <row r="123" spans="6:11" x14ac:dyDescent="0.25">
      <c r="F123" s="5"/>
      <c r="G123" s="5"/>
      <c r="H123" s="5"/>
      <c r="J123" s="7"/>
      <c r="K123" s="5"/>
    </row>
    <row r="124" spans="6:11" x14ac:dyDescent="0.25">
      <c r="F124" s="5"/>
      <c r="G124" s="5"/>
      <c r="H124" s="5"/>
      <c r="J124" s="7"/>
      <c r="K124" s="5"/>
    </row>
    <row r="125" spans="6:11" x14ac:dyDescent="0.25">
      <c r="F125" s="5"/>
      <c r="G125" s="5"/>
      <c r="H125" s="5"/>
      <c r="J125" s="7"/>
      <c r="K125" s="5"/>
    </row>
    <row r="126" spans="6:11" x14ac:dyDescent="0.25">
      <c r="F126" s="5"/>
      <c r="G126" s="5"/>
      <c r="H126" s="5"/>
      <c r="J126" s="7"/>
      <c r="K126" s="5"/>
    </row>
    <row r="127" spans="6:11" x14ac:dyDescent="0.25">
      <c r="F127" s="5"/>
      <c r="G127" s="5"/>
      <c r="H127" s="5"/>
      <c r="J127" s="7"/>
      <c r="K127" s="5"/>
    </row>
    <row r="128" spans="6:11" x14ac:dyDescent="0.25">
      <c r="F128" s="5"/>
      <c r="G128" s="5"/>
      <c r="H128" s="5"/>
      <c r="J128" s="7"/>
      <c r="K128" s="5"/>
    </row>
    <row r="129" spans="6:11" x14ac:dyDescent="0.25">
      <c r="F129" s="5"/>
      <c r="G129" s="5"/>
      <c r="H129" s="5"/>
      <c r="J129" s="7"/>
      <c r="K129" s="5"/>
    </row>
    <row r="130" spans="6:11" x14ac:dyDescent="0.25">
      <c r="F130" s="5"/>
      <c r="G130" s="5"/>
      <c r="H130" s="5"/>
      <c r="J130" s="7"/>
      <c r="K130" s="5"/>
    </row>
    <row r="131" spans="6:11" x14ac:dyDescent="0.25">
      <c r="F131" s="5"/>
      <c r="G131" s="5"/>
      <c r="H131" s="5"/>
      <c r="J131" s="7"/>
      <c r="K131" s="5"/>
    </row>
    <row r="132" spans="6:11" x14ac:dyDescent="0.25">
      <c r="F132" s="5"/>
      <c r="G132" s="5"/>
      <c r="H132" s="5"/>
      <c r="J132" s="7"/>
      <c r="K132" s="5"/>
    </row>
    <row r="133" spans="6:11" x14ac:dyDescent="0.25">
      <c r="F133" s="5"/>
      <c r="G133" s="5"/>
      <c r="H133" s="5"/>
      <c r="J133" s="7"/>
      <c r="K133" s="5"/>
    </row>
    <row r="134" spans="6:11" x14ac:dyDescent="0.25">
      <c r="F134" s="5"/>
      <c r="G134" s="5"/>
      <c r="H134" s="5"/>
      <c r="J134" s="7"/>
      <c r="K134" s="5"/>
    </row>
    <row r="135" spans="6:11" x14ac:dyDescent="0.25">
      <c r="F135" s="5"/>
      <c r="G135" s="5"/>
      <c r="H135" s="5"/>
      <c r="J135" s="7"/>
      <c r="K135" s="5"/>
    </row>
    <row r="136" spans="6:11" x14ac:dyDescent="0.25">
      <c r="F136" s="5"/>
      <c r="G136" s="5"/>
      <c r="H136" s="5"/>
      <c r="J136" s="7"/>
      <c r="K136" s="5"/>
    </row>
    <row r="137" spans="6:11" x14ac:dyDescent="0.25">
      <c r="F137" s="5"/>
      <c r="G137" s="5"/>
      <c r="H137" s="5"/>
      <c r="J137" s="7"/>
      <c r="K137" s="5"/>
    </row>
    <row r="138" spans="6:11" x14ac:dyDescent="0.25">
      <c r="F138" s="5"/>
      <c r="G138" s="5"/>
      <c r="H138" s="5"/>
      <c r="J138" s="7"/>
      <c r="K138" s="5"/>
    </row>
    <row r="139" spans="6:11" x14ac:dyDescent="0.25">
      <c r="F139" s="5"/>
      <c r="G139" s="5"/>
      <c r="H139" s="5"/>
      <c r="J139" s="7"/>
      <c r="K139" s="5"/>
    </row>
    <row r="140" spans="6:11" x14ac:dyDescent="0.25">
      <c r="F140" s="5"/>
      <c r="G140" s="5"/>
      <c r="H140" s="5"/>
      <c r="J140" s="7"/>
      <c r="K140" s="5"/>
    </row>
    <row r="141" spans="6:11" x14ac:dyDescent="0.25">
      <c r="F141" s="5"/>
      <c r="G141" s="5"/>
      <c r="H141" s="5"/>
      <c r="J141" s="7"/>
      <c r="K141" s="5"/>
    </row>
    <row r="142" spans="6:11" x14ac:dyDescent="0.25">
      <c r="F142" s="5"/>
      <c r="G142" s="5"/>
      <c r="H142" s="5"/>
      <c r="J142" s="7"/>
      <c r="K142" s="5"/>
    </row>
    <row r="143" spans="6:11" x14ac:dyDescent="0.25">
      <c r="F143" s="5"/>
      <c r="G143" s="5"/>
      <c r="H143" s="5"/>
      <c r="J143" s="7"/>
      <c r="K143" s="5"/>
    </row>
    <row r="144" spans="6:11" x14ac:dyDescent="0.25">
      <c r="F144" s="5"/>
      <c r="G144" s="5"/>
      <c r="H144" s="5"/>
      <c r="J144" s="7"/>
      <c r="K144" s="5"/>
    </row>
    <row r="145" spans="6:11" x14ac:dyDescent="0.25">
      <c r="F145" s="5"/>
      <c r="G145" s="5"/>
      <c r="H145" s="5"/>
      <c r="J145" s="7"/>
      <c r="K145" s="5"/>
    </row>
    <row r="146" spans="6:11" x14ac:dyDescent="0.25">
      <c r="F146" s="5"/>
      <c r="G146" s="5"/>
      <c r="H146" s="5"/>
      <c r="J146" s="7"/>
      <c r="K146" s="5"/>
    </row>
    <row r="147" spans="6:11" x14ac:dyDescent="0.25">
      <c r="F147" s="5"/>
      <c r="G147" s="5"/>
      <c r="H147" s="5"/>
      <c r="J147" s="7"/>
      <c r="K147" s="5"/>
    </row>
    <row r="148" spans="6:11" x14ac:dyDescent="0.25">
      <c r="F148" s="5"/>
      <c r="G148" s="5"/>
      <c r="H148" s="5"/>
      <c r="J148" s="7"/>
      <c r="K148" s="5"/>
    </row>
    <row r="149" spans="6:11" x14ac:dyDescent="0.25">
      <c r="F149" s="5"/>
      <c r="G149" s="5"/>
      <c r="H149" s="5"/>
      <c r="J149" s="7"/>
      <c r="K149" s="5"/>
    </row>
    <row r="150" spans="6:11" x14ac:dyDescent="0.25">
      <c r="F150" s="5"/>
      <c r="G150" s="5"/>
      <c r="H150" s="5"/>
      <c r="J150" s="7"/>
      <c r="K150" s="5"/>
    </row>
    <row r="151" spans="6:11" x14ac:dyDescent="0.25">
      <c r="F151" s="5"/>
      <c r="G151" s="5"/>
      <c r="H151" s="5"/>
      <c r="J151" s="7"/>
      <c r="K151" s="5"/>
    </row>
    <row r="152" spans="6:11" x14ac:dyDescent="0.25">
      <c r="F152" s="5"/>
      <c r="G152" s="5"/>
      <c r="H152" s="5"/>
      <c r="J152" s="7"/>
      <c r="K152" s="5"/>
    </row>
    <row r="153" spans="6:11" x14ac:dyDescent="0.25">
      <c r="F153" s="5"/>
      <c r="G153" s="5"/>
      <c r="H153" s="5"/>
      <c r="J153" s="7"/>
      <c r="K153" s="5"/>
    </row>
    <row r="154" spans="6:11" x14ac:dyDescent="0.25">
      <c r="F154" s="5"/>
      <c r="G154" s="5"/>
      <c r="H154" s="5"/>
      <c r="J154" s="7"/>
      <c r="K154" s="5"/>
    </row>
    <row r="155" spans="6:11" x14ac:dyDescent="0.25">
      <c r="F155" s="5"/>
      <c r="G155" s="5"/>
      <c r="H155" s="5"/>
      <c r="J155" s="7"/>
      <c r="K155" s="5"/>
    </row>
    <row r="156" spans="6:11" x14ac:dyDescent="0.25">
      <c r="F156" s="5"/>
      <c r="G156" s="5"/>
      <c r="H156" s="5"/>
      <c r="J156" s="7"/>
      <c r="K156" s="5"/>
    </row>
    <row r="157" spans="6:11" x14ac:dyDescent="0.25">
      <c r="F157" s="5"/>
      <c r="G157" s="5"/>
      <c r="H157" s="5"/>
      <c r="J157" s="7"/>
      <c r="K157" s="5"/>
    </row>
    <row r="158" spans="6:11" x14ac:dyDescent="0.25">
      <c r="F158" s="5"/>
      <c r="G158" s="5"/>
      <c r="H158" s="5"/>
      <c r="J158" s="7"/>
      <c r="K158" s="5"/>
    </row>
    <row r="159" spans="6:11" x14ac:dyDescent="0.25">
      <c r="F159" s="5"/>
      <c r="G159" s="5"/>
      <c r="H159" s="5"/>
      <c r="J159" s="7"/>
      <c r="K159" s="5"/>
    </row>
    <row r="160" spans="6:11" x14ac:dyDescent="0.25">
      <c r="F160" s="5"/>
      <c r="G160" s="5"/>
      <c r="H160" s="5"/>
      <c r="J160" s="7"/>
      <c r="K160" s="5"/>
    </row>
    <row r="161" spans="6:11" x14ac:dyDescent="0.25">
      <c r="F161" s="5"/>
      <c r="G161" s="5"/>
      <c r="H161" s="5"/>
      <c r="J161" s="7"/>
      <c r="K161" s="5"/>
    </row>
    <row r="162" spans="6:11" x14ac:dyDescent="0.25">
      <c r="F162" s="5"/>
      <c r="G162" s="5"/>
      <c r="H162" s="5"/>
      <c r="J162" s="7"/>
      <c r="K162" s="5"/>
    </row>
    <row r="163" spans="6:11" x14ac:dyDescent="0.25">
      <c r="F163" s="5"/>
      <c r="G163" s="5"/>
      <c r="H163" s="5"/>
      <c r="J163" s="7"/>
      <c r="K163" s="5"/>
    </row>
    <row r="164" spans="6:11" x14ac:dyDescent="0.25">
      <c r="F164" s="5"/>
      <c r="G164" s="5"/>
      <c r="H164" s="5"/>
      <c r="J164" s="7"/>
      <c r="K164" s="5"/>
    </row>
    <row r="165" spans="6:11" x14ac:dyDescent="0.25">
      <c r="F165" s="5"/>
      <c r="G165" s="5"/>
      <c r="H165" s="5"/>
      <c r="J165" s="7"/>
      <c r="K165" s="5"/>
    </row>
    <row r="166" spans="6:11" x14ac:dyDescent="0.25">
      <c r="F166" s="5"/>
      <c r="G166" s="5"/>
      <c r="H166" s="5"/>
      <c r="J166" s="7"/>
      <c r="K166" s="5"/>
    </row>
    <row r="167" spans="6:11" x14ac:dyDescent="0.25">
      <c r="F167" s="5"/>
      <c r="G167" s="5"/>
      <c r="H167" s="5"/>
      <c r="J167" s="7"/>
      <c r="K167" s="5"/>
    </row>
    <row r="168" spans="6:11" x14ac:dyDescent="0.25">
      <c r="F168" s="5"/>
      <c r="G168" s="5"/>
      <c r="H168" s="5"/>
      <c r="J168" s="7"/>
      <c r="K168" s="5"/>
    </row>
    <row r="169" spans="6:11" x14ac:dyDescent="0.25">
      <c r="F169" s="5"/>
      <c r="G169" s="5"/>
      <c r="H169" s="5"/>
      <c r="J169" s="7"/>
      <c r="K169" s="5"/>
    </row>
    <row r="170" spans="6:11" x14ac:dyDescent="0.25">
      <c r="F170" s="5"/>
      <c r="G170" s="5"/>
      <c r="H170" s="5"/>
      <c r="J170" s="7"/>
      <c r="K170" s="5"/>
    </row>
    <row r="171" spans="6:11" x14ac:dyDescent="0.25">
      <c r="F171" s="5"/>
      <c r="G171" s="5"/>
      <c r="H171" s="5"/>
      <c r="J171" s="7"/>
      <c r="K171" s="5"/>
    </row>
    <row r="172" spans="6:11" x14ac:dyDescent="0.25">
      <c r="F172" s="5"/>
      <c r="G172" s="5"/>
      <c r="H172" s="5"/>
      <c r="J172" s="7"/>
      <c r="K172" s="5"/>
    </row>
    <row r="173" spans="6:11" x14ac:dyDescent="0.25">
      <c r="F173" s="5"/>
      <c r="G173" s="5"/>
      <c r="H173" s="5"/>
      <c r="J173" s="7"/>
      <c r="K173" s="5"/>
    </row>
    <row r="174" spans="6:11" x14ac:dyDescent="0.25">
      <c r="F174" s="5"/>
      <c r="G174" s="5"/>
      <c r="H174" s="5"/>
      <c r="J174" s="7"/>
      <c r="K174" s="5"/>
    </row>
    <row r="175" spans="6:11" x14ac:dyDescent="0.25">
      <c r="F175" s="5"/>
      <c r="G175" s="5"/>
      <c r="H175" s="5"/>
      <c r="J175" s="7"/>
      <c r="K175" s="5"/>
    </row>
    <row r="176" spans="6:11" x14ac:dyDescent="0.25">
      <c r="F176" s="5"/>
      <c r="G176" s="5"/>
      <c r="H176" s="5"/>
      <c r="J176" s="7"/>
      <c r="K176" s="5"/>
    </row>
    <row r="177" spans="6:11" x14ac:dyDescent="0.25">
      <c r="F177" s="5"/>
      <c r="G177" s="5"/>
      <c r="H177" s="5"/>
      <c r="J177" s="7"/>
      <c r="K177" s="5"/>
    </row>
    <row r="178" spans="6:11" x14ac:dyDescent="0.25">
      <c r="F178" s="5"/>
      <c r="G178" s="5"/>
      <c r="H178" s="5"/>
      <c r="J178" s="7"/>
      <c r="K178" s="5"/>
    </row>
    <row r="179" spans="6:11" x14ac:dyDescent="0.25">
      <c r="F179" s="5"/>
      <c r="G179" s="5"/>
      <c r="H179" s="5"/>
      <c r="J179" s="7"/>
      <c r="K179" s="5"/>
    </row>
    <row r="180" spans="6:11" x14ac:dyDescent="0.25">
      <c r="F180" s="5"/>
      <c r="G180" s="5"/>
      <c r="H180" s="5"/>
      <c r="J180" s="7"/>
      <c r="K180" s="5"/>
    </row>
    <row r="181" spans="6:11" x14ac:dyDescent="0.25">
      <c r="F181" s="5"/>
      <c r="G181" s="5"/>
      <c r="H181" s="5"/>
      <c r="J181" s="7"/>
      <c r="K181" s="5"/>
    </row>
    <row r="182" spans="6:11" x14ac:dyDescent="0.25">
      <c r="F182" s="5"/>
      <c r="G182" s="5"/>
      <c r="H182" s="5"/>
      <c r="J182" s="7"/>
      <c r="K182" s="5"/>
    </row>
    <row r="183" spans="6:11" x14ac:dyDescent="0.25">
      <c r="F183" s="5"/>
      <c r="G183" s="5"/>
      <c r="H183" s="5"/>
      <c r="J183" s="7"/>
      <c r="K183" s="5"/>
    </row>
    <row r="184" spans="6:11" x14ac:dyDescent="0.25">
      <c r="F184" s="5"/>
      <c r="G184" s="5"/>
      <c r="H184" s="5"/>
      <c r="J184" s="7"/>
      <c r="K184" s="5"/>
    </row>
    <row r="185" spans="6:11" x14ac:dyDescent="0.25">
      <c r="F185" s="5"/>
      <c r="G185" s="5"/>
      <c r="H185" s="5"/>
      <c r="J185" s="7"/>
      <c r="K185" s="5"/>
    </row>
    <row r="186" spans="6:11" x14ac:dyDescent="0.25">
      <c r="F186" s="5"/>
      <c r="G186" s="5"/>
      <c r="H186" s="5"/>
      <c r="J186" s="7"/>
      <c r="K186" s="5"/>
    </row>
    <row r="187" spans="6:11" x14ac:dyDescent="0.25">
      <c r="F187" s="5"/>
      <c r="G187" s="5"/>
      <c r="H187" s="5"/>
      <c r="J187" s="7"/>
      <c r="K187" s="5"/>
    </row>
    <row r="188" spans="6:11" x14ac:dyDescent="0.25">
      <c r="F188" s="5"/>
      <c r="G188" s="5"/>
      <c r="H188" s="5"/>
      <c r="J188" s="7"/>
      <c r="K188" s="5"/>
    </row>
    <row r="189" spans="6:11" x14ac:dyDescent="0.25">
      <c r="F189" s="5"/>
      <c r="G189" s="5"/>
      <c r="H189" s="5"/>
      <c r="J189" s="7"/>
      <c r="K189" s="5"/>
    </row>
    <row r="190" spans="6:11" x14ac:dyDescent="0.25">
      <c r="F190" s="5"/>
      <c r="G190" s="5"/>
      <c r="H190" s="5"/>
      <c r="J190" s="7"/>
      <c r="K190" s="5"/>
    </row>
    <row r="191" spans="6:11" x14ac:dyDescent="0.25">
      <c r="F191" s="5"/>
      <c r="G191" s="5"/>
      <c r="H191" s="5"/>
      <c r="J191" s="7"/>
      <c r="K191" s="5"/>
    </row>
    <row r="192" spans="6:11" x14ac:dyDescent="0.25">
      <c r="F192" s="5"/>
      <c r="G192" s="5"/>
      <c r="H192" s="5"/>
      <c r="J192" s="7"/>
      <c r="K192" s="5"/>
    </row>
    <row r="193" spans="6:11" x14ac:dyDescent="0.25">
      <c r="F193" s="5"/>
      <c r="G193" s="5"/>
      <c r="H193" s="5"/>
      <c r="J193" s="7"/>
      <c r="K193" s="5"/>
    </row>
    <row r="194" spans="6:11" x14ac:dyDescent="0.25">
      <c r="F194" s="5"/>
      <c r="G194" s="5"/>
      <c r="H194" s="5"/>
      <c r="J194" s="7"/>
      <c r="K194" s="5"/>
    </row>
    <row r="195" spans="6:11" x14ac:dyDescent="0.25">
      <c r="F195" s="5"/>
      <c r="G195" s="5"/>
      <c r="H195" s="5"/>
      <c r="J195" s="7"/>
      <c r="K195" s="5"/>
    </row>
    <row r="196" spans="6:11" x14ac:dyDescent="0.25">
      <c r="F196" s="5"/>
      <c r="G196" s="5"/>
      <c r="H196" s="5"/>
      <c r="J196" s="7"/>
      <c r="K196" s="5"/>
    </row>
    <row r="197" spans="6:11" x14ac:dyDescent="0.25">
      <c r="F197" s="5"/>
      <c r="G197" s="5"/>
      <c r="H197" s="5"/>
      <c r="J197" s="7"/>
      <c r="K197" s="5"/>
    </row>
    <row r="198" spans="6:11" x14ac:dyDescent="0.25">
      <c r="F198" s="5"/>
      <c r="G198" s="5"/>
      <c r="H198" s="5"/>
      <c r="J198" s="7"/>
      <c r="K198" s="5"/>
    </row>
    <row r="199" spans="6:11" x14ac:dyDescent="0.25">
      <c r="F199" s="5"/>
      <c r="G199" s="5"/>
      <c r="H199" s="5"/>
      <c r="J199" s="7"/>
      <c r="K199" s="5"/>
    </row>
    <row r="200" spans="6:11" x14ac:dyDescent="0.25">
      <c r="F200" s="5"/>
      <c r="G200" s="5"/>
      <c r="H200" s="5"/>
      <c r="J200" s="7"/>
      <c r="K200" s="5"/>
    </row>
    <row r="201" spans="6:11" x14ac:dyDescent="0.25">
      <c r="F201" s="5"/>
      <c r="G201" s="5"/>
      <c r="H201" s="5"/>
      <c r="J201" s="7"/>
      <c r="K201" s="5"/>
    </row>
  </sheetData>
  <sheetProtection algorithmName="SHA-512" hashValue="L8fs4Ygu6aub2khkgB7FviOanPjr3AEBeCHjPmpb6n7vly/2XnsvQK//S2XspIlqBp8EzM3FVmAeIbcvsurYkw==" saltValue="xXFzkZVqieh4D9X9p3CBYw==" spinCount="100000" sheet="1" objects="1" scenarios="1" formatCells="0" selectLockedCells="1"/>
  <autoFilter ref="A1:M201" xr:uid="{00000000-0009-0000-0000-000005000000}"/>
  <pageMargins left="0.7" right="0.7" top="0.75" bottom="0.75" header="0.3" footer="0.3"/>
  <pageSetup orientation="portrait" useFirstPageNumber="1" horizontalDpi="4294967295" verticalDpi="4294967295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E42"/>
  <sheetViews>
    <sheetView workbookViewId="0">
      <selection sqref="A1:E1"/>
    </sheetView>
  </sheetViews>
  <sheetFormatPr defaultRowHeight="15" x14ac:dyDescent="0.25"/>
  <cols>
    <col min="1" max="4" width="14" customWidth="1"/>
    <col min="5" max="5" width="18" customWidth="1"/>
    <col min="6" max="13" width="14" customWidth="1"/>
  </cols>
  <sheetData>
    <row r="1" spans="1:5" x14ac:dyDescent="0.25">
      <c r="A1" s="9" t="s">
        <v>124</v>
      </c>
      <c r="B1" s="9"/>
      <c r="C1" s="9"/>
      <c r="D1" s="9"/>
      <c r="E1" s="9"/>
    </row>
    <row r="3" spans="1:5" x14ac:dyDescent="0.25">
      <c r="A3" s="1" t="s">
        <v>125</v>
      </c>
      <c r="D3" s="1" t="s">
        <v>126</v>
      </c>
    </row>
    <row r="4" spans="1:5" x14ac:dyDescent="0.25">
      <c r="A4" t="s">
        <v>18</v>
      </c>
      <c r="B4" t="s">
        <v>127</v>
      </c>
      <c r="C4" t="s">
        <v>128</v>
      </c>
      <c r="D4" s="8" t="s">
        <v>129</v>
      </c>
    </row>
    <row r="5" spans="1:5" x14ac:dyDescent="0.25">
      <c r="A5" t="s">
        <v>8</v>
      </c>
      <c r="B5">
        <f>COUNTIFS(tblReg[Field],A5)</f>
        <v>10</v>
      </c>
      <c r="C5">
        <f>COUNTIFS(GC!$B$2:$B$201,A5,GC!$L$2:$L$201,"Active")</f>
        <v>7</v>
      </c>
      <c r="D5" s="8" t="s">
        <v>130</v>
      </c>
    </row>
    <row r="6" spans="1:5" x14ac:dyDescent="0.25">
      <c r="A6" t="s">
        <v>9</v>
      </c>
      <c r="B6">
        <f>COUNTIFS(tblReg[Field],A6)</f>
        <v>10</v>
      </c>
      <c r="C6">
        <f>COUNTIFS(GC!$B$2:$B$201,A6,GC!$L$2:$L$201,"Active")</f>
        <v>7</v>
      </c>
      <c r="D6" s="8" t="s">
        <v>131</v>
      </c>
    </row>
    <row r="7" spans="1:5" x14ac:dyDescent="0.25">
      <c r="A7" t="s">
        <v>10</v>
      </c>
      <c r="B7">
        <f>COUNTIFS(tblReg[Field],A7)</f>
        <v>10</v>
      </c>
      <c r="C7">
        <f>COUNTIFS(GC!$B$2:$B$201,A7,GC!$L$2:$L$201,"Active")</f>
        <v>9</v>
      </c>
      <c r="D7" s="8" t="s">
        <v>132</v>
      </c>
    </row>
    <row r="8" spans="1:5" x14ac:dyDescent="0.25">
      <c r="A8" t="s">
        <v>11</v>
      </c>
      <c r="B8">
        <f>COUNTIFS(tblReg[Field],A8)</f>
        <v>10</v>
      </c>
      <c r="C8">
        <f>COUNTIFS(GC!$B$2:$B$201,A8,GC!$L$2:$L$201,"Active")</f>
        <v>6</v>
      </c>
      <c r="D8" s="8" t="s">
        <v>133</v>
      </c>
    </row>
    <row r="9" spans="1:5" x14ac:dyDescent="0.25">
      <c r="D9" s="8" t="s">
        <v>134</v>
      </c>
    </row>
    <row r="10" spans="1:5" x14ac:dyDescent="0.25">
      <c r="D10" s="8" t="s">
        <v>135</v>
      </c>
    </row>
    <row r="11" spans="1:5" x14ac:dyDescent="0.25">
      <c r="A11" s="1" t="s">
        <v>136</v>
      </c>
    </row>
    <row r="12" spans="1:5" x14ac:dyDescent="0.25">
      <c r="A12" t="s">
        <v>137</v>
      </c>
      <c r="B12" t="s">
        <v>4</v>
      </c>
      <c r="C12" t="s">
        <v>15</v>
      </c>
      <c r="D12" t="s">
        <v>138</v>
      </c>
      <c r="E12" t="s">
        <v>139</v>
      </c>
    </row>
    <row r="13" spans="1:5" x14ac:dyDescent="0.25">
      <c r="A13" t="s">
        <v>140</v>
      </c>
      <c r="B13">
        <v>1</v>
      </c>
      <c r="C13">
        <f>IFERROR(INDEX(tblStage1[Bib],MATCH(SMALL(tblStage1[NetSeconds],B13),tblStage1[NetSeconds],0)),"")</f>
        <v>53</v>
      </c>
      <c r="D13" t="str">
        <f>IF(C13="","",IFERROR(INDEX(tblReg[FirstName],MATCH(C13,tblReg[Bib],0))&amp;" "&amp;INDEX(tblReg[LastName],MATCH(C13,tblReg[Bib],0)),""))</f>
        <v>Ethan Moore</v>
      </c>
      <c r="E13" s="5">
        <f>IFERROR(SMALL(tblStage1[NetSeconds],B13)/86400,"")</f>
        <v>6.6076388888888893E-2</v>
      </c>
    </row>
    <row r="14" spans="1:5" x14ac:dyDescent="0.25">
      <c r="A14" t="s">
        <v>140</v>
      </c>
      <c r="B14">
        <v>2</v>
      </c>
      <c r="C14">
        <f>IFERROR(INDEX(tblStage1[Bib],MATCH(SMALL(tblStage1[NetSeconds],B14),tblStage1[NetSeconds],0)),"")</f>
        <v>1</v>
      </c>
      <c r="D14" t="str">
        <f>IF(C14="","",IFERROR(INDEX(tblReg[FirstName],MATCH(C14,tblReg[Bib],0))&amp;" "&amp;INDEX(tblReg[LastName],MATCH(C14,tblReg[Bib],0)),""))</f>
        <v>Nora Lopez</v>
      </c>
      <c r="E14" s="5">
        <f>IFERROR(SMALL(tblStage1[NetSeconds],B14)/86400,"")</f>
        <v>6.6145833333333334E-2</v>
      </c>
    </row>
    <row r="15" spans="1:5" x14ac:dyDescent="0.25">
      <c r="A15" t="s">
        <v>140</v>
      </c>
      <c r="B15">
        <v>3</v>
      </c>
      <c r="C15">
        <f>IFERROR(INDEX(tblStage1[Bib],MATCH(SMALL(tblStage1[NetSeconds],B15),tblStage1[NetSeconds],0)),"")</f>
        <v>154</v>
      </c>
      <c r="D15" t="str">
        <f>IF(C15="","",IFERROR(INDEX(tblReg[FirstName],MATCH(C15,tblReg[Bib],0))&amp;" "&amp;INDEX(tblReg[LastName],MATCH(C15,tblReg[Bib],0)),""))</f>
        <v>Aria Lopez</v>
      </c>
      <c r="E15" s="5">
        <f>IFERROR(SMALL(tblStage1[NetSeconds],B15)/86400,"")</f>
        <v>6.7141203703703703E-2</v>
      </c>
    </row>
    <row r="16" spans="1:5" x14ac:dyDescent="0.25">
      <c r="A16" t="s">
        <v>141</v>
      </c>
      <c r="B16">
        <v>1</v>
      </c>
      <c r="C16">
        <f>IFERROR(INDEX(tblStage2[Bib],MATCH(SMALL(tblStage2[NetSeconds],B16),tblStage2[NetSeconds],0)),"")</f>
        <v>6</v>
      </c>
      <c r="D16" t="str">
        <f>IF(C16="","",IFERROR(INDEX(tblReg[FirstName],MATCH(C16,tblReg[Bib],0))&amp;" "&amp;INDEX(tblReg[LastName],MATCH(C16,tblReg[Bib],0)),""))</f>
        <v>Jude Johnson</v>
      </c>
      <c r="E16" s="5">
        <f>IFERROR(SMALL(tblStage2[NetSeconds],B16)/86400,"")</f>
        <v>6.6932870370370365E-2</v>
      </c>
    </row>
    <row r="17" spans="1:5" x14ac:dyDescent="0.25">
      <c r="A17" t="s">
        <v>141</v>
      </c>
      <c r="B17">
        <v>2</v>
      </c>
      <c r="C17">
        <f>IFERROR(INDEX(tblStage2[Bib],MATCH(SMALL(tblStage2[NetSeconds],B17),tblStage2[NetSeconds],0)),"")</f>
        <v>106</v>
      </c>
      <c r="D17" t="str">
        <f>IF(C17="","",IFERROR(INDEX(tblReg[FirstName],MATCH(C17,tblReg[Bib],0))&amp;" "&amp;INDEX(tblReg[LastName],MATCH(C17,tblReg[Bib],0)),""))</f>
        <v>Owen Martinez</v>
      </c>
      <c r="E17" s="5">
        <f>IFERROR(SMALL(tblStage2[NetSeconds],B17)/86400,"")</f>
        <v>6.7372685185185188E-2</v>
      </c>
    </row>
    <row r="18" spans="1:5" x14ac:dyDescent="0.25">
      <c r="A18" t="s">
        <v>141</v>
      </c>
      <c r="B18">
        <v>3</v>
      </c>
      <c r="C18">
        <f>IFERROR(INDEX(tblStage2[Bib],MATCH(SMALL(tblStage2[NetSeconds],B18),tblStage2[NetSeconds],0)),"")</f>
        <v>57</v>
      </c>
      <c r="D18" t="str">
        <f>IF(C18="","",IFERROR(INDEX(tblReg[FirstName],MATCH(C18,tblReg[Bib],0))&amp;" "&amp;INDEX(tblReg[LastName],MATCH(C18,tblReg[Bib],0)),""))</f>
        <v>Liam Moore</v>
      </c>
      <c r="E18" s="5">
        <f>IFERROR(SMALL(tblStage2[NetSeconds],B18)/86400,"")</f>
        <v>6.7743055555555556E-2</v>
      </c>
    </row>
    <row r="19" spans="1:5" x14ac:dyDescent="0.25">
      <c r="A19" t="s">
        <v>142</v>
      </c>
      <c r="B19">
        <v>1</v>
      </c>
      <c r="C19">
        <f>IFERROR(INDEX(tblStage3[Bib],MATCH(SMALL(tblStage3[NetSeconds],B19),tblStage3[NetSeconds],0)),"")</f>
        <v>4</v>
      </c>
      <c r="D19" t="str">
        <f>IF(C19="","",IFERROR(INDEX(tblReg[FirstName],MATCH(C19,tblReg[Bib],0))&amp;" "&amp;INDEX(tblReg[LastName],MATCH(C19,tblReg[Bib],0)),""))</f>
        <v>Nora Moore</v>
      </c>
      <c r="E19" s="5">
        <f>IFERROR(SMALL(tblStage3[NetSeconds],B19)/86400,"")</f>
        <v>6.7696759259259262E-2</v>
      </c>
    </row>
    <row r="20" spans="1:5" x14ac:dyDescent="0.25">
      <c r="A20" t="s">
        <v>142</v>
      </c>
      <c r="B20">
        <v>2</v>
      </c>
      <c r="C20">
        <f>IFERROR(INDEX(tblStage3[Bib],MATCH(SMALL(tblStage3[NetSeconds],B20),tblStage3[NetSeconds],0)),"")</f>
        <v>58</v>
      </c>
      <c r="D20" t="str">
        <f>IF(C20="","",IFERROR(INDEX(tblReg[FirstName],MATCH(C20,tblReg[Bib],0))&amp;" "&amp;INDEX(tblReg[LastName],MATCH(C20,tblReg[Bib],0)),""))</f>
        <v>Ava Kim</v>
      </c>
      <c r="E20" s="5">
        <f>IFERROR(SMALL(tblStage3[NetSeconds],B20)/86400,"")</f>
        <v>6.8043981481481483E-2</v>
      </c>
    </row>
    <row r="21" spans="1:5" x14ac:dyDescent="0.25">
      <c r="A21" t="s">
        <v>142</v>
      </c>
      <c r="B21">
        <v>3</v>
      </c>
      <c r="C21">
        <f>IFERROR(INDEX(tblStage3[Bib],MATCH(SMALL(tblStage3[NetSeconds],B21),tblStage3[NetSeconds],0)),"")</f>
        <v>51</v>
      </c>
      <c r="D21" t="str">
        <f>IF(C21="","",IFERROR(INDEX(tblReg[FirstName],MATCH(C21,tblReg[Bib],0))&amp;" "&amp;INDEX(tblReg[LastName],MATCH(C21,tblReg[Bib],0)),""))</f>
        <v>Mila Harris</v>
      </c>
      <c r="E21" s="5">
        <f>IFERROR(SMALL(tblStage3[NetSeconds],B21)/86400,"")</f>
        <v>6.8460648148148145E-2</v>
      </c>
    </row>
    <row r="24" spans="1:5" x14ac:dyDescent="0.25">
      <c r="A24" s="1" t="s">
        <v>143</v>
      </c>
    </row>
    <row r="25" spans="1:5" x14ac:dyDescent="0.25">
      <c r="A25" s="3" t="s">
        <v>18</v>
      </c>
      <c r="B25" s="3" t="s">
        <v>144</v>
      </c>
      <c r="C25" s="3" t="s">
        <v>145</v>
      </c>
      <c r="D25" s="3" t="s">
        <v>146</v>
      </c>
    </row>
    <row r="26" spans="1:5" x14ac:dyDescent="0.25">
      <c r="A26" t="s">
        <v>8</v>
      </c>
      <c r="B26" t="str">
        <f ca="1">IFERROR(_xludf.MINIFS(GC!$A$2:$A$201,GC!$B$2:$B$201,A26,GC!$L$2:$L$201,"Active",GC!$I$2:$I$201,_xludf.MINIFS(GC!$I$2:$I$201,GC!$B$2:$B$201,A26,GC!$L$2:$L$201,"Active")),"")</f>
        <v/>
      </c>
      <c r="C26" t="str">
        <f ca="1">IF(B26="","",IFERROR(INDEX(tblReg[FirstName],MATCH(B26,tblReg[Bib],0))&amp;" "&amp;INDEX(tblReg[LastName],MATCH(B26,tblReg[Bib],0)),""))</f>
        <v/>
      </c>
      <c r="D26" s="5" t="str">
        <f ca="1">IF(B26="","",_xludf.MINIFS(GC!$I$2:$I$201,GC!$B$2:$B$201,A26,GC!$L$2:$L$201,"Active")/86400)</f>
        <v/>
      </c>
    </row>
    <row r="27" spans="1:5" x14ac:dyDescent="0.25">
      <c r="A27" t="s">
        <v>9</v>
      </c>
      <c r="B27" t="str">
        <f ca="1">IFERROR(_xludf.MINIFS(GC!$A$2:$A$201,GC!$B$2:$B$201,A27,GC!$L$2:$L$201,"Active",GC!$I$2:$I$201,_xludf.MINIFS(GC!$I$2:$I$201,GC!$B$2:$B$201,A27,GC!$L$2:$L$201,"Active")),"")</f>
        <v/>
      </c>
      <c r="C27" t="str">
        <f ca="1">IF(B27="","",IFERROR(INDEX(tblReg[FirstName],MATCH(B27,tblReg[Bib],0))&amp;" "&amp;INDEX(tblReg[LastName],MATCH(B27,tblReg[Bib],0)),""))</f>
        <v/>
      </c>
      <c r="D27" s="5" t="str">
        <f ca="1">IF(B27="","",_xludf.MINIFS(GC!$I$2:$I$201,GC!$B$2:$B$201,A27,GC!$L$2:$L$201,"Active")/86400)</f>
        <v/>
      </c>
    </row>
    <row r="28" spans="1:5" x14ac:dyDescent="0.25">
      <c r="A28" t="s">
        <v>10</v>
      </c>
      <c r="B28" t="str">
        <f ca="1">IFERROR(_xludf.MINIFS(GC!$A$2:$A$201,GC!$B$2:$B$201,A28,GC!$L$2:$L$201,"Active",GC!$I$2:$I$201,_xludf.MINIFS(GC!$I$2:$I$201,GC!$B$2:$B$201,A28,GC!$L$2:$L$201,"Active")),"")</f>
        <v/>
      </c>
      <c r="C28" t="str">
        <f ca="1">IF(B28="","",IFERROR(INDEX(tblReg[FirstName],MATCH(B28,tblReg[Bib],0))&amp;" "&amp;INDEX(tblReg[LastName],MATCH(B28,tblReg[Bib],0)),""))</f>
        <v/>
      </c>
      <c r="D28" s="5" t="str">
        <f ca="1">IF(B28="","",_xludf.MINIFS(GC!$I$2:$I$201,GC!$B$2:$B$201,A28,GC!$L$2:$L$201,"Active")/86400)</f>
        <v/>
      </c>
    </row>
    <row r="29" spans="1:5" x14ac:dyDescent="0.25">
      <c r="A29" t="s">
        <v>11</v>
      </c>
      <c r="B29" t="str">
        <f ca="1">IFERROR(_xludf.MINIFS(GC!$A$2:$A$201,GC!$B$2:$B$201,A29,GC!$L$2:$L$201,"Active",GC!$I$2:$I$201,_xludf.MINIFS(GC!$I$2:$I$201,GC!$B$2:$B$201,A29,GC!$L$2:$L$201,"Active")),"")</f>
        <v/>
      </c>
      <c r="C29" t="str">
        <f ca="1">IF(B29="","",IFERROR(INDEX(tblReg[FirstName],MATCH(B29,tblReg[Bib],0))&amp;" "&amp;INDEX(tblReg[LastName],MATCH(B29,tblReg[Bib],0)),""))</f>
        <v/>
      </c>
      <c r="D29" s="5" t="str">
        <f ca="1">IF(B29="","",_xludf.MINIFS(GC!$I$2:$I$201,GC!$B$2:$B$201,A29,GC!$L$2:$L$201,"Active")/86400)</f>
        <v/>
      </c>
    </row>
    <row r="31" spans="1:5" x14ac:dyDescent="0.25">
      <c r="A31" s="1" t="s">
        <v>147</v>
      </c>
    </row>
    <row r="32" spans="1:5" x14ac:dyDescent="0.25">
      <c r="A32" t="s">
        <v>144</v>
      </c>
      <c r="B32" t="str">
        <f ca="1">IFERROR(_xludf.MINIFS(GC!$A$2:$A$201,GC!$L$2:$L$201,"Active",GC!$I$2:$I$201,_xludf.MINIFS(GC!$I$2:$I$201,GC!$L$2:$L$201,"Active")),"")</f>
        <v/>
      </c>
    </row>
    <row r="33" spans="1:2" x14ac:dyDescent="0.25">
      <c r="A33" t="s">
        <v>145</v>
      </c>
      <c r="B33" t="str">
        <f ca="1">IF(B32="","",IFERROR(INDEX(tblReg[FirstName],MATCH(B32,tblReg[Bib],0))&amp;" "&amp;INDEX(tblReg[LastName],MATCH(B32,tblReg[Bib],0)),""))</f>
        <v/>
      </c>
    </row>
    <row r="34" spans="1:2" x14ac:dyDescent="0.25">
      <c r="A34" t="s">
        <v>148</v>
      </c>
      <c r="B34" t="str">
        <f ca="1">IF(B32="","",IFERROR(INDEX(tblReg[Field],MATCH(B32,tblReg[Bib],0)),""))</f>
        <v/>
      </c>
    </row>
    <row r="35" spans="1:2" x14ac:dyDescent="0.25">
      <c r="A35" t="s">
        <v>146</v>
      </c>
      <c r="B35" s="5" t="str">
        <f ca="1">IF(B32="","",_xludf.MINIFS(GC!$I$2:$I$201,GC!$L$2:$L$201,"Active")/86400)</f>
        <v/>
      </c>
    </row>
    <row r="37" spans="1:2" x14ac:dyDescent="0.25">
      <c r="A37" s="1" t="s">
        <v>149</v>
      </c>
    </row>
    <row r="38" spans="1:2" x14ac:dyDescent="0.25">
      <c r="A38" t="s">
        <v>150</v>
      </c>
      <c r="B38">
        <f>COUNTIF(tblReg[Bib],"RANGE FULL")</f>
        <v>0</v>
      </c>
    </row>
    <row r="39" spans="1:2" x14ac:dyDescent="0.25">
      <c r="A39" t="s">
        <v>151</v>
      </c>
      <c r="B39">
        <f>COUNTIFS(tblStage1[Bib],"&lt;&gt;",tblStage1[StageTime],"")</f>
        <v>0</v>
      </c>
    </row>
    <row r="40" spans="1:2" x14ac:dyDescent="0.25">
      <c r="A40" t="s">
        <v>152</v>
      </c>
      <c r="B40">
        <f>COUNTIFS(tblStage2[Bib],"&lt;&gt;",tblStage2[StageTime],"")</f>
        <v>0</v>
      </c>
    </row>
    <row r="41" spans="1:2" x14ac:dyDescent="0.25">
      <c r="A41" t="s">
        <v>153</v>
      </c>
      <c r="B41">
        <f>COUNTIFS(tblStage3[Bib],"&lt;&gt;",tblStage3[StageTime],"")</f>
        <v>0</v>
      </c>
    </row>
    <row r="42" spans="1:2" x14ac:dyDescent="0.25">
      <c r="A42" t="s">
        <v>154</v>
      </c>
      <c r="B42">
        <f>IFERROR(SUMPRODUCT(--(tblReg[Bib]&lt;&gt;""),--(COUNTIF(tblReg[Bib],tblReg[Bib])&gt;1))/2,0)</f>
        <v>0</v>
      </c>
    </row>
  </sheetData>
  <sheetProtection algorithmName="SHA-512" hashValue="AdYnFQ1PDgpxe7FCd0Z89ZvTZpJAyIh20/klzhzVc9v1I+rFtF3e++9FgnfKDi1exu10U7s2ZxAr4UqrFdJ1fA==" saltValue="47x55p5T90A8zvwnE711Bg==" spinCount="100000" sheet="1" objects="1" scenarios="1" formatCells="0" selectLockedCells="1"/>
  <mergeCells count="1">
    <mergeCell ref="A1:E1"/>
  </mergeCells>
  <hyperlinks>
    <hyperlink ref="D4" location="NavConfig" display="Go to Config" xr:uid="{00000000-0004-0000-0600-000000000000}"/>
    <hyperlink ref="D5" location="NavRegistration" display="Go to Registration" xr:uid="{00000000-0004-0000-0600-000001000000}"/>
    <hyperlink ref="D6" location="NavStage1" display="Go to Group Stage" xr:uid="{00000000-0004-0000-0600-000002000000}"/>
    <hyperlink ref="D7" location="NavStage2" display="Go to TT Stage" xr:uid="{00000000-0004-0000-0600-000003000000}"/>
    <hyperlink ref="D8" location="NavStage3" display="Go to Mountain Stage" xr:uid="{00000000-0004-0000-0600-000004000000}"/>
    <hyperlink ref="D9" location="NavGC" display="Go to GC" xr:uid="{00000000-0004-0000-0600-000005000000}"/>
    <hyperlink ref="D10" location="NavDashboard" display="Go to Dashboard" xr:uid="{00000000-0004-0000-0600-000006000000}"/>
  </hyperlinks>
  <pageMargins left="0.7" right="0.7" top="0.75" bottom="0.75" header="0.3" footer="0.3"/>
  <pageSetup orientation="portrait" useFirstPageNumber="1" horizontalDpi="4294967295" verticalDpi="4294967295"/>
</worksheet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Config</vt:lpstr>
      <vt:lpstr>Registration</vt:lpstr>
      <vt:lpstr>Group Stage</vt:lpstr>
      <vt:lpstr>TT Stage</vt:lpstr>
      <vt:lpstr>Mountain Stage</vt:lpstr>
      <vt:lpstr>GC</vt:lpstr>
      <vt:lpstr>Dashboard</vt:lpstr>
      <vt:lpstr>NavConfig</vt:lpstr>
      <vt:lpstr>NavDashboard</vt:lpstr>
      <vt:lpstr>NavGC</vt:lpstr>
      <vt:lpstr>NavRegistration</vt:lpstr>
      <vt:lpstr>NavStage1</vt:lpstr>
      <vt:lpstr>NavStage2</vt:lpstr>
      <vt:lpstr>NavStage3</vt:lpstr>
      <vt:lpstr>NumStages</vt:lpstr>
      <vt:lpstr>TimeFormat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2026-06-05T22:37:21Z</dcterms:created>
  <dcterms:modified xsi:type="dcterms:W3CDTF">2026-06-08T17:25:54Z</dcterms:modified>
  <cp:category/>
</cp:coreProperties>
</file>